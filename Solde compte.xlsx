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ires travail 2025" sheetId="1" r:id="rId4"/>
    <sheet state="visible" name="Gains et sources" sheetId="2" r:id="rId5"/>
    <sheet state="visible" name="Solde Global Cpt" sheetId="3" r:id="rId6"/>
    <sheet state="visible" name="Money kids" sheetId="4" r:id="rId7"/>
    <sheet state="visible" name="Aides CAF vs Salaires" sheetId="5" r:id="rId8"/>
    <sheet state="visible" name="Livres" sheetId="6" r:id="rId9"/>
    <sheet state="visible" name="BD" sheetId="7" r:id="rId10"/>
    <sheet state="visible" name="DVD - CD - Jeux List" sheetId="8" r:id="rId11"/>
    <sheet state="visible" name="Economiesbons plans" sheetId="9" r:id="rId12"/>
    <sheet state="visible" name="Relevés EDF" sheetId="10" r:id="rId13"/>
    <sheet state="visible" name="Frais Mensuels" sheetId="11" r:id="rId14"/>
    <sheet state="visible" name="Loyers" sheetId="12" r:id="rId15"/>
    <sheet state="visible" name="Horaires travail 2024" sheetId="13" r:id="rId16"/>
    <sheet state="visible" name="Horaires travail 2023" sheetId="14" r:id="rId17"/>
    <sheet state="visible" name="Horaires travail 2022" sheetId="15" r:id="rId18"/>
    <sheet state="visible" name="Horaires Nils" sheetId="16" r:id="rId19"/>
    <sheet state="visible" name="Horaires travail 2021" sheetId="17" r:id="rId20"/>
    <sheet state="visible" name="Horaires travail 2020" sheetId="18" r:id="rId21"/>
    <sheet state="visible" name="Horaires Nils 2021" sheetId="19" r:id="rId22"/>
  </sheets>
  <definedNames/>
  <calcPr/>
</workbook>
</file>

<file path=xl/sharedStrings.xml><?xml version="1.0" encoding="utf-8"?>
<sst xmlns="http://schemas.openxmlformats.org/spreadsheetml/2006/main" count="12052" uniqueCount="3867">
  <si>
    <t>REPORT DECEMBRE 2024</t>
  </si>
  <si>
    <t>Net imposable</t>
  </si>
  <si>
    <t>Total mois</t>
  </si>
  <si>
    <t>1h45</t>
  </si>
  <si>
    <t>7h45</t>
  </si>
  <si>
    <t>0h</t>
  </si>
  <si>
    <t>4h</t>
  </si>
  <si>
    <t>Total semaine</t>
  </si>
  <si>
    <t>Du 21/12/24 au 05/01/25 : 8 Congés payés (6 déc, 2 janv)</t>
  </si>
  <si>
    <t>Salaire brut</t>
  </si>
  <si>
    <t>Salaire net</t>
  </si>
  <si>
    <t>Net social</t>
  </si>
  <si>
    <t>0h/supp payées. Solde Heures : -2h (Oct) - 1.5h Nov = 3h30 en négatif</t>
  </si>
  <si>
    <t xml:space="preserve">Nombre de jours travaillés Sept :  Nombre de tickets resto Août : </t>
  </si>
  <si>
    <t>Différence 0</t>
  </si>
  <si>
    <t>OFF</t>
  </si>
  <si>
    <t>RDV Mina hôpital Lyon</t>
  </si>
  <si>
    <t>0h/supp payées. Solde Heures : -3h30 (Déc) - 4h Janv = 7h30 en négatif</t>
  </si>
  <si>
    <t>Maladie Grippe</t>
  </si>
  <si>
    <t>Nombre de jours travaillés Fev : 12  Nombre de tickets resto Janv : 16</t>
  </si>
  <si>
    <t>4h45</t>
  </si>
  <si>
    <t>0h45</t>
  </si>
  <si>
    <t>8h45</t>
  </si>
  <si>
    <t>0h/supp payées. Solde Heures : -7h30 (Déc-Janv) + 11h30 (Avril) = 4h en positif</t>
  </si>
  <si>
    <t>Férié</t>
  </si>
  <si>
    <t>0h/supp payées. Solde Heures : 4h + 7h mai = 11h en positif</t>
  </si>
  <si>
    <t xml:space="preserve">Nombre de jours travaillés Mai : 15 Nombre de tickets resto </t>
  </si>
  <si>
    <t>7h</t>
  </si>
  <si>
    <t>Journée solidarité</t>
  </si>
  <si>
    <t>4h45 supp payées. Solde Heures : 11h - 4h45 (juin) = 6h15</t>
  </si>
  <si>
    <t>Nombre de jours travaillés Juin :  Nombre de tickets resto Mai : 15</t>
  </si>
  <si>
    <t>1h</t>
  </si>
  <si>
    <t>Lost my wist because of H</t>
  </si>
  <si>
    <t>0h/supp payées. Solde Heures : 6h15 (juin) = h en positif</t>
  </si>
  <si>
    <t>Du 02/08/25 au 24/08/25 : 14 Congés payés</t>
  </si>
  <si>
    <t>Solde Heures à jour : 4h75 en positif</t>
  </si>
  <si>
    <t>8h30</t>
  </si>
  <si>
    <t>0h/supp payées. Solde Heures : 4.75 +10.75 Nov = 15h30 en positif</t>
  </si>
  <si>
    <t>Formation CSE</t>
  </si>
  <si>
    <t>Du 20/12/25 au 04/01/26 :  Congés payés (7 Déc, 1 Janv)</t>
  </si>
  <si>
    <t>15h45 h/supp payées. Solde Heures : 0 + 5h Déc = 5h en positif</t>
  </si>
  <si>
    <t>Gains et Sources perçus dans le mois</t>
  </si>
  <si>
    <t>Carole</t>
  </si>
  <si>
    <t>Mina</t>
  </si>
  <si>
    <t>Nils</t>
  </si>
  <si>
    <t>Salaire</t>
  </si>
  <si>
    <t>Indemnités journalières CPAM</t>
  </si>
  <si>
    <t>Intérêts bancaires nets sur 2024 touchés en janvier 2025</t>
  </si>
  <si>
    <t>Pension Alimentaire</t>
  </si>
  <si>
    <t>Indemnités journalières CPAM (payé le mois où est inscrit)</t>
  </si>
  <si>
    <t>Commentaires</t>
  </si>
  <si>
    <t>Argent touché en :</t>
  </si>
  <si>
    <t>Brut</t>
  </si>
  <si>
    <t>Net</t>
  </si>
  <si>
    <t>Net "social"</t>
  </si>
  <si>
    <t>Net Imposable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</si>
  <si>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</si>
  <si>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</si>
  <si>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</si>
  <si>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</si>
  <si>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</si>
  <si>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</si>
  <si>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</si>
  <si>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</si>
  <si>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</si>
  <si>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</si>
  <si>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</si>
  <si>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</si>
  <si>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</si>
  <si>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TOTAL Global 2024 Carole</t>
  </si>
  <si>
    <t>Brut :</t>
  </si>
  <si>
    <t>Net :</t>
  </si>
  <si>
    <t>Net Imposable :</t>
  </si>
  <si>
    <t>TOTAL Global 2024 Mina</t>
  </si>
  <si>
    <r>
      <rPr>
        <rFont val="Calibri"/>
        <b/>
        <sz val="11.0"/>
      </rPr>
      <t>LCL</t>
    </r>
    <r>
      <rPr>
        <rFont val="Calibri"/>
        <sz val="11.0"/>
      </rPr>
      <t xml:space="preserve">                                livret A :                    LDDS :                         LEP  :              CEL : 309.59-92.86=                           LJ Axel :                             </t>
    </r>
    <r>
      <rPr>
        <rFont val="Calibri"/>
        <b/>
        <sz val="11.0"/>
      </rPr>
      <t xml:space="preserve">BOURSO </t>
    </r>
    <r>
      <rPr>
        <rFont val="Calibri"/>
        <sz val="11.0"/>
      </rPr>
      <t xml:space="preserve">Livret : 519.79 - 89.40 = </t>
    </r>
    <r>
      <rPr>
        <rFont val="Calibri"/>
        <color rgb="FF9900FF"/>
        <sz val="11.0"/>
      </rPr>
      <t>430.39</t>
    </r>
    <r>
      <rPr>
        <rFont val="Calibri"/>
        <sz val="11.0"/>
      </rPr>
      <t xml:space="preserve">                         </t>
    </r>
    <r>
      <rPr>
        <rFont val="Calibri"/>
        <b/>
        <sz val="11.0"/>
      </rPr>
      <t xml:space="preserve"> TOTAL NET :  </t>
    </r>
  </si>
  <si>
    <t>Loyers Petit Charran</t>
  </si>
  <si>
    <t>Stage BAFA</t>
  </si>
  <si>
    <r>
      <rPr>
        <rFont val="Calibri,Arial"/>
        <b/>
        <sz val="11.0"/>
      </rPr>
      <t xml:space="preserve">Intérim, CDD                                                                 (payé le mois d'après donc pour la CAF déclaré le mois de la date de paiement - </t>
    </r>
    <r>
      <rPr>
        <rFont val="Calibri,Arial"/>
        <b val="0"/>
        <i/>
        <sz val="11.0"/>
      </rPr>
      <t>ex: travail en mars payé en Avril donc déclaré sur Avril</t>
    </r>
    <r>
      <rPr>
        <rFont val="Calibri,Arial"/>
        <b/>
        <sz val="11.0"/>
      </rPr>
      <t>) puis CDI</t>
    </r>
  </si>
  <si>
    <t>Net avec charges copro</t>
  </si>
  <si>
    <t>Interim payé en Février RAS 1470</t>
  </si>
  <si>
    <t>Intérim payé en Mars RAS 1470</t>
  </si>
  <si>
    <t>Chronopost payé en Mars</t>
  </si>
  <si>
    <t>CET intérim Payé en Avril RAS 550</t>
  </si>
  <si>
    <t>CET intérim Payé en Avril RAS 530</t>
  </si>
  <si>
    <t>Chronopost payé en Avril (IJ CPAM sur salaire)</t>
  </si>
  <si>
    <t>Chronopost payé en Mai (IJ CPAM sur salaire)</t>
  </si>
  <si>
    <t>Payé en Juin</t>
  </si>
  <si>
    <t>Payé en Juillet</t>
  </si>
  <si>
    <t>Payé en Août</t>
  </si>
  <si>
    <t>etc</t>
  </si>
  <si>
    <t>Dont 13eme mois 1180 euros nets</t>
  </si>
  <si>
    <r>
      <rPr>
        <rFont val="Calibri"/>
        <b/>
        <sz val="11.0"/>
      </rPr>
      <t>Net Imposable :</t>
    </r>
    <r>
      <rPr>
        <rFont val="Calibri"/>
        <b val="0"/>
        <sz val="11.0"/>
      </rPr>
      <t xml:space="preserve"> 672.50</t>
    </r>
  </si>
  <si>
    <t>18408.15+362= 18770.15</t>
  </si>
  <si>
    <t>a AJOUTER AU REVENUS NON IMPOSABLES (pas de preuves de paiement perçu ou non) : 362 euros de la région Auvergne Rhône-Alpes suite de ta formation informatique faite en 2023)</t>
  </si>
  <si>
    <t>Divers</t>
  </si>
  <si>
    <t>Source divers (ne se déclarent pas aux impôts ni à la CAF) et notes</t>
  </si>
  <si>
    <t>RSA (touché en)</t>
  </si>
  <si>
    <t>Région pour formation (touché en)</t>
  </si>
  <si>
    <r>
      <rPr>
        <rFont val="Calibri,Arial"/>
        <b/>
        <sz val="11.0"/>
      </rPr>
      <t xml:space="preserve">Intérim, CDD                                                                 (payé le mois d'après donc pour la CAF déclaré le mois de la date de paiement - </t>
    </r>
    <r>
      <rPr>
        <rFont val="Calibri,Arial"/>
        <b val="0"/>
        <i/>
        <sz val="11.0"/>
      </rPr>
      <t>ex: travail en mars payé en Avril donc déclaré sur Avril</t>
    </r>
    <r>
      <rPr>
        <rFont val="Calibri,Arial"/>
        <b/>
        <sz val="11.0"/>
      </rPr>
      <t>)</t>
    </r>
  </si>
  <si>
    <t>Big Fernand</t>
  </si>
  <si>
    <t>règlement pour Février</t>
  </si>
  <si>
    <t>règlement pour Mars</t>
  </si>
  <si>
    <t>règlement pour Avril</t>
  </si>
  <si>
    <t>Payé en Novembre</t>
  </si>
  <si>
    <t>Payé en Décembre</t>
  </si>
  <si>
    <t>Payé en Janvier</t>
  </si>
  <si>
    <t>TOTAL Global 2023 Carole</t>
  </si>
  <si>
    <t>TOTAL Global 2023 Nils</t>
  </si>
  <si>
    <t>Déclaré 10744 euros sur déclaration revenus 2023 car Jubil a déclaré 15 euros en plus mais pas sûre si ils ont raison donc laissé au cas où</t>
  </si>
  <si>
    <t>Pôle Emploi</t>
  </si>
  <si>
    <t>Prime activité (touchée en)</t>
  </si>
  <si>
    <r>
      <rPr>
        <rFont val="Calibri,Arial"/>
        <b/>
        <sz val="11.0"/>
      </rPr>
      <t xml:space="preserve">Intérim, CDD                                                                 (payé le mois d'après donc pour la CAF déclaré le mois de la date de paiement - </t>
    </r>
    <r>
      <rPr>
        <rFont val="Calibri,Arial"/>
        <b val="0"/>
        <i/>
        <sz val="11.0"/>
      </rPr>
      <t>ex: travail en mars payé en Avril donc déclaré sur Avril</t>
    </r>
    <r>
      <rPr>
        <rFont val="Calibri,Arial"/>
        <b/>
        <sz val="11.0"/>
      </rPr>
      <t>)</t>
    </r>
  </si>
  <si>
    <t>Intérim décl. sur Fév. (CAF) + 100 prime inflation</t>
  </si>
  <si>
    <t>Intérim décl. sur Mars (CAF)</t>
  </si>
  <si>
    <t>Salaires et CPAM décl. sur Avril (CAF)</t>
  </si>
  <si>
    <t>Intérim décl. sur Mai (CAF)</t>
  </si>
  <si>
    <t>Intérim décl. sur Juin (CAF)</t>
  </si>
  <si>
    <t>Dont prime partage de la valeur</t>
  </si>
  <si>
    <t>TOTAL Global 2022 Carole</t>
  </si>
  <si>
    <t>TOTAL Global 2022 Nils</t>
  </si>
  <si>
    <t>RSA</t>
  </si>
  <si>
    <t>Prime activité</t>
  </si>
  <si>
    <r>
      <rPr>
        <b/>
      </rPr>
      <t xml:space="preserve">Intérim                                                                 (payé le mois d'après donc pour la CAF déclaré le mois de la date de paiement - </t>
    </r>
    <r>
      <rPr>
        <b val="0"/>
        <i/>
      </rPr>
      <t>ex: travail en mars payé en Avril donc déclaré sur Avril</t>
    </r>
    <r>
      <rPr>
        <b/>
      </rPr>
      <t>)</t>
    </r>
  </si>
  <si>
    <t>Pôle Emploi (même montant brut, net, et imposable)</t>
  </si>
  <si>
    <t>PE décl.sur Mai (CAF)</t>
  </si>
  <si>
    <t>PE à décl.sur Juin (CAF)</t>
  </si>
  <si>
    <t>PE et intérim à décl.sur Juil (CAF)</t>
  </si>
  <si>
    <t>PE et intérim à décl.sur Août (CAF)</t>
  </si>
  <si>
    <t>Intérim décl. sur Sept. (CAF)</t>
  </si>
  <si>
    <t>Intérim décl. sur Oct. (CAF)</t>
  </si>
  <si>
    <t>Intérim décl. sur Nov. (CAF)</t>
  </si>
  <si>
    <t>Dont Prime Macron</t>
  </si>
  <si>
    <t>Maximo décl. sur Déc. (CAF)</t>
  </si>
  <si>
    <t>Intérim décl. sur Déc. (CAF)</t>
  </si>
  <si>
    <t>Indemnité inflation</t>
  </si>
  <si>
    <t>Maximo, intérim et CPAM decl sur Jan. 2022 (CAF</t>
  </si>
  <si>
    <t>TOTAL Global 2021 Carole</t>
  </si>
  <si>
    <t>TOTAL Global 2021 Nils</t>
  </si>
  <si>
    <t>Net imposable Jubil : 2671.25 + 80 h/supp. Non imp.</t>
  </si>
  <si>
    <t>Net imposable DPS : 256.83</t>
  </si>
  <si>
    <t>Net imposable Maximo : 830.84</t>
  </si>
  <si>
    <t>ASS pour Mars payé en Avril</t>
  </si>
  <si>
    <t>AVIVA assurance vie</t>
  </si>
  <si>
    <t>AVIVA trop perçu maman</t>
  </si>
  <si>
    <t>AVIVA Assurance Hospitalière</t>
  </si>
  <si>
    <t>AG2R Assurance Vie</t>
  </si>
  <si>
    <t>Voiture maman papa</t>
  </si>
  <si>
    <t>52.36 ?</t>
  </si>
  <si>
    <t>48.86 ?</t>
  </si>
  <si>
    <t>Voir si indemnités sécu versées ou à rembourser car suis revenue au travail 2 jours plus tôt avant fin arrêt les 13 et 14 décembre - CE MONTANT N APPARAIT PAS DANS DECLARATION D IMPOT DONC OK, LA SECU A DU SE REPAYER OU ERREUR</t>
  </si>
  <si>
    <t>Retraite réversion maman</t>
  </si>
  <si>
    <t>Retraite réversion papa DECLAREE SUR IMPOTS PAPA 2020</t>
  </si>
  <si>
    <t>TOTAL Global 2020 Carole</t>
  </si>
  <si>
    <t>Déclaration fiscale :</t>
  </si>
  <si>
    <t>Pension alimentaire</t>
  </si>
  <si>
    <t>ASS ou ARE</t>
  </si>
  <si>
    <t>ACCRE</t>
  </si>
  <si>
    <t>02.02.2024</t>
  </si>
  <si>
    <t>04.02.2024</t>
  </si>
  <si>
    <t>25.02.2024</t>
  </si>
  <si>
    <t>27.02.2024</t>
  </si>
  <si>
    <t>04.03.2024</t>
  </si>
  <si>
    <t>05.03.2024</t>
  </si>
  <si>
    <t>25.03.2024</t>
  </si>
  <si>
    <t>27.03.2024</t>
  </si>
  <si>
    <t>28.03.2024</t>
  </si>
  <si>
    <t>06.04.2024</t>
  </si>
  <si>
    <t>22.04.2024</t>
  </si>
  <si>
    <t>25.04.2024</t>
  </si>
  <si>
    <t>29.04.2024</t>
  </si>
  <si>
    <t>30.04.2024</t>
  </si>
  <si>
    <t>02.05.2024</t>
  </si>
  <si>
    <t>03.05.2024</t>
  </si>
  <si>
    <t>04.05.2024</t>
  </si>
  <si>
    <t>23.05.2024</t>
  </si>
  <si>
    <t>27.05.2024</t>
  </si>
  <si>
    <t>28.05.2024</t>
  </si>
  <si>
    <t>30.05.2024</t>
  </si>
  <si>
    <t>26.06.2024</t>
  </si>
  <si>
    <t>28.06.2024</t>
  </si>
  <si>
    <t>29.07.2024</t>
  </si>
  <si>
    <t>30.07.2024</t>
  </si>
  <si>
    <t>19.08.2024</t>
  </si>
  <si>
    <t>21.08.2024</t>
  </si>
  <si>
    <t>28.08.2024</t>
  </si>
  <si>
    <t>30.08.2024</t>
  </si>
  <si>
    <t>26.09.2024</t>
  </si>
  <si>
    <t>28.09.2024</t>
  </si>
  <si>
    <t>02.11.2024</t>
  </si>
  <si>
    <t>27.11.2024</t>
  </si>
  <si>
    <t>28.11.2024</t>
  </si>
  <si>
    <t>29.12.2024</t>
  </si>
  <si>
    <t>30.12.2024</t>
  </si>
  <si>
    <t>01.01.2025</t>
  </si>
  <si>
    <t>04.01.2025</t>
  </si>
  <si>
    <t>06.01.2025</t>
  </si>
  <si>
    <t>09.01.2025</t>
  </si>
  <si>
    <t>29.01.2025</t>
  </si>
  <si>
    <t>30.01.2025</t>
  </si>
  <si>
    <t>03.02.2025</t>
  </si>
  <si>
    <t>06.02.2025</t>
  </si>
  <si>
    <t>05.03.2025</t>
  </si>
  <si>
    <t>17.03.2025</t>
  </si>
  <si>
    <t>27.03.2025</t>
  </si>
  <si>
    <t>28.03.2025</t>
  </si>
  <si>
    <t>01.04.205</t>
  </si>
  <si>
    <t>07.04.2025</t>
  </si>
  <si>
    <t>13.04.2025</t>
  </si>
  <si>
    <t>14.04.2025</t>
  </si>
  <si>
    <t>17.04.2025</t>
  </si>
  <si>
    <t>27.04.2025</t>
  </si>
  <si>
    <t>28.04.2025</t>
  </si>
  <si>
    <t>26.05.2025</t>
  </si>
  <si>
    <t>27.05.2025</t>
  </si>
  <si>
    <t>28.05.2025</t>
  </si>
  <si>
    <t>26.06.2025</t>
  </si>
  <si>
    <t>27.06.2025</t>
  </si>
  <si>
    <t>04.07.2025</t>
  </si>
  <si>
    <t>28.07.2025</t>
  </si>
  <si>
    <t>30.07.2025</t>
  </si>
  <si>
    <t>08.08.2025</t>
  </si>
  <si>
    <t>15.08.2025</t>
  </si>
  <si>
    <t>19.08.2025</t>
  </si>
  <si>
    <t>27.08.2025</t>
  </si>
  <si>
    <t>28.08.2025</t>
  </si>
  <si>
    <t>29.08.2025</t>
  </si>
  <si>
    <t>05.09.2025</t>
  </si>
  <si>
    <t>28.09.2025</t>
  </si>
  <si>
    <t>30.09.2025</t>
  </si>
  <si>
    <t>04.09.2025</t>
  </si>
  <si>
    <t>26.10.2025</t>
  </si>
  <si>
    <t>29.10.2025</t>
  </si>
  <si>
    <t>04.11.2025</t>
  </si>
  <si>
    <t>05.11.2025</t>
  </si>
  <si>
    <t>27.11.2025</t>
  </si>
  <si>
    <t>28.11.2025</t>
  </si>
  <si>
    <t>05.12.2025</t>
  </si>
  <si>
    <t>06.12.2025</t>
  </si>
  <si>
    <t>19.12.2025</t>
  </si>
  <si>
    <t>30.12.2025</t>
  </si>
  <si>
    <t>03.01.2026</t>
  </si>
  <si>
    <t>06.01.2026</t>
  </si>
  <si>
    <t>07.01.2026</t>
  </si>
  <si>
    <t>Date</t>
  </si>
  <si>
    <t>Axel</t>
  </si>
  <si>
    <t>CAXTON Balance</t>
  </si>
  <si>
    <t>02.03.23</t>
  </si>
  <si>
    <t>14.04.2024</t>
  </si>
  <si>
    <t>24.04.23</t>
  </si>
  <si>
    <t>05.06.23</t>
  </si>
  <si>
    <t>09.06.23</t>
  </si>
  <si>
    <t>03.07.23</t>
  </si>
  <si>
    <t>24.07.23</t>
  </si>
  <si>
    <t>05.09.23</t>
  </si>
  <si>
    <t>06.09.23</t>
  </si>
  <si>
    <t>26.09.23</t>
  </si>
  <si>
    <t>04.10.23</t>
  </si>
  <si>
    <t>15.11.23</t>
  </si>
  <si>
    <t>Espèces</t>
  </si>
  <si>
    <t>01.12.23</t>
  </si>
  <si>
    <t>Total 2023</t>
  </si>
  <si>
    <t>04.01.24</t>
  </si>
  <si>
    <t>16.01.24</t>
  </si>
  <si>
    <t>25.01.24</t>
  </si>
  <si>
    <t>26.01.24</t>
  </si>
  <si>
    <t>12.02.24</t>
  </si>
  <si>
    <t>18.03.24</t>
  </si>
  <si>
    <t>25.03.24</t>
  </si>
  <si>
    <t>26.03.24</t>
  </si>
  <si>
    <t>Espèces Espagne</t>
  </si>
  <si>
    <t>06.04.24</t>
  </si>
  <si>
    <t>Espèces vogue</t>
  </si>
  <si>
    <t>12.04.24</t>
  </si>
  <si>
    <t>17.04.24</t>
  </si>
  <si>
    <t>01.06.2024</t>
  </si>
  <si>
    <t xml:space="preserve">Espèces </t>
  </si>
  <si>
    <t>Ne pas compter (école)</t>
  </si>
  <si>
    <t>02.09.24</t>
  </si>
  <si>
    <t>03.09.24</t>
  </si>
  <si>
    <t>10 espèces</t>
  </si>
  <si>
    <t>APL et prime activité selon salaires nets des 3 mois précédents et périodicité des déclarations trimestrielles</t>
  </si>
  <si>
    <t>CAROLE</t>
  </si>
  <si>
    <t>NILS</t>
  </si>
  <si>
    <t>Droits pour les mois de :</t>
  </si>
  <si>
    <t>Octobre 2024</t>
  </si>
  <si>
    <t>Novembre 2024</t>
  </si>
  <si>
    <t>Décembre 2024</t>
  </si>
  <si>
    <t>Diff avec les 3 mois d'avant</t>
  </si>
  <si>
    <t>APL</t>
  </si>
  <si>
    <t>Prime d'activité</t>
  </si>
  <si>
    <t>ASF</t>
  </si>
  <si>
    <t>Allocs</t>
  </si>
  <si>
    <t>Salaire net (fiche paie du mois de:)</t>
  </si>
  <si>
    <t>Net Social (fiche de paie du mois de:)</t>
  </si>
  <si>
    <t>Loyés perçus</t>
  </si>
  <si>
    <t>Total</t>
  </si>
  <si>
    <t>Juillet 2024</t>
  </si>
  <si>
    <t>Août 2024</t>
  </si>
  <si>
    <t>Sept 2024</t>
  </si>
  <si>
    <t>Avril 2024</t>
  </si>
  <si>
    <t>Mai 2024</t>
  </si>
  <si>
    <t>Juin 2024</t>
  </si>
  <si>
    <t>Août 2023</t>
  </si>
  <si>
    <t>Septembre 2023</t>
  </si>
  <si>
    <t>Octobre 2023</t>
  </si>
  <si>
    <t>Total 3 mois</t>
  </si>
  <si>
    <t>Indemnité formation région</t>
  </si>
  <si>
    <t>Janvier 2024</t>
  </si>
  <si>
    <t>Février 2024</t>
  </si>
  <si>
    <t>Mars 2024</t>
  </si>
  <si>
    <t>Novembre 2023</t>
  </si>
  <si>
    <t>Décembre 2023</t>
  </si>
  <si>
    <t>Juillet 2023</t>
  </si>
  <si>
    <t>Avril 2023</t>
  </si>
  <si>
    <t>Mai 2023</t>
  </si>
  <si>
    <t>Juin 2023</t>
  </si>
  <si>
    <t>Janvier 2023</t>
  </si>
  <si>
    <t>Février 2023</t>
  </si>
  <si>
    <t>Mars 2023</t>
  </si>
  <si>
    <t>Indemnités journalières</t>
  </si>
  <si>
    <t>Octobre 2022</t>
  </si>
  <si>
    <t>Novembre 2022</t>
  </si>
  <si>
    <t>Décembre 2022</t>
  </si>
  <si>
    <t>Salaire net Jubil intérim (fiche paie du mois de:)</t>
  </si>
  <si>
    <t>Salaire net DPS Intérim (fiche paie du mois de:)</t>
  </si>
  <si>
    <t>Juillet 2022</t>
  </si>
  <si>
    <t>Août 2022</t>
  </si>
  <si>
    <t>Septembre 2022</t>
  </si>
  <si>
    <t>Avril 2022</t>
  </si>
  <si>
    <t>Mai 2022</t>
  </si>
  <si>
    <t>Juin 2022</t>
  </si>
  <si>
    <t>Jullet 2022</t>
  </si>
  <si>
    <t>Janvier 2022</t>
  </si>
  <si>
    <t>Février 2022</t>
  </si>
  <si>
    <t>Mars 2022</t>
  </si>
  <si>
    <t>Salaire net intérim (fiche paie du mois de:)</t>
  </si>
  <si>
    <t>Salaire net intérim ou CDD Chantepy (fiche paie du mois de:)</t>
  </si>
  <si>
    <t>Indemnités Jounalières Novembre 2021</t>
  </si>
  <si>
    <t>Octobre 2021</t>
  </si>
  <si>
    <t>Novembre 2021</t>
  </si>
  <si>
    <t>Décembre 2021</t>
  </si>
  <si>
    <t>Salaire net Maximo (fiche paie du mois de:)</t>
  </si>
  <si>
    <t>Plus 1000 prime Macron</t>
  </si>
  <si>
    <t>Plus 100 prime inflation</t>
  </si>
  <si>
    <t>Juillet 2021</t>
  </si>
  <si>
    <t>Août 2021</t>
  </si>
  <si>
    <t>Sept 2021</t>
  </si>
  <si>
    <t>Formation</t>
  </si>
  <si>
    <t>Avril 2021</t>
  </si>
  <si>
    <t>Mai 2021</t>
  </si>
  <si>
    <t>Juin 2021</t>
  </si>
  <si>
    <t>Janvier 2021</t>
  </si>
  <si>
    <t>Février 2021</t>
  </si>
  <si>
    <t>Mars 2021</t>
  </si>
  <si>
    <t xml:space="preserve">Octobre 2020 </t>
  </si>
  <si>
    <t>Novembre 2020</t>
  </si>
  <si>
    <t>Décembre 2020</t>
  </si>
  <si>
    <t>AXEL</t>
  </si>
  <si>
    <t>Auteur</t>
  </si>
  <si>
    <t>Titre</t>
  </si>
  <si>
    <t>Eng, Fr</t>
  </si>
  <si>
    <t>Lu</t>
  </si>
  <si>
    <t>Gardé après lecture</t>
  </si>
  <si>
    <t>Edition (scolaires)</t>
  </si>
  <si>
    <t>Black rose</t>
  </si>
  <si>
    <t>Histoires multiples</t>
  </si>
  <si>
    <t>Fr</t>
  </si>
  <si>
    <t>Auel</t>
  </si>
  <si>
    <t>Jean M.</t>
  </si>
  <si>
    <t>1. The clan of the cave bear</t>
  </si>
  <si>
    <t>Eng</t>
  </si>
  <si>
    <t>2. The valley of horses</t>
  </si>
  <si>
    <t>3. The mammoth hunters</t>
  </si>
  <si>
    <t>6. The land of the painted caves</t>
  </si>
  <si>
    <t>Arbogast</t>
  </si>
  <si>
    <t>Christine</t>
  </si>
  <si>
    <t>L'été où Ben remua le ciel et la terre</t>
  </si>
  <si>
    <t>Berlitz</t>
  </si>
  <si>
    <t>Charles</t>
  </si>
  <si>
    <t>L'Atlantide retrouvée</t>
  </si>
  <si>
    <t>Rowling</t>
  </si>
  <si>
    <t>J. K.</t>
  </si>
  <si>
    <t>1. Harry Potter and the philosopher's stone</t>
  </si>
  <si>
    <t>Bolton</t>
  </si>
  <si>
    <t>S.J.</t>
  </si>
  <si>
    <t>Blood harvest</t>
  </si>
  <si>
    <t>Balzac</t>
  </si>
  <si>
    <t>Honoré</t>
  </si>
  <si>
    <t>César Birotteau</t>
  </si>
  <si>
    <t>Bordage</t>
  </si>
  <si>
    <t>Pierre</t>
  </si>
  <si>
    <t>Wang - 1</t>
  </si>
  <si>
    <t>Boisset</t>
  </si>
  <si>
    <t>Eric</t>
  </si>
  <si>
    <t>L'oeuf du démon</t>
  </si>
  <si>
    <t>Brisou-Pellen</t>
  </si>
  <si>
    <t>Evelyne</t>
  </si>
  <si>
    <t>Prisonnière des Mongols</t>
  </si>
  <si>
    <t>Bourdon</t>
  </si>
  <si>
    <t>Françoise</t>
  </si>
  <si>
    <t>La figuière en héritage</t>
  </si>
  <si>
    <t>Brown</t>
  </si>
  <si>
    <t>Dan</t>
  </si>
  <si>
    <t>Angels and demons</t>
  </si>
  <si>
    <t>Boar &amp; Blundell</t>
  </si>
  <si>
    <t>The world's most infamous murders</t>
  </si>
  <si>
    <t>Burrows</t>
  </si>
  <si>
    <t>Millar</t>
  </si>
  <si>
    <t>Les manuscrits de la mer morte</t>
  </si>
  <si>
    <t>Bled</t>
  </si>
  <si>
    <t>Edouard</t>
  </si>
  <si>
    <t>J'avais un an en 1900</t>
  </si>
  <si>
    <t>Canavan</t>
  </si>
  <si>
    <t>Trudi</t>
  </si>
  <si>
    <t>The black magician - 2. The high lord</t>
  </si>
  <si>
    <t>The black magician - 2. The novice</t>
  </si>
  <si>
    <t>Barbeau</t>
  </si>
  <si>
    <t>Fabrice</t>
  </si>
  <si>
    <t>Itinéraire d'une mort annoncée</t>
  </si>
  <si>
    <t>Card</t>
  </si>
  <si>
    <t>Orson Scott</t>
  </si>
  <si>
    <t>Basilica</t>
  </si>
  <si>
    <t>Bao Lord</t>
  </si>
  <si>
    <t>Bette</t>
  </si>
  <si>
    <t>Lune de printemps</t>
  </si>
  <si>
    <t>Le général</t>
  </si>
  <si>
    <t>Abel</t>
  </si>
  <si>
    <t>Barbara</t>
  </si>
  <si>
    <t>La mort en écho</t>
  </si>
  <si>
    <t>Les chroniques d'Alvin le faiseur 4 - Le compagnon</t>
  </si>
  <si>
    <t>Isayama</t>
  </si>
  <si>
    <t>Hajime</t>
  </si>
  <si>
    <t>L'attaque des titans 1</t>
  </si>
  <si>
    <t>Bellemare</t>
  </si>
  <si>
    <t>Quand les femmes tuent</t>
  </si>
  <si>
    <t>Terre des origines - 3</t>
  </si>
  <si>
    <t>Boti</t>
  </si>
  <si>
    <t>Laurent</t>
  </si>
  <si>
    <t>La nuit du Verseau</t>
  </si>
  <si>
    <t>Charroux</t>
  </si>
  <si>
    <t>Robert</t>
  </si>
  <si>
    <t>Histoire inconnue des hommes</t>
  </si>
  <si>
    <t>Barclay</t>
  </si>
  <si>
    <t>Linwood</t>
  </si>
  <si>
    <t>Crains le pire</t>
  </si>
  <si>
    <t>Dantec</t>
  </si>
  <si>
    <t>Maurice G.</t>
  </si>
  <si>
    <t>Babylon babies</t>
  </si>
  <si>
    <t>Armstrong</t>
  </si>
  <si>
    <t>Ross</t>
  </si>
  <si>
    <t>Sous ses yeux</t>
  </si>
  <si>
    <t>David Neel</t>
  </si>
  <si>
    <t>Alexandra</t>
  </si>
  <si>
    <t>Astavakra Gîtâ, Avadhuta Gîtâ</t>
  </si>
  <si>
    <t>Bellotto</t>
  </si>
  <si>
    <t>Henri</t>
  </si>
  <si>
    <t>Le pacte interdit</t>
  </si>
  <si>
    <t>Mystiques et magiciens du Tibet</t>
  </si>
  <si>
    <t>Ben Jelloun</t>
  </si>
  <si>
    <t>Tahar</t>
  </si>
  <si>
    <t>Les yeux baissés</t>
  </si>
  <si>
    <t>De Villiers</t>
  </si>
  <si>
    <t>Gérard</t>
  </si>
  <si>
    <t>Le survivant - La chasse au sorcier</t>
  </si>
  <si>
    <t>Benacquista</t>
  </si>
  <si>
    <t>Tonino</t>
  </si>
  <si>
    <t>Malavita</t>
  </si>
  <si>
    <t>Le survivant - Noces macabres en Géorgie</t>
  </si>
  <si>
    <t>Le premier amour est toujours le dernier</t>
  </si>
  <si>
    <t>Le survivant - Nuit barbare</t>
  </si>
  <si>
    <t>Bernadac</t>
  </si>
  <si>
    <t>Christian</t>
  </si>
  <si>
    <t>Les médecins de l'impossible</t>
  </si>
  <si>
    <t>Donaldson</t>
  </si>
  <si>
    <t>Stephen</t>
  </si>
  <si>
    <t>La véritable histoire</t>
  </si>
  <si>
    <t>Bourdin</t>
  </si>
  <si>
    <t>Le testament d'Ariane</t>
  </si>
  <si>
    <t>Durrant</t>
  </si>
  <si>
    <t>Henry</t>
  </si>
  <si>
    <t>Les dossiers des O.V.N.I.</t>
  </si>
  <si>
    <t>Bristish Red Cross</t>
  </si>
  <si>
    <t>First aid manual</t>
  </si>
  <si>
    <t>Editeur Tchou</t>
  </si>
  <si>
    <t>La parapsychologie - L'infini sursis</t>
  </si>
  <si>
    <t>Briant</t>
  </si>
  <si>
    <t>Ginette</t>
  </si>
  <si>
    <t>Le vent de la plaine</t>
  </si>
  <si>
    <t>La parapsychologie - La défi à la matière</t>
  </si>
  <si>
    <t>Origine</t>
  </si>
  <si>
    <t>La parapsychologie - La vie d'avance</t>
  </si>
  <si>
    <t>Bruno</t>
  </si>
  <si>
    <t>Un palais sur le Nil</t>
  </si>
  <si>
    <t>La parapsychologie - Le regard magnétique</t>
  </si>
  <si>
    <t>Emergency first aid</t>
  </si>
  <si>
    <t>La parapsychologie - Les apparitions</t>
  </si>
  <si>
    <t>Brossard-Le Grand</t>
  </si>
  <si>
    <t>Monique</t>
  </si>
  <si>
    <t>Chienne de vie, je t'aime !</t>
  </si>
  <si>
    <t>La parapsychologie - Les corps à prodiges</t>
  </si>
  <si>
    <t>Briffa</t>
  </si>
  <si>
    <t>Merice</t>
  </si>
  <si>
    <t>La terre des promesses</t>
  </si>
  <si>
    <t>La parapsychologie - Les explorateurs de l'impossible</t>
  </si>
  <si>
    <t>Brock</t>
  </si>
  <si>
    <t>Biology of microorganisms</t>
  </si>
  <si>
    <t>Uni textbook</t>
  </si>
  <si>
    <t>La parapsychologie - Les extra-sensoriels</t>
  </si>
  <si>
    <t>Briscoe</t>
  </si>
  <si>
    <t>Constance</t>
  </si>
  <si>
    <t>Vilaine</t>
  </si>
  <si>
    <t>La parapsychologie - Les guérisseurs psi</t>
  </si>
  <si>
    <t>Brouillet</t>
  </si>
  <si>
    <t>Chrystine</t>
  </si>
  <si>
    <t>Marie LaFlamme</t>
  </si>
  <si>
    <t>La parapsychologie - Les hôtes invisibles</t>
  </si>
  <si>
    <t>Sandra</t>
  </si>
  <si>
    <t>La place de l'autre</t>
  </si>
  <si>
    <t>La parapsychologie - Les pouvoirs du pendule</t>
  </si>
  <si>
    <t>British Council</t>
  </si>
  <si>
    <t>Language Assistant</t>
  </si>
  <si>
    <t>La parapsychologie - Les transparents</t>
  </si>
  <si>
    <t>Beuglet</t>
  </si>
  <si>
    <t>Nicolas</t>
  </si>
  <si>
    <t>Complot</t>
  </si>
  <si>
    <t>Fairbank &amp; Goldman</t>
  </si>
  <si>
    <t>Histoire de la Chine</t>
  </si>
  <si>
    <t>Bernier</t>
  </si>
  <si>
    <t>Henriette</t>
  </si>
  <si>
    <t>Le bon Numéro</t>
  </si>
  <si>
    <t>Farmer</t>
  </si>
  <si>
    <t>Philip José</t>
  </si>
  <si>
    <t>Cosmos privé</t>
  </si>
  <si>
    <t>Barral</t>
  </si>
  <si>
    <t>René</t>
  </si>
  <si>
    <t>Les soleils de l'hiver</t>
  </si>
  <si>
    <t>Le monde lavalite</t>
  </si>
  <si>
    <t>Barton</t>
  </si>
  <si>
    <t>Beverly</t>
  </si>
  <si>
    <t>The dying game</t>
  </si>
  <si>
    <t>Les amants étrangers</t>
  </si>
  <si>
    <t>Les médecins maudits</t>
  </si>
  <si>
    <t>Les murs de la terre</t>
  </si>
  <si>
    <t>Benzoni</t>
  </si>
  <si>
    <t>Juliette</t>
  </si>
  <si>
    <t>Seigneurs de la nuit</t>
  </si>
  <si>
    <t>Les portes de la création</t>
  </si>
  <si>
    <t>Andrau</t>
  </si>
  <si>
    <t>Marianne</t>
  </si>
  <si>
    <t>Le paquebot des rencontres</t>
  </si>
  <si>
    <t>Forester</t>
  </si>
  <si>
    <t>C.S.</t>
  </si>
  <si>
    <t>Lord Hornblower</t>
  </si>
  <si>
    <t>Hawking</t>
  </si>
  <si>
    <t>Une brève histoire du temps</t>
  </si>
  <si>
    <t>Splendeurs et ténèbres du moyen âge</t>
  </si>
  <si>
    <t>Pavillon haut</t>
  </si>
  <si>
    <t>Andrews</t>
  </si>
  <si>
    <t>V.C.</t>
  </si>
  <si>
    <t>La famille Logan - 4. Petite musique de nuit</t>
  </si>
  <si>
    <t>Frèches</t>
  </si>
  <si>
    <t>José</t>
  </si>
  <si>
    <t>L'impératrice de la soie</t>
  </si>
  <si>
    <t>5. Harry Potter et l'Ordre du Phénix</t>
  </si>
  <si>
    <t>En lieux sûrs</t>
  </si>
  <si>
    <t>Gallo</t>
  </si>
  <si>
    <t>Max</t>
  </si>
  <si>
    <t>Napoléon 3 - L'empereru des rois</t>
  </si>
  <si>
    <t>Bouchery</t>
  </si>
  <si>
    <t>Sébastien</t>
  </si>
  <si>
    <t>Cardan</t>
  </si>
  <si>
    <t>Gaston</t>
  </si>
  <si>
    <t>Patrice</t>
  </si>
  <si>
    <t>Disparitions mystérieuses</t>
  </si>
  <si>
    <t>Adler</t>
  </si>
  <si>
    <t>Elizabeth</t>
  </si>
  <si>
    <t>Un été en Toscane</t>
  </si>
  <si>
    <t>Hassel</t>
  </si>
  <si>
    <t>Sven</t>
  </si>
  <si>
    <t>Bataillon de marche</t>
  </si>
  <si>
    <t>Hara</t>
  </si>
  <si>
    <t>Yusuhisa</t>
  </si>
  <si>
    <t>Kingdom 1</t>
  </si>
  <si>
    <t>Airth</t>
  </si>
  <si>
    <t>Rennie</t>
  </si>
  <si>
    <t>Un fleuve de ténèbres</t>
  </si>
  <si>
    <t>Conseil de guerre</t>
  </si>
  <si>
    <t>O'Donnell</t>
  </si>
  <si>
    <t>Cassandra</t>
  </si>
  <si>
    <t>Malenfer 1 - La forêt des ténèbres</t>
  </si>
  <si>
    <t>Ali</t>
  </si>
  <si>
    <t>Monica</t>
  </si>
  <si>
    <t>Sept mers et treize rivières</t>
  </si>
  <si>
    <t>Gestapo</t>
  </si>
  <si>
    <t>Malenfer 8 - Le troisième roi</t>
  </si>
  <si>
    <t>Agosin</t>
  </si>
  <si>
    <t>Marjorie</t>
  </si>
  <si>
    <t>A map of hope</t>
  </si>
  <si>
    <t>La légion des damnés</t>
  </si>
  <si>
    <t>Malenfer 7 - La cité noire</t>
  </si>
  <si>
    <t>Alem</t>
  </si>
  <si>
    <t>Kangni</t>
  </si>
  <si>
    <t>Esclaves</t>
  </si>
  <si>
    <t>Les panzers de la mort</t>
  </si>
  <si>
    <t>Malenfer 6 - Arachnia</t>
  </si>
  <si>
    <t>Alègre</t>
  </si>
  <si>
    <t>Jean-Paul</t>
  </si>
  <si>
    <t>Moi, Ota, rivière d'Iroshima</t>
  </si>
  <si>
    <t>Nathan - Carrés classiques</t>
  </si>
  <si>
    <t>Monte Cassino</t>
  </si>
  <si>
    <t>Malenfer 5 - Terres de glace</t>
  </si>
  <si>
    <t>Herbert</t>
  </si>
  <si>
    <t>Frank</t>
  </si>
  <si>
    <t>Dune</t>
  </si>
  <si>
    <t>Bouysse</t>
  </si>
  <si>
    <t>Franck</t>
  </si>
  <si>
    <t>Né d'aucune femme</t>
  </si>
  <si>
    <t>Hoa</t>
  </si>
  <si>
    <t>C'est du Chinois - Comprendre et parler</t>
  </si>
  <si>
    <t>Brashares</t>
  </si>
  <si>
    <t>Ann</t>
  </si>
  <si>
    <t>Le dernier été</t>
  </si>
  <si>
    <t>C'est du Chinois - Lire et écrire</t>
  </si>
  <si>
    <t>Aman</t>
  </si>
  <si>
    <t>Hopkins</t>
  </si>
  <si>
    <t>Jerry</t>
  </si>
  <si>
    <t>Jim Morrison, le roi lézard</t>
  </si>
  <si>
    <t>Malenfer 4 - Les sorcières des marais</t>
  </si>
  <si>
    <t>Bauwen</t>
  </si>
  <si>
    <t>Patrick</t>
  </si>
  <si>
    <t>L'oeil de Caine</t>
  </si>
  <si>
    <t>Howard</t>
  </si>
  <si>
    <t>Robert E.</t>
  </si>
  <si>
    <t>Conan le flibustier</t>
  </si>
  <si>
    <t>Barjavel</t>
  </si>
  <si>
    <t>Le grand secret</t>
  </si>
  <si>
    <t>Hubbard</t>
  </si>
  <si>
    <t>L. Ron</t>
  </si>
  <si>
    <t>L'ennemi intérieur</t>
  </si>
  <si>
    <t>Bazin</t>
  </si>
  <si>
    <t>Hervé</t>
  </si>
  <si>
    <t>Vipère au poing</t>
  </si>
  <si>
    <t>Livre de poche</t>
  </si>
  <si>
    <t>Huston</t>
  </si>
  <si>
    <t>Nancy</t>
  </si>
  <si>
    <t>Cantiques des plaines</t>
  </si>
  <si>
    <t>Baldacci</t>
  </si>
  <si>
    <t>David</t>
  </si>
  <si>
    <t>Sous haute protection</t>
  </si>
  <si>
    <t>Jacq</t>
  </si>
  <si>
    <t>La pierre de lumière, Penab l'ardent</t>
  </si>
  <si>
    <t>Armand</t>
  </si>
  <si>
    <t>Marie-Paul</t>
  </si>
  <si>
    <t>Un bouquet de dentelle</t>
  </si>
  <si>
    <t>Jovanovic</t>
  </si>
  <si>
    <t>La chute du Vatican et de Wall Sreet selon saint Jean</t>
  </si>
  <si>
    <t>L'enfant de la dernière chance</t>
  </si>
  <si>
    <t>Kotzwinkle</t>
  </si>
  <si>
    <t>William</t>
  </si>
  <si>
    <t>E.T.</t>
  </si>
  <si>
    <t>Bell</t>
  </si>
  <si>
    <t>Darcey</t>
  </si>
  <si>
    <t>Disparue</t>
  </si>
  <si>
    <t>Lagerlöf</t>
  </si>
  <si>
    <t>Selma</t>
  </si>
  <si>
    <t>Le merveilleux voyage de Nils Holgersson</t>
  </si>
  <si>
    <t>La famille Logan - 1.Melody</t>
  </si>
  <si>
    <t>Lee</t>
  </si>
  <si>
    <t>Chow Ching</t>
  </si>
  <si>
    <t>Le Palanquin des larmes</t>
  </si>
  <si>
    <t>Barde-Cabuçon</t>
  </si>
  <si>
    <t>Olivier</t>
  </si>
  <si>
    <t>Le moine et les singe-roi</t>
  </si>
  <si>
    <t>Limat</t>
  </si>
  <si>
    <t>Maurice</t>
  </si>
  <si>
    <t>Les vikings de Sirius</t>
  </si>
  <si>
    <t>Bigot</t>
  </si>
  <si>
    <t>Une si petite flamme</t>
  </si>
  <si>
    <t>Martin</t>
  </si>
  <si>
    <t>George</t>
  </si>
  <si>
    <t>Le trône de fer - L'intégrale 1</t>
  </si>
  <si>
    <t>Auteurs multiples</t>
  </si>
  <si>
    <t>2018. 13 à table</t>
  </si>
  <si>
    <t>McCaffrey</t>
  </si>
  <si>
    <t>Anne</t>
  </si>
  <si>
    <t>L'aube des dragons</t>
  </si>
  <si>
    <t>2020. 13 à table</t>
  </si>
  <si>
    <t>La Dame aux dragons</t>
  </si>
  <si>
    <t>Auslander</t>
  </si>
  <si>
    <t>Shalom</t>
  </si>
  <si>
    <t>Attention Dieu méchant</t>
  </si>
  <si>
    <t>Le chant du dragon</t>
  </si>
  <si>
    <t>2017. 13 à table</t>
  </si>
  <si>
    <t>Les enfants de Damia</t>
  </si>
  <si>
    <t>2016. 13 à table</t>
  </si>
  <si>
    <t>Lignes de force</t>
  </si>
  <si>
    <t>Augé-Courtois</t>
  </si>
  <si>
    <t>Marine</t>
  </si>
  <si>
    <t>Merci, papa, de m'avoir rendue invincible</t>
  </si>
  <si>
    <t>Terre d'élection</t>
  </si>
  <si>
    <t>Les enfants de la terre 5 : Les refuges de pierre</t>
  </si>
  <si>
    <t>The chronicles of Pern : first fall</t>
  </si>
  <si>
    <t>Berest</t>
  </si>
  <si>
    <t>La carte postale</t>
  </si>
  <si>
    <t>McMaster Bujold</t>
  </si>
  <si>
    <t>Lois</t>
  </si>
  <si>
    <t>Opération Cay</t>
  </si>
  <si>
    <t>Binoix</t>
  </si>
  <si>
    <t>Marguerite</t>
  </si>
  <si>
    <t>Battue</t>
  </si>
  <si>
    <t>Menzies</t>
  </si>
  <si>
    <t>Gavin</t>
  </si>
  <si>
    <t>Quelqu'un de bien</t>
  </si>
  <si>
    <t>Michal</t>
  </si>
  <si>
    <t>Bernard</t>
  </si>
  <si>
    <t>Découvreurs et pionniers de notre temps</t>
  </si>
  <si>
    <t xml:space="preserve"> Barclay</t>
  </si>
  <si>
    <t>Moorcock</t>
  </si>
  <si>
    <t>Michael</t>
  </si>
  <si>
    <t>Corum livre 1 - Le chevalier des épées</t>
  </si>
  <si>
    <t>Ohba</t>
  </si>
  <si>
    <t>Tsugumi</t>
  </si>
  <si>
    <t>Death note 1</t>
  </si>
  <si>
    <t>Abbott</t>
  </si>
  <si>
    <t>Rachel</t>
  </si>
  <si>
    <t>Le piège du silence</t>
  </si>
  <si>
    <t>Corum livre 2 - La reine des épées</t>
  </si>
  <si>
    <t>Mashima</t>
  </si>
  <si>
    <t>Hiro</t>
  </si>
  <si>
    <t>Fairytail 1</t>
  </si>
  <si>
    <t>La disparue de Noël</t>
  </si>
  <si>
    <t>Corum livre 3 - Le roi des épées</t>
  </si>
  <si>
    <t>Death note 3</t>
  </si>
  <si>
    <t>Abbé Prévost</t>
  </si>
  <si>
    <t>Manon Lescaut</t>
  </si>
  <si>
    <t>Etonnants Classiques, Flammarion</t>
  </si>
  <si>
    <t>Corum livre 4 - La lance et le taureau</t>
  </si>
  <si>
    <t>Death note 2</t>
  </si>
  <si>
    <t>2022. 13 à table</t>
  </si>
  <si>
    <t>La légende de Hawkmoon 1 - Le joyau noir</t>
  </si>
  <si>
    <t>2023. 13 à table</t>
  </si>
  <si>
    <t>La légende de Hawkmoon 2 - Le dieu fou</t>
  </si>
  <si>
    <t>Nicole</t>
  </si>
  <si>
    <t>Il y a longtemps que je t'aime</t>
  </si>
  <si>
    <t>La légende de Hawkmoon 6 - Le champion de Garathorm</t>
  </si>
  <si>
    <t>Camus</t>
  </si>
  <si>
    <t>Albert</t>
  </si>
  <si>
    <t>The plague</t>
  </si>
  <si>
    <t>Le cycle d'Elric 1 - Elric des dragons</t>
  </si>
  <si>
    <t>Arsan</t>
  </si>
  <si>
    <t>Emmanuelle</t>
  </si>
  <si>
    <t>Le cycle d'Elric 2 - La forteresse de la perle</t>
  </si>
  <si>
    <t>2021. 13 à table</t>
  </si>
  <si>
    <t>Le cycle d'Elric 3 - Le navigateur sur les mers du destin</t>
  </si>
  <si>
    <t>L'anti-vierge Emmanuelle</t>
  </si>
  <si>
    <t>Le cycle d'Elric 4 - Elric le nécromancien</t>
  </si>
  <si>
    <t>Les enfants d'Emmanuelle</t>
  </si>
  <si>
    <t>Le cycle d'Elric 5 - La sorcière dormante</t>
  </si>
  <si>
    <t>Aymé</t>
  </si>
  <si>
    <t>Marcel</t>
  </si>
  <si>
    <t>Le passe murail</t>
  </si>
  <si>
    <t>Le cycle d'Elric 6 - La revanche de la rose</t>
  </si>
  <si>
    <t>Axelsson</t>
  </si>
  <si>
    <t>Majgull</t>
  </si>
  <si>
    <t>La maison d'Augusta</t>
  </si>
  <si>
    <t>Le cycle d'Elric 7 - L'épée noire</t>
  </si>
  <si>
    <t>Calmel</t>
  </si>
  <si>
    <t>Mireille</t>
  </si>
  <si>
    <t>Le lit d'Alienor</t>
  </si>
  <si>
    <t>Le cycle d'Elric 8 - Stormbringer</t>
  </si>
  <si>
    <t>Campbell</t>
  </si>
  <si>
    <t>Ramsey</t>
  </si>
  <si>
    <t>La secte sans nom</t>
  </si>
  <si>
    <t>Le cycle d'Elric 9 - Elric à la fin des temps</t>
  </si>
  <si>
    <t>Nessmuk</t>
  </si>
  <si>
    <t>Woodcraft and camping</t>
  </si>
  <si>
    <t>Un aussi long chemin</t>
  </si>
  <si>
    <t>Norman</t>
  </si>
  <si>
    <t>John</t>
  </si>
  <si>
    <t>Les prêtres - Rois de Gor</t>
  </si>
  <si>
    <t>Sharon</t>
  </si>
  <si>
    <t>Sacrifice</t>
  </si>
  <si>
    <t>Nostradamus</t>
  </si>
  <si>
    <t>Les prophéties de Nostradamus</t>
  </si>
  <si>
    <t>Anouilh</t>
  </si>
  <si>
    <t>Jean</t>
  </si>
  <si>
    <t>Antigone</t>
  </si>
  <si>
    <t>La petite vermillon</t>
  </si>
  <si>
    <t>Paolini</t>
  </si>
  <si>
    <t>Christopher</t>
  </si>
  <si>
    <t>Brisingr</t>
  </si>
  <si>
    <t>3. Harry Potter and the prisoner of Azkaban</t>
  </si>
  <si>
    <t>L'enfance perdue</t>
  </si>
  <si>
    <t>Inheritance</t>
  </si>
  <si>
    <t>2. Harry Potter and the chamber of secrets</t>
  </si>
  <si>
    <t>La famille Logan - 5. Olivia, la chanson triste</t>
  </si>
  <si>
    <t>Phathanothaï</t>
  </si>
  <si>
    <t>Sirin</t>
  </si>
  <si>
    <t>La petite otage de la Chine rouge</t>
  </si>
  <si>
    <t>Bornsztejn</t>
  </si>
  <si>
    <t>Jimmy</t>
  </si>
  <si>
    <t>L'évadé, de l'étoile jaune à la French connection</t>
  </si>
  <si>
    <t>Pochan</t>
  </si>
  <si>
    <t>André</t>
  </si>
  <si>
    <t>L'énigme de la grande pyramide</t>
  </si>
  <si>
    <t>Asimov</t>
  </si>
  <si>
    <t>Isaac</t>
  </si>
  <si>
    <t>Le grand livre des robots - 1. Prélude à Tantor</t>
  </si>
  <si>
    <t>Pocock</t>
  </si>
  <si>
    <t>Tom</t>
  </si>
  <si>
    <t>Horatio Nelson</t>
  </si>
  <si>
    <t>Badani</t>
  </si>
  <si>
    <t>Sejal</t>
  </si>
  <si>
    <t>La passeuse d'histoires</t>
  </si>
  <si>
    <t>Randa</t>
  </si>
  <si>
    <t>P.</t>
  </si>
  <si>
    <t>Les survivants de Kor</t>
  </si>
  <si>
    <t>Instant crucial</t>
  </si>
  <si>
    <t>Rice</t>
  </si>
  <si>
    <t>La reine des damnés</t>
  </si>
  <si>
    <t>C'est arrivé un jour</t>
  </si>
  <si>
    <t>Le lien maléfique</t>
  </si>
  <si>
    <t>Un mariage d'amour</t>
  </si>
  <si>
    <t>Les infortunes de la belle au bois dormant - 2. La punition</t>
  </si>
  <si>
    <t>Arnothy</t>
  </si>
  <si>
    <t>Voyage de noce</t>
  </si>
  <si>
    <t>Lestat le vampire</t>
  </si>
  <si>
    <t>Ambrose</t>
  </si>
  <si>
    <t>Suspicion</t>
  </si>
  <si>
    <t>Taltos</t>
  </si>
  <si>
    <t>Pergaud</t>
  </si>
  <si>
    <t>Louis</t>
  </si>
  <si>
    <t>La guerre des boutons</t>
  </si>
  <si>
    <t>Beigbeder</t>
  </si>
  <si>
    <t>Frédéric</t>
  </si>
  <si>
    <t>L'amour dure trois ans</t>
  </si>
  <si>
    <t>Michel</t>
  </si>
  <si>
    <t>L'ange du chaos</t>
  </si>
  <si>
    <t>Bussi</t>
  </si>
  <si>
    <t>Sang famille</t>
  </si>
  <si>
    <t>Sade</t>
  </si>
  <si>
    <t>Aline et Valcour 1</t>
  </si>
  <si>
    <t>Buzzati</t>
  </si>
  <si>
    <t>Dino</t>
  </si>
  <si>
    <t>La fameuse invasion de la Sicile par les ours</t>
  </si>
  <si>
    <t>Folio junior, textes classiques</t>
  </si>
  <si>
    <t>Aline et Valcour 2</t>
  </si>
  <si>
    <t>Le K</t>
  </si>
  <si>
    <t>Contes silencieux</t>
  </si>
  <si>
    <t>Busser</t>
  </si>
  <si>
    <t>Christian &amp; Elisabeth</t>
  </si>
  <si>
    <t>En bonne santé avec les plantes des Alpes et d'ailleurs</t>
  </si>
  <si>
    <t>Juliette ou les prospérités du vice</t>
  </si>
  <si>
    <t>Callerot</t>
  </si>
  <si>
    <t>Geneviève</t>
  </si>
  <si>
    <t>La demoiselle du château</t>
  </si>
  <si>
    <t>Justine ou les malheurs de la vertu</t>
  </si>
  <si>
    <t>Nymphéas noirs</t>
  </si>
  <si>
    <t>La philosophie dans le boudoir</t>
  </si>
  <si>
    <t>Bryson</t>
  </si>
  <si>
    <t>Bill</t>
  </si>
  <si>
    <t>A short story of nearly everything</t>
  </si>
  <si>
    <t>Les cent vingt journées de Sodome 1</t>
  </si>
  <si>
    <t>Buck</t>
  </si>
  <si>
    <t>Pearl</t>
  </si>
  <si>
    <t>Impératrice de Chine</t>
  </si>
  <si>
    <t>Les cent vingt journées de Sodome 2</t>
  </si>
  <si>
    <t>Burgess</t>
  </si>
  <si>
    <t>Gemma</t>
  </si>
  <si>
    <t>The dating detox</t>
  </si>
  <si>
    <t>Les cent vingt journées de Sodome 3</t>
  </si>
  <si>
    <t>Le temps est assassin</t>
  </si>
  <si>
    <t>Les crimes de l'amour</t>
  </si>
  <si>
    <t>Boiti</t>
  </si>
  <si>
    <t>Servan-Schreiber</t>
  </si>
  <si>
    <t>Anticancer</t>
  </si>
  <si>
    <t>Daniel</t>
  </si>
  <si>
    <t>Les terres meurtries</t>
  </si>
  <si>
    <t>Simmons</t>
  </si>
  <si>
    <t>Hypérion 1</t>
  </si>
  <si>
    <t>La famille Logan - 3.Symphonie inachevée</t>
  </si>
  <si>
    <t>Simonay</t>
  </si>
  <si>
    <t>Antilia</t>
  </si>
  <si>
    <t>6. Harry Potter et le prince de sang-mélé</t>
  </si>
  <si>
    <t>Arpin</t>
  </si>
  <si>
    <t>Hélène</t>
  </si>
  <si>
    <t>Le roman de la Rosière Montvalezan de A à Z</t>
  </si>
  <si>
    <t>Phénix</t>
  </si>
  <si>
    <t>La famille Logan- 2.Le chant du coeur</t>
  </si>
  <si>
    <t>Sulitzer</t>
  </si>
  <si>
    <t>Paul-Loup</t>
  </si>
  <si>
    <t>L'enfant des 7 mers</t>
  </si>
  <si>
    <t>4. Harry Potter and the goblet of fire</t>
  </si>
  <si>
    <t>Bordes</t>
  </si>
  <si>
    <t>Gilbert</t>
  </si>
  <si>
    <t>Lumière à Cornemule</t>
  </si>
  <si>
    <t>Tarde</t>
  </si>
  <si>
    <t>Guy</t>
  </si>
  <si>
    <t>Les archives du savoir perdu</t>
  </si>
  <si>
    <t>L'inconnue de Peyrolles</t>
  </si>
  <si>
    <t>Les portes de l'Atlantide</t>
  </si>
  <si>
    <t>Fausses promesses</t>
  </si>
  <si>
    <t>Tolkien</t>
  </si>
  <si>
    <t>J.R.R.</t>
  </si>
  <si>
    <t>Bilbo le hobbit</t>
  </si>
  <si>
    <t>Baldacchi</t>
  </si>
  <si>
    <t>A gambling man</t>
  </si>
  <si>
    <t>Contes et légendes inachevés</t>
  </si>
  <si>
    <t>Dossiers secrets</t>
  </si>
  <si>
    <t>Le seigneur des anneaux - La communauté de l'anneau</t>
  </si>
  <si>
    <t>The murder game</t>
  </si>
  <si>
    <t>Troisi</t>
  </si>
  <si>
    <t>Licia</t>
  </si>
  <si>
    <t>Chronique du monde émergé - Livre 1</t>
  </si>
  <si>
    <t>Les nouveaux dossiers extraordinaires</t>
  </si>
  <si>
    <t>Truong</t>
  </si>
  <si>
    <t>Jean-Michel</t>
  </si>
  <si>
    <t>Le successeur de pierre</t>
  </si>
  <si>
    <t>Nom de jeune fille</t>
  </si>
  <si>
    <t>Ulrich</t>
  </si>
  <si>
    <t>Paul</t>
  </si>
  <si>
    <t>Les grandes enigmes des civilisations disparues</t>
  </si>
  <si>
    <t>Bouchard</t>
  </si>
  <si>
    <t>L'hymne des démons</t>
  </si>
  <si>
    <t>Van Däniken</t>
  </si>
  <si>
    <t>Erich</t>
  </si>
  <si>
    <t>Présence des extraterrestres</t>
  </si>
  <si>
    <t>No time for goodbye</t>
  </si>
  <si>
    <t>Vance</t>
  </si>
  <si>
    <t>Jack</t>
  </si>
  <si>
    <t>Les cinq rubans d'or</t>
  </si>
  <si>
    <t>Baker Kline</t>
  </si>
  <si>
    <t>Christina</t>
  </si>
  <si>
    <t>Le train des orphelins</t>
  </si>
  <si>
    <t>Varley</t>
  </si>
  <si>
    <t>Sorcière</t>
  </si>
  <si>
    <t>Beauvais</t>
  </si>
  <si>
    <t>Clémentine</t>
  </si>
  <si>
    <t>Brexit romance</t>
  </si>
  <si>
    <t>Vaxelaire</t>
  </si>
  <si>
    <t>Les mutins de la liberté</t>
  </si>
  <si>
    <t>Les sorciers du ciel</t>
  </si>
  <si>
    <t>Verne</t>
  </si>
  <si>
    <t>Jules</t>
  </si>
  <si>
    <t>Les enfants du capitaine Grant 1</t>
  </si>
  <si>
    <t>Amar</t>
  </si>
  <si>
    <t>Jack-Laurent</t>
  </si>
  <si>
    <t>L'ombre et sa lumière</t>
  </si>
  <si>
    <t>Von Dâniken</t>
  </si>
  <si>
    <t>Chariots of the gods</t>
  </si>
  <si>
    <t>Malenfer 3 - Les héritiers</t>
  </si>
  <si>
    <t>Les bois de Battandière</t>
  </si>
  <si>
    <t>L'or des dieux</t>
  </si>
  <si>
    <t>Alvtegen</t>
  </si>
  <si>
    <t>Karin</t>
  </si>
  <si>
    <t>Recherchée</t>
  </si>
  <si>
    <t>Wieck</t>
  </si>
  <si>
    <t>Stewart</t>
  </si>
  <si>
    <t>Vampire - Rongé par la bête 1</t>
  </si>
  <si>
    <t>Malenfer 2 - La source magique</t>
  </si>
  <si>
    <t>Béteille</t>
  </si>
  <si>
    <t>Roger</t>
  </si>
  <si>
    <t>La maison sur la place</t>
  </si>
  <si>
    <t>Zelazny</t>
  </si>
  <si>
    <t>Chevalier des ombres</t>
  </si>
  <si>
    <t>Clarisse</t>
  </si>
  <si>
    <t>Le signe du chaos</t>
  </si>
  <si>
    <t>Les enfants de la terre - 6. Le pays des grottes sacrées</t>
  </si>
  <si>
    <t>Zimmer Bradley</t>
  </si>
  <si>
    <t>Marion</t>
  </si>
  <si>
    <t>Adagio pour une ombre</t>
  </si>
  <si>
    <t>Aubrac</t>
  </si>
  <si>
    <t>Lucie</t>
  </si>
  <si>
    <t>Ils partiront dans l'ivresse</t>
  </si>
  <si>
    <t>La belle fauconnière</t>
  </si>
  <si>
    <t>Les courants de l'espace</t>
  </si>
  <si>
    <t>Le secret d'Avalon</t>
  </si>
  <si>
    <t>Les enfants de la terre - 1.Le clan de l'ours des cavernes</t>
  </si>
  <si>
    <t>Les casseurs de monde</t>
  </si>
  <si>
    <t>Les enfants de la terre - 4.Le grand voyage</t>
  </si>
  <si>
    <t>Projet Jason</t>
  </si>
  <si>
    <t>Les enfants de la terre - 5.Les refuges de pierres</t>
  </si>
  <si>
    <t>Redécouverte</t>
  </si>
  <si>
    <t>Les enfants de la terre - 3.Les chasseurs de mammouths</t>
  </si>
  <si>
    <t>Reine des orages</t>
  </si>
  <si>
    <t>Les enfants de la terre - 2.La vallée des chevaux</t>
  </si>
  <si>
    <t>Soleil sanglant</t>
  </si>
  <si>
    <t>Baudelaire</t>
  </si>
  <si>
    <t>Les fleurs du mal</t>
  </si>
  <si>
    <t>Traitor's sun</t>
  </si>
  <si>
    <t>Barnaby</t>
  </si>
  <si>
    <t>James</t>
  </si>
  <si>
    <t>A fleur de peau</t>
  </si>
  <si>
    <t>Zykë</t>
  </si>
  <si>
    <t>Cizia</t>
  </si>
  <si>
    <t>Oro</t>
  </si>
  <si>
    <t>Vent Africain</t>
  </si>
  <si>
    <t>Sahara</t>
  </si>
  <si>
    <t>Camut &amp; Hug</t>
  </si>
  <si>
    <t>Stigmate</t>
  </si>
  <si>
    <t>Age of the five - 1.Priestess of the white</t>
  </si>
  <si>
    <t>The traitor spy trilogy - 1. The ambassador's mission</t>
  </si>
  <si>
    <t>Cardin</t>
  </si>
  <si>
    <t>Alia</t>
  </si>
  <si>
    <t>Mademoiselle papillon</t>
  </si>
  <si>
    <t>Carey</t>
  </si>
  <si>
    <t>Lisa</t>
  </si>
  <si>
    <t>La petite fille fantôme</t>
  </si>
  <si>
    <t>Carlier</t>
  </si>
  <si>
    <t>Le coeur au ventre</t>
  </si>
  <si>
    <t>Carrière</t>
  </si>
  <si>
    <t>Un rêve en plus</t>
  </si>
  <si>
    <t>Carrisi</t>
  </si>
  <si>
    <t>Donato</t>
  </si>
  <si>
    <t>La maison sans souvenirs</t>
  </si>
  <si>
    <t>Le chuchoteur</t>
  </si>
  <si>
    <t>Carroll</t>
  </si>
  <si>
    <t>Lewis</t>
  </si>
  <si>
    <t>Alice au pays des merveilles</t>
  </si>
  <si>
    <t>Classiques &amp; patrimoine</t>
  </si>
  <si>
    <t>Carson</t>
  </si>
  <si>
    <t>Silent spring</t>
  </si>
  <si>
    <t>Carter</t>
  </si>
  <si>
    <t>Philip</t>
  </si>
  <si>
    <t>Le secret des glaces</t>
  </si>
  <si>
    <t>Carver</t>
  </si>
  <si>
    <t>Tania</t>
  </si>
  <si>
    <t>Cage of bones</t>
  </si>
  <si>
    <t>Casadesus</t>
  </si>
  <si>
    <t>Gisèle</t>
  </si>
  <si>
    <t>Cent ans, c'est passé si vite</t>
  </si>
  <si>
    <t>Case</t>
  </si>
  <si>
    <t>Le premier cavalier de l'apocalypse</t>
  </si>
  <si>
    <t>Casey</t>
  </si>
  <si>
    <t>Jane</t>
  </si>
  <si>
    <t>The close</t>
  </si>
  <si>
    <t>Castelot</t>
  </si>
  <si>
    <t>Madame de Maintenon, la reine secrète</t>
  </si>
  <si>
    <t>Cauvin</t>
  </si>
  <si>
    <t>Jardin fatal</t>
  </si>
  <si>
    <t>Torrentera</t>
  </si>
  <si>
    <t>Cellard</t>
  </si>
  <si>
    <t>Jacques</t>
  </si>
  <si>
    <t>Les petites marchandes de plaisir</t>
  </si>
  <si>
    <t>Chacon</t>
  </si>
  <si>
    <t>Dulce</t>
  </si>
  <si>
    <t>Voix endormies</t>
  </si>
  <si>
    <t>Chaine</t>
  </si>
  <si>
    <t>Mémoire d'un rat</t>
  </si>
  <si>
    <t>Classiques &amp; contemporains</t>
  </si>
  <si>
    <t>Chamberlain</t>
  </si>
  <si>
    <t>Diane</t>
  </si>
  <si>
    <t>Les falaises de Carmel</t>
  </si>
  <si>
    <t>Chang</t>
  </si>
  <si>
    <t>Jung</t>
  </si>
  <si>
    <t>Wild swans</t>
  </si>
  <si>
    <t>Theresa</t>
  </si>
  <si>
    <t>Pour un seul week-end</t>
  </si>
  <si>
    <t>Chattam</t>
  </si>
  <si>
    <t>Maxime</t>
  </si>
  <si>
    <t>L'äme du mal</t>
  </si>
  <si>
    <t>Le signal</t>
  </si>
  <si>
    <t>Chevalier</t>
  </si>
  <si>
    <t>Tracy</t>
  </si>
  <si>
    <t>A l'orée du verger</t>
  </si>
  <si>
    <t>Chevy</t>
  </si>
  <si>
    <t>Stevens</t>
  </si>
  <si>
    <t>Liés à tout jamais</t>
  </si>
  <si>
    <t>Christie</t>
  </si>
  <si>
    <t>Agatha</t>
  </si>
  <si>
    <t>Dix petits nègres</t>
  </si>
  <si>
    <t>La mort dans les nuages</t>
  </si>
  <si>
    <t>Poirot quitte la scène</t>
  </si>
  <si>
    <t>Ciano</t>
  </si>
  <si>
    <t>Edda</t>
  </si>
  <si>
    <t>Témoignage pour un homme</t>
  </si>
  <si>
    <t>Clark</t>
  </si>
  <si>
    <t>Mary Jane</t>
  </si>
  <si>
    <t>Nulle part où aller</t>
  </si>
  <si>
    <t>Clarke</t>
  </si>
  <si>
    <t>A year in the merde</t>
  </si>
  <si>
    <t>Clavel</t>
  </si>
  <si>
    <t>Amarok</t>
  </si>
  <si>
    <t>Cargo pour l'enfer</t>
  </si>
  <si>
    <t>Harricana</t>
  </si>
  <si>
    <t>L'angélus du soir</t>
  </si>
  <si>
    <t>L'or de la terre</t>
  </si>
  <si>
    <t>La femme de guerre</t>
  </si>
  <si>
    <t>La révolte à deux sous</t>
  </si>
  <si>
    <t>Le soleil des morts</t>
  </si>
  <si>
    <t>Malataverne</t>
  </si>
  <si>
    <t>Maudits sauvages</t>
  </si>
  <si>
    <t>Miséréré</t>
  </si>
  <si>
    <t>Clayton</t>
  </si>
  <si>
    <t>Victoria</t>
  </si>
  <si>
    <t>Un mariage trop parfait</t>
  </si>
  <si>
    <t>Clement</t>
  </si>
  <si>
    <t>Peter</t>
  </si>
  <si>
    <t>Lethal practice</t>
  </si>
  <si>
    <t>Clément</t>
  </si>
  <si>
    <t>Sauf les fleurs</t>
  </si>
  <si>
    <t>Cloarec</t>
  </si>
  <si>
    <t>Séraphine</t>
  </si>
  <si>
    <t>Coatmeur</t>
  </si>
  <si>
    <t>Jean-François</t>
  </si>
  <si>
    <t>La nuit rouge</t>
  </si>
  <si>
    <t>Coben</t>
  </si>
  <si>
    <t>Harlan</t>
  </si>
  <si>
    <t>Dans les bois</t>
  </si>
  <si>
    <t>Double piège</t>
  </si>
  <si>
    <t>Faute de preuves</t>
  </si>
  <si>
    <t>Ne le dis à personne...</t>
  </si>
  <si>
    <t>Ne t'enfuis plus</t>
  </si>
  <si>
    <t>Sous haute tension</t>
  </si>
  <si>
    <t>Une chance de trop</t>
  </si>
  <si>
    <t>Coelho</t>
  </si>
  <si>
    <t>Paulo</t>
  </si>
  <si>
    <t>The alchimist</t>
  </si>
  <si>
    <t>Coleman</t>
  </si>
  <si>
    <t>The accidental mother</t>
  </si>
  <si>
    <t>Colgan</t>
  </si>
  <si>
    <t>Jenny</t>
  </si>
  <si>
    <t>Do you remember the first time ?</t>
  </si>
  <si>
    <t>Colin</t>
  </si>
  <si>
    <t>Personne ne te sauvera</t>
  </si>
  <si>
    <t>Flammarion</t>
  </si>
  <si>
    <t>Collognat</t>
  </si>
  <si>
    <t>Annie</t>
  </si>
  <si>
    <t>20 métamorphoses d'Ovides</t>
  </si>
  <si>
    <t>Colombani</t>
  </si>
  <si>
    <t>Laetitia</t>
  </si>
  <si>
    <t>Les victorieuses</t>
  </si>
  <si>
    <t>Comité National...</t>
  </si>
  <si>
    <t>Natzwiller Struhof</t>
  </si>
  <si>
    <t>Connelly</t>
  </si>
  <si>
    <t>City of bones</t>
  </si>
  <si>
    <t>Créance de sang</t>
  </si>
  <si>
    <t>Connely</t>
  </si>
  <si>
    <t>Le poëte</t>
  </si>
  <si>
    <t>The brass verdict</t>
  </si>
  <si>
    <t>The Lincoln lawyer</t>
  </si>
  <si>
    <t>Michaël</t>
  </si>
  <si>
    <t>Volte-face</t>
  </si>
  <si>
    <t>Connolly</t>
  </si>
  <si>
    <t>...Laissez toute espérance</t>
  </si>
  <si>
    <t>Bad men</t>
  </si>
  <si>
    <t>Connoly</t>
  </si>
  <si>
    <t>Dark hollow</t>
  </si>
  <si>
    <t>Constant</t>
  </si>
  <si>
    <t>Benjamin</t>
  </si>
  <si>
    <t>Adolphe</t>
  </si>
  <si>
    <t>Cook</t>
  </si>
  <si>
    <t>Robin</t>
  </si>
  <si>
    <t>Invasion</t>
  </si>
  <si>
    <t>Shock</t>
  </si>
  <si>
    <t>Corbin</t>
  </si>
  <si>
    <t>Hubert</t>
  </si>
  <si>
    <t>Nécropole</t>
  </si>
  <si>
    <t>Cornaille</t>
  </si>
  <si>
    <t>Didier</t>
  </si>
  <si>
    <t>Les terres abandonnées</t>
  </si>
  <si>
    <t>Corneille</t>
  </si>
  <si>
    <t>Le Cid</t>
  </si>
  <si>
    <t>Librio</t>
  </si>
  <si>
    <t>Cornwell</t>
  </si>
  <si>
    <t>Patricia</t>
  </si>
  <si>
    <t>Mordoc</t>
  </si>
  <si>
    <t>PostMortem</t>
  </si>
  <si>
    <t>Scarpetta</t>
  </si>
  <si>
    <t>The body farm</t>
  </si>
  <si>
    <t>Une mort sans nom</t>
  </si>
  <si>
    <t>Cortès</t>
  </si>
  <si>
    <t>En chemin vers Rome</t>
  </si>
  <si>
    <t>Cotterell</t>
  </si>
  <si>
    <t>Arthur</t>
  </si>
  <si>
    <t>Encyclopedia of world mythology</t>
  </si>
  <si>
    <t>Cottrell</t>
  </si>
  <si>
    <t>Stella</t>
  </si>
  <si>
    <t>Skills for success</t>
  </si>
  <si>
    <t>The study skills handbook</t>
  </si>
  <si>
    <t>Coulonges</t>
  </si>
  <si>
    <t>Georges</t>
  </si>
  <si>
    <t>Les terres gelées</t>
  </si>
  <si>
    <t>Courtillé</t>
  </si>
  <si>
    <t>L'arbre des dames</t>
  </si>
  <si>
    <t>Cousture</t>
  </si>
  <si>
    <t>Arlette</t>
  </si>
  <si>
    <t>Les filles de caleb - 1. Emilie</t>
  </si>
  <si>
    <t>Les filles de caleb - 2. Blanche</t>
  </si>
  <si>
    <t>Couzens &amp; Langman</t>
  </si>
  <si>
    <t>Oiseaux de nos jardins</t>
  </si>
  <si>
    <t>Cox</t>
  </si>
  <si>
    <t>The elements on earth</t>
  </si>
  <si>
    <t>Cressot</t>
  </si>
  <si>
    <t>Joseph</t>
  </si>
  <si>
    <t>Le pain au lièvre</t>
  </si>
  <si>
    <t>Crombie</t>
  </si>
  <si>
    <t>Deborah</t>
  </si>
  <si>
    <t>Ne réveillez pas les morts</t>
  </si>
  <si>
    <t>Cross</t>
  </si>
  <si>
    <t>Neil</t>
  </si>
  <si>
    <t>I resti di lei</t>
  </si>
  <si>
    <t>It</t>
  </si>
  <si>
    <t>Crusie</t>
  </si>
  <si>
    <t>Crazy for you</t>
  </si>
  <si>
    <t>Cruz Smith</t>
  </si>
  <si>
    <t>Rose</t>
  </si>
  <si>
    <t>Currell &amp; Dowman</t>
  </si>
  <si>
    <t>Essential mathematics and statistics for science</t>
  </si>
  <si>
    <t>D'Ivoi</t>
  </si>
  <si>
    <t>Le docteur mystère</t>
  </si>
  <si>
    <t>D'Orléans</t>
  </si>
  <si>
    <t>Pierre Jacques</t>
  </si>
  <si>
    <t>Les ténébreuses affaires du Comte de Paris</t>
  </si>
  <si>
    <t>Daeninckx</t>
  </si>
  <si>
    <t>Tragic city blues</t>
  </si>
  <si>
    <t>Dalaï-Lama</t>
  </si>
  <si>
    <t>365 méditations quotidiennes du Dalaï-Lama</t>
  </si>
  <si>
    <t>L'art du bonheur</t>
  </si>
  <si>
    <t>L'art du bonheur 2</t>
  </si>
  <si>
    <t>Damasio</t>
  </si>
  <si>
    <t>Alain</t>
  </si>
  <si>
    <t>La zone du dehors</t>
  </si>
  <si>
    <t>Les résidents</t>
  </si>
  <si>
    <t>Dardenne</t>
  </si>
  <si>
    <t>Sabine</t>
  </si>
  <si>
    <t>J'avais 12 ans, j'ai pris mon vélo et je suis partie à l'école</t>
  </si>
  <si>
    <t>Daudet</t>
  </si>
  <si>
    <t>Alphonse</t>
  </si>
  <si>
    <t>Lettres de mon moulin / Le petit chose</t>
  </si>
  <si>
    <t>De Balzac</t>
  </si>
  <si>
    <t>La peau de chagrin</t>
  </si>
  <si>
    <t>Biblio lycée, Hachette</t>
  </si>
  <si>
    <t>De Buron</t>
  </si>
  <si>
    <t>Mon coeur, tu penses à quoi ?</t>
  </si>
  <si>
    <t>De Gouge</t>
  </si>
  <si>
    <t>Olympe</t>
  </si>
  <si>
    <t>Déclaration des droits de la femme et de la citoyenne</t>
  </si>
  <si>
    <t>Classico Lycée, Belin Gallimard, nouveau Bac</t>
  </si>
  <si>
    <t>De la Fontaine</t>
  </si>
  <si>
    <t>Fables</t>
  </si>
  <si>
    <t>De La Fontaine</t>
  </si>
  <si>
    <t>Fables de La Fontaine</t>
  </si>
  <si>
    <t>De Mailly Nesle</t>
  </si>
  <si>
    <t>Solange</t>
  </si>
  <si>
    <t>L'Astrologie</t>
  </si>
  <si>
    <t>De Maupassant</t>
  </si>
  <si>
    <t>Aux champs et autres nouvelles</t>
  </si>
  <si>
    <t>De Montella</t>
  </si>
  <si>
    <t>Le diable dans l'île</t>
  </si>
  <si>
    <t>Flammarion jeunesse</t>
  </si>
  <si>
    <t>De Musset</t>
  </si>
  <si>
    <t>Alfred</t>
  </si>
  <si>
    <t>On ne badine pas avec l'amour</t>
  </si>
  <si>
    <t>Carrés classiques lycée</t>
  </si>
  <si>
    <t>De Troyes</t>
  </si>
  <si>
    <t>Chrétien</t>
  </si>
  <si>
    <t>Yvain, le chevalier au lion</t>
  </si>
  <si>
    <t>Classsique &amp; Cie collège</t>
  </si>
  <si>
    <t>Deaver</t>
  </si>
  <si>
    <t>Jeffery</t>
  </si>
  <si>
    <t>XO</t>
  </si>
  <si>
    <t>Decaux</t>
  </si>
  <si>
    <t>L'histoire de France</t>
  </si>
  <si>
    <t>Decoin</t>
  </si>
  <si>
    <t>Meurtre à l'Anglaise</t>
  </si>
  <si>
    <t>Deforges</t>
  </si>
  <si>
    <t>Régine</t>
  </si>
  <si>
    <t>La bicyclette bleue</t>
  </si>
  <si>
    <t>Delly</t>
  </si>
  <si>
    <t>L'ondine de Capdeuilles</t>
  </si>
  <si>
    <t>Les seigneurs loups</t>
  </si>
  <si>
    <t>Salvatore Falnerra</t>
  </si>
  <si>
    <t>Delomme</t>
  </si>
  <si>
    <t>Martine</t>
  </si>
  <si>
    <t>Un été d'ombre et de lumière</t>
  </si>
  <si>
    <t>Delpart</t>
  </si>
  <si>
    <t>Raphaël</t>
  </si>
  <si>
    <t>20 ans pendant la guerre d'Algérie</t>
  </si>
  <si>
    <t>Demers</t>
  </si>
  <si>
    <t>Dominique</t>
  </si>
  <si>
    <t>Un hiver de tourmente</t>
  </si>
  <si>
    <t>Denis</t>
  </si>
  <si>
    <t>Les mots du passé</t>
  </si>
  <si>
    <t>Denuzière</t>
  </si>
  <si>
    <t>1. Louisiane</t>
  </si>
  <si>
    <t>2. Fausse-Rivière</t>
  </si>
  <si>
    <t>3. Bagatelle</t>
  </si>
  <si>
    <t>Les Trois-Chênes</t>
  </si>
  <si>
    <t>Derac</t>
  </si>
  <si>
    <t>Guichard</t>
  </si>
  <si>
    <t>Aussi féroce que dieu</t>
  </si>
  <si>
    <t>Des Cars</t>
  </si>
  <si>
    <t>L'impure</t>
  </si>
  <si>
    <t>Desjours</t>
  </si>
  <si>
    <t>Ingrid</t>
  </si>
  <si>
    <t>La prunelle de ses yeux</t>
  </si>
  <si>
    <t>Destombes</t>
  </si>
  <si>
    <t>Sandrine</t>
  </si>
  <si>
    <t>Le dernier procès de Victor Melki</t>
  </si>
  <si>
    <t>Dextreit</t>
  </si>
  <si>
    <t>Raymond</t>
  </si>
  <si>
    <t>L'argile qui guérit</t>
  </si>
  <si>
    <t>Diderot</t>
  </si>
  <si>
    <t>Supplément au voyage de Bougainville</t>
  </si>
  <si>
    <t>Folio classique</t>
  </si>
  <si>
    <t>Claude</t>
  </si>
  <si>
    <t>Les mystères de la Drôme</t>
  </si>
  <si>
    <t>Documentation scolaire</t>
  </si>
  <si>
    <t>Roches, minéraux</t>
  </si>
  <si>
    <t>Donnelly</t>
  </si>
  <si>
    <t>Jennifer</t>
  </si>
  <si>
    <t>L'ange de whitechapel</t>
  </si>
  <si>
    <t>Dormann</t>
  </si>
  <si>
    <t>Le roman de Sophie Trébuchet</t>
  </si>
  <si>
    <t>Dostoievski</t>
  </si>
  <si>
    <t>L'idiot</t>
  </si>
  <si>
    <t>Douglas</t>
  </si>
  <si>
    <t>Claire</t>
  </si>
  <si>
    <t>Les jumelles</t>
  </si>
  <si>
    <t>Doussy</t>
  </si>
  <si>
    <t>Guide des secrets de l'antiquaire</t>
  </si>
  <si>
    <t>Doyle</t>
  </si>
  <si>
    <t>Conan</t>
  </si>
  <si>
    <t>Le chien des Baskerville</t>
  </si>
  <si>
    <t>Le monde perdu</t>
  </si>
  <si>
    <t>Dr Avril</t>
  </si>
  <si>
    <t>La santé naturelle avec l'apithérapie</t>
  </si>
  <si>
    <t>Dr Horvilleur</t>
  </si>
  <si>
    <t>Guide familial de l'homéopathie</t>
  </si>
  <si>
    <t>Drouin</t>
  </si>
  <si>
    <t>De mères en filles : Alice - Tome 1</t>
  </si>
  <si>
    <t>Druon</t>
  </si>
  <si>
    <t>Les rois maudits 1 - Le roi de fer</t>
  </si>
  <si>
    <t>Les rois maudits 4 - La loi des mâles</t>
  </si>
  <si>
    <t>Les rois maudits 7 - Quand un roi perd la France</t>
  </si>
  <si>
    <t>Rendez-vous aux enfers</t>
  </si>
  <si>
    <t>Duenas</t>
  </si>
  <si>
    <t>Maria</t>
  </si>
  <si>
    <t>Le fil du destin</t>
  </si>
  <si>
    <t>Duguël</t>
  </si>
  <si>
    <t>La petite fille aux araignées</t>
  </si>
  <si>
    <t>Dumas</t>
  </si>
  <si>
    <t>Alexandre</t>
  </si>
  <si>
    <t>Les trois mousquetaires</t>
  </si>
  <si>
    <t>Auzou clasiques</t>
  </si>
  <si>
    <t>Dunn</t>
  </si>
  <si>
    <t>Suzannah</t>
  </si>
  <si>
    <t>The confession of Katherine Howard</t>
  </si>
  <si>
    <t>Dunning</t>
  </si>
  <si>
    <t>Les mécanos de la mort</t>
  </si>
  <si>
    <t>Duperey</t>
  </si>
  <si>
    <t>Anny</t>
  </si>
  <si>
    <t>Le voile noir</t>
  </si>
  <si>
    <t>Dupuy</t>
  </si>
  <si>
    <t>Marie-Bernadette</t>
  </si>
  <si>
    <t>Abigaël - 1. Messagère des anges</t>
  </si>
  <si>
    <t>Abigaël - 2. Messagère des anges</t>
  </si>
  <si>
    <t>Abigaël - 3. Messagère des anges</t>
  </si>
  <si>
    <t>Abigaël - 4. Messagère des anges</t>
  </si>
  <si>
    <t>Abigaël - 5. Messagère des anges</t>
  </si>
  <si>
    <t>Abigaël - 6. Messagère des anges</t>
  </si>
  <si>
    <t>Angelina - 1. Les mains de la vie</t>
  </si>
  <si>
    <t>Angelina - 2. Le temps de délivrances</t>
  </si>
  <si>
    <t>Angelina - 3. Le souffle de l'aurore</t>
  </si>
  <si>
    <t>Famille Roy - 1. Le moulin du loup</t>
  </si>
  <si>
    <t>Famille Roy - 2. Le chemin des falaises</t>
  </si>
  <si>
    <t>Famille Roy - 3. La vallée des Eaux-Claires</t>
  </si>
  <si>
    <t>Famille Roy - 4. La grotte aus fées</t>
  </si>
  <si>
    <t>Famille Roy - 5. Les ravages de la passion</t>
  </si>
  <si>
    <t>Famille Roy - 6. Les occupants du domaine</t>
  </si>
  <si>
    <t>L'orpheline de Manhattan - 1. L'orpheline de Manhattan</t>
  </si>
  <si>
    <t>L'orpheline de Manhattan - 2. Les lumières de Broadway</t>
  </si>
  <si>
    <t>L'orpheline de Manhattan - 3. Les larmes de l'Hudson</t>
  </si>
  <si>
    <t>La galerie des jalouses - Tome 1</t>
  </si>
  <si>
    <t>La galerie des jalouses - Tome 2</t>
  </si>
  <si>
    <t>La galerie des jalouses - Tome 3</t>
  </si>
  <si>
    <t>Le cachot de Hautefaille</t>
  </si>
  <si>
    <t>Le chant de l'océan</t>
  </si>
  <si>
    <t>Les amants du presbystère</t>
  </si>
  <si>
    <t>Les Bories - 1. L'orpheline du bois des loups</t>
  </si>
  <si>
    <t>Les Bories - 2.La demoiselle des Bories</t>
  </si>
  <si>
    <t>Les enquêtes de Maud Delage - Du sang sous les collines (2012)</t>
  </si>
  <si>
    <t>Les enquêtes de Maud Delage - Un festival meurtrier (2013)</t>
  </si>
  <si>
    <t>Les fiancés du Rhin</t>
  </si>
  <si>
    <t>Val-Jalbert - 1. L'enfant des neiges</t>
  </si>
  <si>
    <t>Val-Jalbert - 2. Le Rossignol de Val-Jabert</t>
  </si>
  <si>
    <t>Val-Jalbert - 3. Les soupirs du vent</t>
  </si>
  <si>
    <t>Val-Jalbert - 4. Les marionnettes du destin</t>
  </si>
  <si>
    <t>Val-Jalbert - 6. L'ange du lac</t>
  </si>
  <si>
    <t>Duras</t>
  </si>
  <si>
    <t>Un barrage contre le Pacifique</t>
  </si>
  <si>
    <t>Duroy</t>
  </si>
  <si>
    <t>Lionel</t>
  </si>
  <si>
    <t>Le cahier de Turin</t>
  </si>
  <si>
    <t>Sabrina</t>
  </si>
  <si>
    <t>Having it and eating it</t>
  </si>
  <si>
    <t>Ecrem</t>
  </si>
  <si>
    <t>Francis</t>
  </si>
  <si>
    <t>Adéodat, le flocon de suie</t>
  </si>
  <si>
    <t>Eliot</t>
  </si>
  <si>
    <t>Winslow</t>
  </si>
  <si>
    <t>L'innocence du mal</t>
  </si>
  <si>
    <t>Emmanuelli</t>
  </si>
  <si>
    <t>Xavier</t>
  </si>
  <si>
    <t>S'en fout la mort</t>
  </si>
  <si>
    <t>Enriquez</t>
  </si>
  <si>
    <t>Mariana</t>
  </si>
  <si>
    <t>Notre part de nuit</t>
  </si>
  <si>
    <t>Erdrich</t>
  </si>
  <si>
    <t>Louise</t>
  </si>
  <si>
    <t>Ce qui a dévoré nos coeurs</t>
  </si>
  <si>
    <t>Celui qui veille</t>
  </si>
  <si>
    <t>L'enfant de la prochaine aurore</t>
  </si>
  <si>
    <t>La malédiction des colombes</t>
  </si>
  <si>
    <t>La rose</t>
  </si>
  <si>
    <t>Love medecine</t>
  </si>
  <si>
    <t>Erickson</t>
  </si>
  <si>
    <t>Carolly</t>
  </si>
  <si>
    <t>Bloody Mary</t>
  </si>
  <si>
    <t>Erikson</t>
  </si>
  <si>
    <t>Lynn</t>
  </si>
  <si>
    <t>La femme piégée</t>
  </si>
  <si>
    <t>Evans</t>
  </si>
  <si>
    <t>Nicholas</t>
  </si>
  <si>
    <t>Le cercle des loups</t>
  </si>
  <si>
    <t>Le coeur des flammes</t>
  </si>
  <si>
    <t>F.</t>
  </si>
  <si>
    <t>Christiane</t>
  </si>
  <si>
    <t>Moi, Christiane F., droguée, prostituée...</t>
  </si>
  <si>
    <t>Farris</t>
  </si>
  <si>
    <t>Furie</t>
  </si>
  <si>
    <t>Favan</t>
  </si>
  <si>
    <t>Le tueur intime</t>
  </si>
  <si>
    <t>Fergus</t>
  </si>
  <si>
    <t>Jim</t>
  </si>
  <si>
    <t>1. Mille femmes blanches</t>
  </si>
  <si>
    <t>2. La vengeance des mères</t>
  </si>
  <si>
    <t>3. Les Amazones</t>
  </si>
  <si>
    <t>7. La fille sauvage</t>
  </si>
  <si>
    <t>Fermine</t>
  </si>
  <si>
    <t>Maxence</t>
  </si>
  <si>
    <t>Neige</t>
  </si>
  <si>
    <t>Points</t>
  </si>
  <si>
    <t>Ferre</t>
  </si>
  <si>
    <t>Christophe</t>
  </si>
  <si>
    <t>La petite fille du phare</t>
  </si>
  <si>
    <t>Ferrier</t>
  </si>
  <si>
    <t>Encore faut-il rester vivants</t>
  </si>
  <si>
    <t>Féval</t>
  </si>
  <si>
    <t>Le bossus</t>
  </si>
  <si>
    <t>Le livre de poche, classiques</t>
  </si>
  <si>
    <t>Fielding</t>
  </si>
  <si>
    <t>Helen</t>
  </si>
  <si>
    <t>Bridget Jones - Mad about a boy</t>
  </si>
  <si>
    <t>Bridget Jones's diary</t>
  </si>
  <si>
    <t>Cause céleb'</t>
  </si>
  <si>
    <t>Joy</t>
  </si>
  <si>
    <t>Intrusions</t>
  </si>
  <si>
    <t>Ne me racontez pas d'histoires</t>
  </si>
  <si>
    <t>Olivia Joules ou l'imagination hyperactive</t>
  </si>
  <si>
    <t>Vies éclatées</t>
  </si>
  <si>
    <t>Flaubert</t>
  </si>
  <si>
    <t>Gustave</t>
  </si>
  <si>
    <t>Madame Bovary</t>
  </si>
  <si>
    <t>Fleming</t>
  </si>
  <si>
    <t>Leah</t>
  </si>
  <si>
    <t>L'enfant du Titanic</t>
  </si>
  <si>
    <t>Flett</t>
  </si>
  <si>
    <t>Kathryn</t>
  </si>
  <si>
    <t>The heart-shaped bullet</t>
  </si>
  <si>
    <t>Folco</t>
  </si>
  <si>
    <t>Un loup est un loup</t>
  </si>
  <si>
    <t>Follett</t>
  </si>
  <si>
    <t>Ken</t>
  </si>
  <si>
    <t>Une colonne de feu</t>
  </si>
  <si>
    <t>Fombelle</t>
  </si>
  <si>
    <t>Thimothee de</t>
  </si>
  <si>
    <t>Le livre de perle</t>
  </si>
  <si>
    <t>Forge</t>
  </si>
  <si>
    <t>Sylvain</t>
  </si>
  <si>
    <t>Tension extrême</t>
  </si>
  <si>
    <t>Fouassier</t>
  </si>
  <si>
    <t>Le bureau des affaires occultes - Le fantôme di vicaire</t>
  </si>
  <si>
    <t>Fouchet</t>
  </si>
  <si>
    <t>Lorraine</t>
  </si>
  <si>
    <t>24 heures de trop</t>
  </si>
  <si>
    <t>Frain</t>
  </si>
  <si>
    <t>Irène</t>
  </si>
  <si>
    <t>Histoire de Lou</t>
  </si>
  <si>
    <t>Le journal d'Anne Frank</t>
  </si>
  <si>
    <t>L'empire des larmes, la guerre de l'Opium</t>
  </si>
  <si>
    <t>Le disque de Jade - Les îles immortelles ***</t>
  </si>
  <si>
    <t>Le disque de jade - Poisson d'or **</t>
  </si>
  <si>
    <t>Frère Richard</t>
  </si>
  <si>
    <t>Daech &amp; l'Islam</t>
  </si>
  <si>
    <t>Frison-Roche</t>
  </si>
  <si>
    <t>La grande crevasse</t>
  </si>
  <si>
    <t>Fugain</t>
  </si>
  <si>
    <t>Marie</t>
  </si>
  <si>
    <t>Moi, on ne m'a jamais demandé comment j'allais</t>
  </si>
  <si>
    <t>Gagnon-Thibaudeau</t>
  </si>
  <si>
    <t>Marthe</t>
  </si>
  <si>
    <t>La boiteuse</t>
  </si>
  <si>
    <t>Galbraith</t>
  </si>
  <si>
    <t>La carrière du mal</t>
  </si>
  <si>
    <t>Louis XIV - 1. Le Roi Soleil</t>
  </si>
  <si>
    <t>Louis XIV - 2. L'hiver du grand roi</t>
  </si>
  <si>
    <t>Garde</t>
  </si>
  <si>
    <t>François</t>
  </si>
  <si>
    <t>Ce qu'il advint du sauvage blanc</t>
  </si>
  <si>
    <t>Gardet</t>
  </si>
  <si>
    <t>Les plantes aromatiques</t>
  </si>
  <si>
    <t>Gardner</t>
  </si>
  <si>
    <t>Famille Parfaite</t>
  </si>
  <si>
    <t>Ferniers adieux</t>
  </si>
  <si>
    <t>La maison d'à côté</t>
  </si>
  <si>
    <t>Retrouve-moi</t>
  </si>
  <si>
    <t>Sauver sa peau</t>
  </si>
  <si>
    <t>Garrido</t>
  </si>
  <si>
    <t>Antonio</t>
  </si>
  <si>
    <t>Le lecteur de cadavres</t>
  </si>
  <si>
    <t>Gary</t>
  </si>
  <si>
    <t>Romain</t>
  </si>
  <si>
    <t>J'ai soif d'innocence</t>
  </si>
  <si>
    <t>Gaubert</t>
  </si>
  <si>
    <t>Coco pète les plombs</t>
  </si>
  <si>
    <t>Gavalda</t>
  </si>
  <si>
    <t>Anna</t>
  </si>
  <si>
    <t>Des vies en mieux</t>
  </si>
  <si>
    <t>Gay</t>
  </si>
  <si>
    <t>Marie-Claude</t>
  </si>
  <si>
    <t>Les amours de Lou</t>
  </si>
  <si>
    <t>Gayle</t>
  </si>
  <si>
    <t>Mark</t>
  </si>
  <si>
    <t>My legendary girlfriend</t>
  </si>
  <si>
    <t>Gentry</t>
  </si>
  <si>
    <t>Amy</t>
  </si>
  <si>
    <t>Last woman standing</t>
  </si>
  <si>
    <t>Sans l'ombre d'un témoin</t>
  </si>
  <si>
    <t>Une chose à cacher</t>
  </si>
  <si>
    <t>Gerritsen</t>
  </si>
  <si>
    <t>Tess</t>
  </si>
  <si>
    <t>Bloodstream</t>
  </si>
  <si>
    <t>The surgeon</t>
  </si>
  <si>
    <t>Vanish</t>
  </si>
  <si>
    <t>Gibney</t>
  </si>
  <si>
    <t>Ceux qui ont disparus</t>
  </si>
  <si>
    <t>Giebel</t>
  </si>
  <si>
    <t>Karine</t>
  </si>
  <si>
    <t>Ce que tu as fait de moi</t>
  </si>
  <si>
    <t>Maîtres du jeu</t>
  </si>
  <si>
    <t>Giono</t>
  </si>
  <si>
    <t>Un roi sans divertissement</t>
  </si>
  <si>
    <t>Giordano</t>
  </si>
  <si>
    <t>Raphaëlle</t>
  </si>
  <si>
    <t>Ta deuxième vie commence quand tu comprends que tu n'en as qu'une</t>
  </si>
  <si>
    <t>Girard</t>
  </si>
  <si>
    <t>Anne-Sophie</t>
  </si>
  <si>
    <t xml:space="preserve">La femme parfaite est une connasse ! </t>
  </si>
  <si>
    <t>La femme parfaite est une connasse ! 2. Le retour</t>
  </si>
  <si>
    <t>Goetz</t>
  </si>
  <si>
    <t>Adrien</t>
  </si>
  <si>
    <t>Intrigue à l'Anglaise</t>
  </si>
  <si>
    <t>Golden</t>
  </si>
  <si>
    <t>Memoirs of a Geisha</t>
  </si>
  <si>
    <t>Golding</t>
  </si>
  <si>
    <t>Lord of the flies</t>
  </si>
  <si>
    <t>Goldman</t>
  </si>
  <si>
    <t>Joel</t>
  </si>
  <si>
    <t>Tremblements</t>
  </si>
  <si>
    <t>Goldsmith</t>
  </si>
  <si>
    <t>Olivia</t>
  </si>
  <si>
    <t>Simple vengeance</t>
  </si>
  <si>
    <t>Gounelle</t>
  </si>
  <si>
    <t>Je te promet la liberté</t>
  </si>
  <si>
    <t>Grafton</t>
  </si>
  <si>
    <t>Sue</t>
  </si>
  <si>
    <t>A comme alibi</t>
  </si>
  <si>
    <t>Grangé</t>
  </si>
  <si>
    <t>Jean-Christophe</t>
  </si>
  <si>
    <t>La forêt des Mânes</t>
  </si>
  <si>
    <t>La ligne noire</t>
  </si>
  <si>
    <t>Green</t>
  </si>
  <si>
    <t>Spellbound</t>
  </si>
  <si>
    <t>Grégoire</t>
  </si>
  <si>
    <t>Ménie</t>
  </si>
  <si>
    <t>La dame du Puy-du-Fou</t>
  </si>
  <si>
    <t>Gregory</t>
  </si>
  <si>
    <t>Philippa</t>
  </si>
  <si>
    <t>L'enfant dormira peut-être</t>
  </si>
  <si>
    <t>The Queen's fool</t>
  </si>
  <si>
    <t>Grenier</t>
  </si>
  <si>
    <t>Virus L.I.V. 3 ou la mort des livres</t>
  </si>
  <si>
    <t>Livre de poche jeunesse</t>
  </si>
  <si>
    <t>Grey</t>
  </si>
  <si>
    <t>Marina</t>
  </si>
  <si>
    <t>Enquête sur le massacre des Romanov</t>
  </si>
  <si>
    <t>Grey-Wilson &amp; Blamey</t>
  </si>
  <si>
    <t>Guide des fleurs de montagne</t>
  </si>
  <si>
    <t>Griffiths</t>
  </si>
  <si>
    <t>Elly</t>
  </si>
  <si>
    <t>A Dr Ruth Galloway mystery - 2. The Janus stone</t>
  </si>
  <si>
    <t>A Dr Ruth Galloway mystery - 6. The outcast dead</t>
  </si>
  <si>
    <t>The crossing places</t>
  </si>
  <si>
    <t>Grimaldi</t>
  </si>
  <si>
    <t>Virginie</t>
  </si>
  <si>
    <t>Tu comprendras quand tu sera plus grande</t>
  </si>
  <si>
    <t>Une belle vie</t>
  </si>
  <si>
    <t>Grimes</t>
  </si>
  <si>
    <t>Martha</t>
  </si>
  <si>
    <t>L'inconnue de la crique</t>
  </si>
  <si>
    <t>Une haine aveugle</t>
  </si>
  <si>
    <t>Grimm</t>
  </si>
  <si>
    <t>Jacob, Wilhelm</t>
  </si>
  <si>
    <t>Contes de Grimm</t>
  </si>
  <si>
    <t>Grisham</t>
  </si>
  <si>
    <t>L'héritage</t>
  </si>
  <si>
    <t>L'idéaliste</t>
  </si>
  <si>
    <t>L'infiltré</t>
  </si>
  <si>
    <t>Le cas Nelson Kerr</t>
  </si>
  <si>
    <t>Grissom</t>
  </si>
  <si>
    <t>Kathleen</t>
  </si>
  <si>
    <t>La colline aux esclaves</t>
  </si>
  <si>
    <t>Gruber</t>
  </si>
  <si>
    <t>Tropique de la nuit</t>
  </si>
  <si>
    <t>Grumberg</t>
  </si>
  <si>
    <t>Jean-Claude</t>
  </si>
  <si>
    <t>La plus précieuse des marchandises</t>
  </si>
  <si>
    <t>Déclic</t>
  </si>
  <si>
    <t>Gruwell</t>
  </si>
  <si>
    <t>Erin</t>
  </si>
  <si>
    <t>The freedom writers diary</t>
  </si>
  <si>
    <t>Guéno</t>
  </si>
  <si>
    <t>Jean-Pierre</t>
  </si>
  <si>
    <t>Paroles de poilus</t>
  </si>
  <si>
    <t>Guilcher</t>
  </si>
  <si>
    <t>Armelle</t>
  </si>
  <si>
    <t>Pour l'amour d'une île</t>
  </si>
  <si>
    <t>Guillaumin</t>
  </si>
  <si>
    <t>Emilie</t>
  </si>
  <si>
    <t>L'embuscade</t>
  </si>
  <si>
    <t>Petites dents, grands crocs</t>
  </si>
  <si>
    <t>Guterson</t>
  </si>
  <si>
    <t>La neige tombait sur les cèdres</t>
  </si>
  <si>
    <t>Guyader</t>
  </si>
  <si>
    <t>Nathalie</t>
  </si>
  <si>
    <t>A corps ouverts</t>
  </si>
  <si>
    <t>Haenel</t>
  </si>
  <si>
    <t>Yannick</t>
  </si>
  <si>
    <t>Jan Karski</t>
  </si>
  <si>
    <t>Haindl &amp; Pollack</t>
  </si>
  <si>
    <t>Haindl Tarot - Deck and book set</t>
  </si>
  <si>
    <t>Hall</t>
  </si>
  <si>
    <t>Willis</t>
  </si>
  <si>
    <t>Le dernier des vampires</t>
  </si>
  <si>
    <t>Hamblen</t>
  </si>
  <si>
    <t>Linda</t>
  </si>
  <si>
    <t>Making scented soap</t>
  </si>
  <si>
    <t>Hambleton-Jones</t>
  </si>
  <si>
    <t>Nicky</t>
  </si>
  <si>
    <t>10 years younger</t>
  </si>
  <si>
    <t>Hamilton</t>
  </si>
  <si>
    <t>Peter F.</t>
  </si>
  <si>
    <t>Salvation - Tome 1.Les portes de la délivrance</t>
  </si>
  <si>
    <t>Hamon</t>
  </si>
  <si>
    <t>Nos médecins</t>
  </si>
  <si>
    <t>Hanna</t>
  </si>
  <si>
    <t>Kristin</t>
  </si>
  <si>
    <t>Retour à summer island</t>
  </si>
  <si>
    <t>Harper</t>
  </si>
  <si>
    <t>Kenn</t>
  </si>
  <si>
    <t>Minik l'esquimau déraciné</t>
  </si>
  <si>
    <t>Harr</t>
  </si>
  <si>
    <t>Jonathan</t>
  </si>
  <si>
    <t>Préjudice</t>
  </si>
  <si>
    <t>Harris</t>
  </si>
  <si>
    <t>Charlaine</t>
  </si>
  <si>
    <t>Crimes au clair de lune</t>
  </si>
  <si>
    <t>Thomas</t>
  </si>
  <si>
    <t>Hanibal</t>
  </si>
  <si>
    <t>La servante insoumise</t>
  </si>
  <si>
    <t>Le silende des agneaux</t>
  </si>
  <si>
    <t>Harvey</t>
  </si>
  <si>
    <t>All she wants</t>
  </si>
  <si>
    <t>Hashimi</t>
  </si>
  <si>
    <t>Nadia</t>
  </si>
  <si>
    <t>La perle et la coquille</t>
  </si>
  <si>
    <t>Si la lune éclaire nos pas</t>
  </si>
  <si>
    <t>Haski</t>
  </si>
  <si>
    <t>Le journal de Ma Yan</t>
  </si>
  <si>
    <t>Hausfater &amp; Hassan</t>
  </si>
  <si>
    <t>Rachet &amp; Yaël</t>
  </si>
  <si>
    <t>De Sacha à Macha</t>
  </si>
  <si>
    <t>Hayder</t>
  </si>
  <si>
    <t>Mo</t>
  </si>
  <si>
    <t>Birdman</t>
  </si>
  <si>
    <t>Hayes</t>
  </si>
  <si>
    <t>Samantha</t>
  </si>
  <si>
    <t>Le passé</t>
  </si>
  <si>
    <t>Hayes &amp; Nyhan</t>
  </si>
  <si>
    <t>Suzanne &amp; Loretta</t>
  </si>
  <si>
    <t>I'll be seeing you</t>
  </si>
  <si>
    <t>Heller</t>
  </si>
  <si>
    <t>Passeport pour les embrouilles</t>
  </si>
  <si>
    <t>Hendricks</t>
  </si>
  <si>
    <t>Judi</t>
  </si>
  <si>
    <t>La fille de personne</t>
  </si>
  <si>
    <t>Hermary-Vieille</t>
  </si>
  <si>
    <t>Catherine</t>
  </si>
  <si>
    <t>Les dames de Brières</t>
  </si>
  <si>
    <t>Higgins Clark</t>
  </si>
  <si>
    <t>Mary</t>
  </si>
  <si>
    <t>Dans la rue où vit celle que j'aime</t>
  </si>
  <si>
    <t>Deux petites filles en bleu</t>
  </si>
  <si>
    <t>En secret</t>
  </si>
  <si>
    <t>Et il ne restera que poussière...</t>
  </si>
  <si>
    <t>L'affaire Cendrillon</t>
  </si>
  <si>
    <t>La maison du clair de lune</t>
  </si>
  <si>
    <t>La maison du guet</t>
  </si>
  <si>
    <t>La nuit du renard</t>
  </si>
  <si>
    <t>La nuit est mon royaume</t>
  </si>
  <si>
    <t>La nuit s'éveille</t>
  </si>
  <si>
    <t>La reine du bal</t>
  </si>
  <si>
    <t>Le démon du passé</t>
  </si>
  <si>
    <t>Le sacrifice du papillon</t>
  </si>
  <si>
    <t>Les années perdues &amp; Le temps des regrets</t>
  </si>
  <si>
    <t>Nous n'iront plus au bois</t>
  </si>
  <si>
    <t>Où es-tu maintenant ?</t>
  </si>
  <si>
    <t>Recherche jeune femme aimant danser</t>
  </si>
  <si>
    <t>Rien ne vaut la douceur du foyer</t>
  </si>
  <si>
    <t>Un cri dans la nuit</t>
  </si>
  <si>
    <t>Un jour tu verras...</t>
  </si>
  <si>
    <t>Highsmith</t>
  </si>
  <si>
    <t>Les cadavres exquis</t>
  </si>
  <si>
    <t>Hill</t>
  </si>
  <si>
    <t>Reginald</t>
  </si>
  <si>
    <t>Singing the sadness</t>
  </si>
  <si>
    <t>Hiobergary</t>
  </si>
  <si>
    <t>Gilles</t>
  </si>
  <si>
    <t>Préparer de bonnes tisanes avec les plantes de montagne</t>
  </si>
  <si>
    <t>Hitchcock</t>
  </si>
  <si>
    <t>Histoires du maître ès crimes</t>
  </si>
  <si>
    <t>L'aveugle qui en mettait plein la vue</t>
  </si>
  <si>
    <t>Hoeg</t>
  </si>
  <si>
    <t>Smila et l'amour de la neige</t>
  </si>
  <si>
    <t>Hoffman</t>
  </si>
  <si>
    <t>Jilliane</t>
  </si>
  <si>
    <t>Justice imminente</t>
  </si>
  <si>
    <t>Hogan</t>
  </si>
  <si>
    <t>Chuck</t>
  </si>
  <si>
    <t>Face à face</t>
  </si>
  <si>
    <t>Holden</t>
  </si>
  <si>
    <t>Wendy</t>
  </si>
  <si>
    <t>Pastures nouveaux</t>
  </si>
  <si>
    <t>Hooper</t>
  </si>
  <si>
    <t>Kay</t>
  </si>
  <si>
    <t>Haunting Rachel</t>
  </si>
  <si>
    <t>Houdret, Dr.</t>
  </si>
  <si>
    <t>Bien se soigner par homéopathie</t>
  </si>
  <si>
    <t>Hughes</t>
  </si>
  <si>
    <t>Il était une lettre</t>
  </si>
  <si>
    <t xml:space="preserve">Super histoire </t>
  </si>
  <si>
    <t>Hugo</t>
  </si>
  <si>
    <t>Victor</t>
  </si>
  <si>
    <t>Claude Gueux</t>
  </si>
  <si>
    <t>Le livre de poche, Libretti</t>
  </si>
  <si>
    <t>Hernanni</t>
  </si>
  <si>
    <t>Classiques Bordas</t>
  </si>
  <si>
    <t>Ruy Blas</t>
  </si>
  <si>
    <t>Classique &amp; Cie Lycée</t>
  </si>
  <si>
    <t>Humbert</t>
  </si>
  <si>
    <t>La Malvialle</t>
  </si>
  <si>
    <t>Huntington</t>
  </si>
  <si>
    <t>Geoffrey</t>
  </si>
  <si>
    <t>La sorcière des ténèbres - Ravenscliff livre 2</t>
  </si>
  <si>
    <t>Hutson</t>
  </si>
  <si>
    <t>Shaun</t>
  </si>
  <si>
    <t>Nemesis</t>
  </si>
  <si>
    <t>Indridason</t>
  </si>
  <si>
    <t>Arnaldur</t>
  </si>
  <si>
    <t>Opération Napoléon</t>
  </si>
  <si>
    <t>Ionesco</t>
  </si>
  <si>
    <t>Eugène</t>
  </si>
  <si>
    <r>
      <rPr/>
      <t xml:space="preserve">La cantatrice chauve </t>
    </r>
    <r>
      <rPr>
        <sz val="9.0"/>
      </rPr>
      <t>suivi de</t>
    </r>
    <r>
      <rPr/>
      <t xml:space="preserve"> La leçon</t>
    </r>
  </si>
  <si>
    <t>Folio</t>
  </si>
  <si>
    <t>Irish</t>
  </si>
  <si>
    <t>J'ai épousé une ombre</t>
  </si>
  <si>
    <t>Irving</t>
  </si>
  <si>
    <t>La quatrième main</t>
  </si>
  <si>
    <t>La pierre de lumière</t>
  </si>
  <si>
    <t>La mort leur va si bien</t>
  </si>
  <si>
    <t>Mort imminente</t>
  </si>
  <si>
    <t>Possession</t>
  </si>
  <si>
    <t>Que ta chute soit lente</t>
  </si>
  <si>
    <t>Janin</t>
  </si>
  <si>
    <t>Dorothée</t>
  </si>
  <si>
    <t>La révolte des filles perdues</t>
  </si>
  <si>
    <t>Jaomanoro</t>
  </si>
  <si>
    <t>Pirogue sur le vide</t>
  </si>
  <si>
    <t>Jaouen</t>
  </si>
  <si>
    <t>Les filles de Roz-Kelenn</t>
  </si>
  <si>
    <t>Jardin</t>
  </si>
  <si>
    <t>Fanfan</t>
  </si>
  <si>
    <t>Jay</t>
  </si>
  <si>
    <t>L'esclave de Pompéï</t>
  </si>
  <si>
    <t>Le livre de poche, jeunesse</t>
  </si>
  <si>
    <t>Jentz</t>
  </si>
  <si>
    <t>Terri</t>
  </si>
  <si>
    <t>La nuit sauvage</t>
  </si>
  <si>
    <t>Jestin</t>
  </si>
  <si>
    <t>La chaleur</t>
  </si>
  <si>
    <t>J'ai lu</t>
  </si>
  <si>
    <t>Jeury</t>
  </si>
  <si>
    <t>Angéline</t>
  </si>
  <si>
    <t>Jewell</t>
  </si>
  <si>
    <t>None of this is true</t>
  </si>
  <si>
    <t>One-hit wonder</t>
  </si>
  <si>
    <t>The truth about Melody Browne</t>
  </si>
  <si>
    <t>Watching you</t>
  </si>
  <si>
    <t>Johnson &amp; Co</t>
  </si>
  <si>
    <t>Advances Physics for you</t>
  </si>
  <si>
    <t>Joss</t>
  </si>
  <si>
    <t>Le baladin du désert</t>
  </si>
  <si>
    <t>Kagan</t>
  </si>
  <si>
    <t>Elaine</t>
  </si>
  <si>
    <t>Le monde sans lui</t>
  </si>
  <si>
    <t>Katz</t>
  </si>
  <si>
    <t>Fête fatale</t>
  </si>
  <si>
    <t>Katzenbach</t>
  </si>
  <si>
    <t>L'analyste</t>
  </si>
  <si>
    <t>Kaye</t>
  </si>
  <si>
    <t>M.M.</t>
  </si>
  <si>
    <t>L'ombre de la lune</t>
  </si>
  <si>
    <t>Kellerman</t>
  </si>
  <si>
    <t>Fureur assassine</t>
  </si>
  <si>
    <t>La valse du diable</t>
  </si>
  <si>
    <t>Kelly</t>
  </si>
  <si>
    <t>Un feu dans la nuit</t>
  </si>
  <si>
    <t>Kelman</t>
  </si>
  <si>
    <t>Judith</t>
  </si>
  <si>
    <t>Phobies</t>
  </si>
  <si>
    <t>Kennedy</t>
  </si>
  <si>
    <t>Les charmes discrets de la vie conjugale</t>
  </si>
  <si>
    <t>Les désarrois de Ned Allen</t>
  </si>
  <si>
    <t>Kepel</t>
  </si>
  <si>
    <t>Le prophète et la pandémie</t>
  </si>
  <si>
    <t>Kepler</t>
  </si>
  <si>
    <t>Lars</t>
  </si>
  <si>
    <t>L'hypnotiseur</t>
  </si>
  <si>
    <t>Khoury</t>
  </si>
  <si>
    <t>Eternalis</t>
  </si>
  <si>
    <t>Le dernier templier</t>
  </si>
  <si>
    <t>King</t>
  </si>
  <si>
    <t>Charlie</t>
  </si>
  <si>
    <t>Shining</t>
  </si>
  <si>
    <t>King-Smith</t>
  </si>
  <si>
    <t>Dick</t>
  </si>
  <si>
    <t>Harry est fou</t>
  </si>
  <si>
    <t>Kingston</t>
  </si>
  <si>
    <t>Beryl</t>
  </si>
  <si>
    <t>Charges d'ämes</t>
  </si>
  <si>
    <t>Kinsella</t>
  </si>
  <si>
    <t>Sophie</t>
  </si>
  <si>
    <t>Can you keep a secret</t>
  </si>
  <si>
    <t>Kirk</t>
  </si>
  <si>
    <t>Shanon</t>
  </si>
  <si>
    <t>Méthode 15-33</t>
  </si>
  <si>
    <t>Klassen</t>
  </si>
  <si>
    <t>Julie</t>
  </si>
  <si>
    <t>A l'ombre d'une lady</t>
  </si>
  <si>
    <t>Konsalik</t>
  </si>
  <si>
    <t>Le médecin de la Jonque</t>
  </si>
  <si>
    <t>Heinz G.</t>
  </si>
  <si>
    <t>Le pavillon de jade</t>
  </si>
  <si>
    <t>Un heureux mariage</t>
  </si>
  <si>
    <t>Koomson</t>
  </si>
  <si>
    <t>Dorothy</t>
  </si>
  <si>
    <t>L'ombre de l'autre femme</t>
  </si>
  <si>
    <t>Signé A</t>
  </si>
  <si>
    <t>Koontz</t>
  </si>
  <si>
    <t>Dean</t>
  </si>
  <si>
    <t>La chambre des murmures</t>
  </si>
  <si>
    <t>Kostova</t>
  </si>
  <si>
    <t>The historian</t>
  </si>
  <si>
    <t>L'étudiant emploi</t>
  </si>
  <si>
    <t>Le guide du stage en entreprise</t>
  </si>
  <si>
    <t>La Plante</t>
  </si>
  <si>
    <t>Lynda</t>
  </si>
  <si>
    <t>Bella Mafia</t>
  </si>
  <si>
    <t>Laborie</t>
  </si>
  <si>
    <t>Dans les yeus d'Ana</t>
  </si>
  <si>
    <t>L'arbre d'or</t>
  </si>
  <si>
    <t>Le goût du soleil</t>
  </si>
  <si>
    <t>Le saut du loup</t>
  </si>
  <si>
    <t>Les sarments de la colère</t>
  </si>
  <si>
    <t>Laborit</t>
  </si>
  <si>
    <t>Eloge de la fuite</t>
  </si>
  <si>
    <t>Läckberg</t>
  </si>
  <si>
    <t>Camilla</t>
  </si>
  <si>
    <t>L'enfant Allemand</t>
  </si>
  <si>
    <t>L'oiseau de mauvais augure</t>
  </si>
  <si>
    <t>La faiseuse d'anges</t>
  </si>
  <si>
    <t>La princesse des glaces</t>
  </si>
  <si>
    <t>La sirène</t>
  </si>
  <si>
    <t>Le dompteur de lions</t>
  </si>
  <si>
    <t>Le prédicateur</t>
  </si>
  <si>
    <t>Le tailleur de pierres</t>
  </si>
  <si>
    <t>Lacotte</t>
  </si>
  <si>
    <t>Les pingouins ne sont pas manchots</t>
  </si>
  <si>
    <t>Lansdale</t>
  </si>
  <si>
    <t>Joe R.</t>
  </si>
  <si>
    <t>Les marécages</t>
  </si>
  <si>
    <t>Lapeyre</t>
  </si>
  <si>
    <t>Paula ou personne</t>
  </si>
  <si>
    <t>Lapierre</t>
  </si>
  <si>
    <t>Plus grands que l'amour</t>
  </si>
  <si>
    <t>Livre sur SIDA Professeur Montagnier</t>
  </si>
  <si>
    <t>Larousse</t>
  </si>
  <si>
    <t>Histoire de France - 1. Naissance d'une nation (des origines à 987)</t>
  </si>
  <si>
    <t>Histoire de France - 10. Restauration et révolutions (1815-1851)</t>
  </si>
  <si>
    <t>Histoire de France - 11. Le Second Empire (1852-1870)</t>
  </si>
  <si>
    <t>Histoire de France - 13. La grande guerre (1914-1935)</t>
  </si>
  <si>
    <t>Histoire de France - 2. La France des Capétiens (987-1328)</t>
  </si>
  <si>
    <t>Histoire de France - 4. Les guerres de religion (1547-1610)</t>
  </si>
  <si>
    <t>Histoire de France - 5. Vers la monarchie absolue ((1610-1661)</t>
  </si>
  <si>
    <t>Larousse médical illustré</t>
  </si>
  <si>
    <t>Livre ancien</t>
  </si>
  <si>
    <t>Larousse ménager illustré</t>
  </si>
  <si>
    <t>Larousse universel A-K</t>
  </si>
  <si>
    <t>Larousse universel L-Z</t>
  </si>
  <si>
    <t>Le guide Larousse des champignons</t>
  </si>
  <si>
    <t>Larsson</t>
  </si>
  <si>
    <t>Stieg</t>
  </si>
  <si>
    <t xml:space="preserve"> Millénium 1 - Les hommes qui n'aimaient pas les femmes</t>
  </si>
  <si>
    <t>Ana</t>
  </si>
  <si>
    <t>En sacrifice à Moloch</t>
  </si>
  <si>
    <t>Laurel</t>
  </si>
  <si>
    <t>Yanne</t>
  </si>
  <si>
    <t>Le baiser dans la palmeraie</t>
  </si>
  <si>
    <t>Lavachery</t>
  </si>
  <si>
    <t>Henri dans l'île</t>
  </si>
  <si>
    <t>Le Callet</t>
  </si>
  <si>
    <t>Blandine</t>
  </si>
  <si>
    <t>La ballade de Lila K</t>
  </si>
  <si>
    <t>Le Clézio</t>
  </si>
  <si>
    <t>J. M. G.</t>
  </si>
  <si>
    <t>Tempête</t>
  </si>
  <si>
    <t>Le Roy</t>
  </si>
  <si>
    <t>Jacqou le croquant</t>
  </si>
  <si>
    <t>Leblanc</t>
  </si>
  <si>
    <t>L'évasion d'Arsène Lupin</t>
  </si>
  <si>
    <t>Lecocq</t>
  </si>
  <si>
    <t>Ludovic</t>
  </si>
  <si>
    <t>Les aventures de C-Bourrasque et Kounibous</t>
  </si>
  <si>
    <t>Lefief-Delcourt</t>
  </si>
  <si>
    <t>Alix</t>
  </si>
  <si>
    <t>Le pamplemousse malin</t>
  </si>
  <si>
    <t>Legardinier</t>
  </si>
  <si>
    <t>Ca peut pas rater !</t>
  </si>
  <si>
    <t>Demain j'arrête !</t>
  </si>
  <si>
    <t>Leon</t>
  </si>
  <si>
    <t>Donna</t>
  </si>
  <si>
    <t>Mort à la fenice</t>
  </si>
  <si>
    <t xml:space="preserve">Leon </t>
  </si>
  <si>
    <t>Quand un fils nous ai donné</t>
  </si>
  <si>
    <t>Lesage</t>
  </si>
  <si>
    <t>Anne-Sophie &amp; Fanny</t>
  </si>
  <si>
    <t>Celle qui a dit Fuck</t>
  </si>
  <si>
    <t>Letcher Lyle</t>
  </si>
  <si>
    <t>Katie</t>
  </si>
  <si>
    <t>Edible wild plants, mushrooms, fruits &amp; nuts</t>
  </si>
  <si>
    <t>Levy</t>
  </si>
  <si>
    <t>Marc</t>
  </si>
  <si>
    <t>Eteignez tout et la vie s'allume</t>
  </si>
  <si>
    <t>Ghost in love</t>
  </si>
  <si>
    <t>Les enfants de la liberté</t>
  </si>
  <si>
    <t>Si c'était à refaire</t>
  </si>
  <si>
    <t>Toutes ces choses qu'on ne s'est pas dites</t>
  </si>
  <si>
    <t>Susan</t>
  </si>
  <si>
    <t>Don't believe a word</t>
  </si>
  <si>
    <t>Lloyd &amp; Rees</t>
  </si>
  <si>
    <t>Josie &amp; Emlyn</t>
  </si>
  <si>
    <t>Come again</t>
  </si>
  <si>
    <t>Jessie &amp; Emlyn</t>
  </si>
  <si>
    <t>Come together</t>
  </si>
  <si>
    <t>Lonely Planet</t>
  </si>
  <si>
    <t>Portugal</t>
  </si>
  <si>
    <t>Lorrain</t>
  </si>
  <si>
    <t>France</t>
  </si>
  <si>
    <t>La promesse des Gélinas - Adèle, Edouard</t>
  </si>
  <si>
    <t>Lotz</t>
  </si>
  <si>
    <t>Sarah</t>
  </si>
  <si>
    <t>Three</t>
  </si>
  <si>
    <t>Loubry</t>
  </si>
  <si>
    <t>Jérôme</t>
  </si>
  <si>
    <t>Les chiens de Détroit</t>
  </si>
  <si>
    <t>Lovelock</t>
  </si>
  <si>
    <t>The revenge of Gaia</t>
  </si>
  <si>
    <t>Loyet</t>
  </si>
  <si>
    <t>Du sillon à l'or blanc</t>
  </si>
  <si>
    <t>Lupton</t>
  </si>
  <si>
    <t>Rosamund</t>
  </si>
  <si>
    <t>Sister</t>
  </si>
  <si>
    <t>Maas</t>
  </si>
  <si>
    <t>La danse des paons</t>
  </si>
  <si>
    <t>MacBride</t>
  </si>
  <si>
    <t>Stuart</t>
  </si>
  <si>
    <t>Birthdays for the dead</t>
  </si>
  <si>
    <t>MacDonald</t>
  </si>
  <si>
    <t>La double mort de Linda</t>
  </si>
  <si>
    <t>La fille sans visage</t>
  </si>
  <si>
    <t>Anne-Marie</t>
  </si>
  <si>
    <t>Le vol du corbeau</t>
  </si>
  <si>
    <t>John D.</t>
  </si>
  <si>
    <t>Les nerfs à vif (Cape Fear)</t>
  </si>
  <si>
    <t>Origine suspecte</t>
  </si>
  <si>
    <t>Paricia</t>
  </si>
  <si>
    <t>Une mère sous influence</t>
  </si>
  <si>
    <t>Machureau</t>
  </si>
  <si>
    <t>1. Mémoire froissée</t>
  </si>
  <si>
    <t>2. Mémoire d'encre et de cendres</t>
  </si>
  <si>
    <t>Mackintosh</t>
  </si>
  <si>
    <t>Clare</t>
  </si>
  <si>
    <t>I let you go</t>
  </si>
  <si>
    <t>I see you</t>
  </si>
  <si>
    <t>Macomber</t>
  </si>
  <si>
    <t>Debbie</t>
  </si>
  <si>
    <t>Un parfum de bonheur</t>
  </si>
  <si>
    <t>Madison</t>
  </si>
  <si>
    <t>La couleur de l'espoir</t>
  </si>
  <si>
    <t>Magnan</t>
  </si>
  <si>
    <t>Chronique d'un château hanté</t>
  </si>
  <si>
    <t>Mahmoody</t>
  </si>
  <si>
    <t>Betty</t>
  </si>
  <si>
    <t>Jamais sans ma fille</t>
  </si>
  <si>
    <t>Major</t>
  </si>
  <si>
    <t>GCSE Science</t>
  </si>
  <si>
    <t>Major-McGrow</t>
  </si>
  <si>
    <t>Colette</t>
  </si>
  <si>
    <t>Sur les berges du lac brûlé</t>
  </si>
  <si>
    <t>Makepiece</t>
  </si>
  <si>
    <t>Maggie</t>
  </si>
  <si>
    <t>Breaking the chain</t>
  </si>
  <si>
    <t>Malley</t>
  </si>
  <si>
    <t>Declaration trilogy - 1. The declaration</t>
  </si>
  <si>
    <t>Declaration trilogy - 2. The resistance</t>
  </si>
  <si>
    <t>Declaration trilogy - 3. The legacy</t>
  </si>
  <si>
    <t>The killables trilogy - 1. The killables</t>
  </si>
  <si>
    <t>The killables trilogy - 2. The disapperances</t>
  </si>
  <si>
    <t>The killables trilogy - 3. The system</t>
  </si>
  <si>
    <t>The returners</t>
  </si>
  <si>
    <t>Manel</t>
  </si>
  <si>
    <t>Laure</t>
  </si>
  <si>
    <t>L'ivresse des libellules</t>
  </si>
  <si>
    <t>Mankell</t>
  </si>
  <si>
    <t>Henning</t>
  </si>
  <si>
    <t>La cinquième femme</t>
  </si>
  <si>
    <t>Marcelli &amp; De la Borie</t>
  </si>
  <si>
    <t>Daniel &amp; Guillemette</t>
  </si>
  <si>
    <t>Tracas d'ados, soucis de parents</t>
  </si>
  <si>
    <t>Marivaux</t>
  </si>
  <si>
    <t>L'île aux esclaves</t>
  </si>
  <si>
    <t>Les fausses confidences</t>
  </si>
  <si>
    <t>Classico Lycée</t>
  </si>
  <si>
    <t>Marmen</t>
  </si>
  <si>
    <t>Sonia</t>
  </si>
  <si>
    <t>1.Coeur de Gaël</t>
  </si>
  <si>
    <t>2.La saison des corbeaux</t>
  </si>
  <si>
    <t>3.La terre des conquêtes</t>
  </si>
  <si>
    <t>4.La rivière des promesses</t>
  </si>
  <si>
    <t>Coeur de Gaël</t>
  </si>
  <si>
    <t>Marshall</t>
  </si>
  <si>
    <t>Les intrus</t>
  </si>
  <si>
    <t>Souvenirs d'un médecin légiste</t>
  </si>
  <si>
    <t>Mason</t>
  </si>
  <si>
    <t>L'accordeur de piano</t>
  </si>
  <si>
    <t>Masson</t>
  </si>
  <si>
    <t>Loys</t>
  </si>
  <si>
    <t>Les tortues</t>
  </si>
  <si>
    <t>Matheson</t>
  </si>
  <si>
    <t>Richard</t>
  </si>
  <si>
    <t>Je suis une légende</t>
  </si>
  <si>
    <t>Mathieu</t>
  </si>
  <si>
    <t>Connemara</t>
  </si>
  <si>
    <t>Maupassant</t>
  </si>
  <si>
    <t>Boile de suif</t>
  </si>
  <si>
    <t>Le livre de poche, classique</t>
  </si>
  <si>
    <t>Contes de la bécasse</t>
  </si>
  <si>
    <t>Nouvelles réalistes et fantastiques</t>
  </si>
  <si>
    <t>Etonnants classiques collège</t>
  </si>
  <si>
    <t>May</t>
  </si>
  <si>
    <t>Cast iron</t>
  </si>
  <si>
    <t>Clarence</t>
  </si>
  <si>
    <t>Les racines du coeur</t>
  </si>
  <si>
    <t>Mazeau</t>
  </si>
  <si>
    <t>La rumeur du soir</t>
  </si>
  <si>
    <t>Mc Elfresh</t>
  </si>
  <si>
    <t>Adeline</t>
  </si>
  <si>
    <t>Sarah la folle</t>
  </si>
  <si>
    <t>McCullough</t>
  </si>
  <si>
    <t>Colleen</t>
  </si>
  <si>
    <t>L'espoir est une terre lointaine (complet Tomes 1 &amp; 2)</t>
  </si>
  <si>
    <t>Le temps de l'amour</t>
  </si>
  <si>
    <t>Tim</t>
  </si>
  <si>
    <t>McFadden</t>
  </si>
  <si>
    <t>Freida</t>
  </si>
  <si>
    <t>1. The housemaid</t>
  </si>
  <si>
    <t>2. The housemaid's secret</t>
  </si>
  <si>
    <t>McGarry Morris</t>
  </si>
  <si>
    <t>Une femme dangereuse</t>
  </si>
  <si>
    <t>McGowan</t>
  </si>
  <si>
    <t>Personne ne doit savoir</t>
  </si>
  <si>
    <t>McKeith, Dr.</t>
  </si>
  <si>
    <t>Gillian</t>
  </si>
  <si>
    <t>You are what you eat</t>
  </si>
  <si>
    <t>McKenzie</t>
  </si>
  <si>
    <t>Je ne t'oublierai pas</t>
  </si>
  <si>
    <t>McKinley</t>
  </si>
  <si>
    <t>Tamara</t>
  </si>
  <si>
    <t>Les pionniers du bout du monde</t>
  </si>
  <si>
    <t>McLaughlin &amp; Kraus</t>
  </si>
  <si>
    <t>Emma &amp; Nicola</t>
  </si>
  <si>
    <t>Nanny, journal d'une baby-sitter</t>
  </si>
  <si>
    <t>Meacham</t>
  </si>
  <si>
    <t>Leila</t>
  </si>
  <si>
    <t>Les roses de somerset</t>
  </si>
  <si>
    <t>Mechamore</t>
  </si>
  <si>
    <t>Cherub - 100 jours en enfer</t>
  </si>
  <si>
    <t>Médéline</t>
  </si>
  <si>
    <t>La sacrifiée du Vercors</t>
  </si>
  <si>
    <t>Méliane</t>
  </si>
  <si>
    <t>Loubna</t>
  </si>
  <si>
    <t>Vivre libre</t>
  </si>
  <si>
    <t>Mercoeur</t>
  </si>
  <si>
    <t>Un amour tombé du ciel</t>
  </si>
  <si>
    <t>Merimée</t>
  </si>
  <si>
    <t>La Vénus d'Ille</t>
  </si>
  <si>
    <t>Classiques Hatier</t>
  </si>
  <si>
    <t>Michelet</t>
  </si>
  <si>
    <t>L'appel des engoulevents</t>
  </si>
  <si>
    <t>Les copains d'Aristide</t>
  </si>
  <si>
    <t>Miller</t>
  </si>
  <si>
    <t>Sur la route de Key West</t>
  </si>
  <si>
    <t>Millier</t>
  </si>
  <si>
    <t>Pascale</t>
  </si>
  <si>
    <t>Les fleurs de Bachs</t>
  </si>
  <si>
    <t>Millodot</t>
  </si>
  <si>
    <t>Suzen</t>
  </si>
  <si>
    <t>Noeuds de Chine</t>
  </si>
  <si>
    <t>Minier</t>
  </si>
  <si>
    <t>Une putain d'histoire</t>
  </si>
  <si>
    <t>Mirabeau</t>
  </si>
  <si>
    <t>Octave</t>
  </si>
  <si>
    <t>Le journal d'une femme de chambre</t>
  </si>
  <si>
    <t>Mizushima</t>
  </si>
  <si>
    <t>Margareth</t>
  </si>
  <si>
    <t>Ne te perds pas en chemin</t>
  </si>
  <si>
    <t>Molière</t>
  </si>
  <si>
    <t>L'école des femmes</t>
  </si>
  <si>
    <t>Classiques Larousse</t>
  </si>
  <si>
    <t>Le malade imaginaire</t>
  </si>
  <si>
    <t>Classiques &amp; Cie Lycée, Hatier</t>
  </si>
  <si>
    <t>Le médecin malgré lui en BD</t>
  </si>
  <si>
    <t>Le médecin volant / L'amour médecin</t>
  </si>
  <si>
    <t>Le tartuffe</t>
  </si>
  <si>
    <t>Les femmes sauvages</t>
  </si>
  <si>
    <t>Les fourberies de Scapin</t>
  </si>
  <si>
    <t>Louison et Monsieur Molière</t>
  </si>
  <si>
    <t>Molla</t>
  </si>
  <si>
    <t>Felicidad</t>
  </si>
  <si>
    <t>Classico collège</t>
  </si>
  <si>
    <t>Monnier</t>
  </si>
  <si>
    <t>Thyde</t>
  </si>
  <si>
    <t>Madame Roman</t>
  </si>
  <si>
    <t>Montaigne</t>
  </si>
  <si>
    <t>Essais, des cannibales, des coches</t>
  </si>
  <si>
    <t>Montefiore</t>
  </si>
  <si>
    <t>Santa</t>
  </si>
  <si>
    <t>L'arbre aux secrets</t>
  </si>
  <si>
    <t>Meet me under the Ombu tree</t>
  </si>
  <si>
    <t>Montupet</t>
  </si>
  <si>
    <t>Janine</t>
  </si>
  <si>
    <t>La dantellière d'Alençon</t>
  </si>
  <si>
    <t>La jeune fille et la citadelle</t>
  </si>
  <si>
    <t>Moore</t>
  </si>
  <si>
    <t>The ex-files</t>
  </si>
  <si>
    <t>Moro Buronzo</t>
  </si>
  <si>
    <t>Alessandra</t>
  </si>
  <si>
    <t>Les incroyables vertus du bicarbonate de soude</t>
  </si>
  <si>
    <t>Morrell</t>
  </si>
  <si>
    <t>La fraternité de la rose</t>
  </si>
  <si>
    <t>Morrison</t>
  </si>
  <si>
    <t>Beloved</t>
  </si>
  <si>
    <t>Morton</t>
  </si>
  <si>
    <t>Kate</t>
  </si>
  <si>
    <t>The lake house</t>
  </si>
  <si>
    <t>Mosse</t>
  </si>
  <si>
    <t>Labyrinth</t>
  </si>
  <si>
    <t>Sepulchre</t>
  </si>
  <si>
    <t>Mourad</t>
  </si>
  <si>
    <t>Kenizé</t>
  </si>
  <si>
    <t>De la part de la princesse morte</t>
  </si>
  <si>
    <t>Le jardin de Badalpour</t>
  </si>
  <si>
    <t>Mourlevat</t>
  </si>
  <si>
    <t>La rivière à l'envers. 1-Tomek</t>
  </si>
  <si>
    <t>Pocket Jeunesse</t>
  </si>
  <si>
    <t>Mulot</t>
  </si>
  <si>
    <t>Marie-Antoinette</t>
  </si>
  <si>
    <t>Les 200 réponses de l'herboriste</t>
  </si>
  <si>
    <t>Murphy</t>
  </si>
  <si>
    <t>Essential grammar in use</t>
  </si>
  <si>
    <t>Musso</t>
  </si>
  <si>
    <t>Guillaume</t>
  </si>
  <si>
    <t>7 ans après</t>
  </si>
  <si>
    <t>La fille de Brooklyn</t>
  </si>
  <si>
    <t>La jeune fille et la nuit</t>
  </si>
  <si>
    <t>Valentin</t>
  </si>
  <si>
    <t>Qu'à jamais j'oublie</t>
  </si>
  <si>
    <t>Que serais-je sans toi ?</t>
  </si>
  <si>
    <t>Seras-tu là ?</t>
  </si>
  <si>
    <t>Un appartement à Paris</t>
  </si>
  <si>
    <t>Nedilko</t>
  </si>
  <si>
    <t>L'obstiné - Confessions du flic qui exhume les cold cases</t>
  </si>
  <si>
    <t>Neill</t>
  </si>
  <si>
    <t>Fiona</t>
  </si>
  <si>
    <t>La vie sevrète d'une mère indigne</t>
  </si>
  <si>
    <t>Nelson &amp; Mayer</t>
  </si>
  <si>
    <t>Le grand livre de la cartomancie et des tarots</t>
  </si>
  <si>
    <t>Nemat</t>
  </si>
  <si>
    <t>Prisonnière à Téhéran</t>
  </si>
  <si>
    <t>Nesbo</t>
  </si>
  <si>
    <t>Jo</t>
  </si>
  <si>
    <t>Fantôme</t>
  </si>
  <si>
    <t>Neville</t>
  </si>
  <si>
    <t>Katherine</t>
  </si>
  <si>
    <t>Le huit</t>
  </si>
  <si>
    <t>Nicci French</t>
  </si>
  <si>
    <t>Beneath the skin</t>
  </si>
  <si>
    <t>Freida Klein 1. Blue Monday - A day for murder</t>
  </si>
  <si>
    <t>Land of the living</t>
  </si>
  <si>
    <t>The red room</t>
  </si>
  <si>
    <t>Until it's over</t>
  </si>
  <si>
    <t>What to do when someone dies</t>
  </si>
  <si>
    <t>Nimmo</t>
  </si>
  <si>
    <t>Charlie Bone et le tourne-temps</t>
  </si>
  <si>
    <t>Minuit sonne pour Charlie Bone</t>
  </si>
  <si>
    <t>Nogueras Flavigny</t>
  </si>
  <si>
    <t>Caroline</t>
  </si>
  <si>
    <t>Chasseurs d'héritiers</t>
  </si>
  <si>
    <t>Normandon</t>
  </si>
  <si>
    <t>Les enquêtes d'Hermès, Le mystère Dédale</t>
  </si>
  <si>
    <t>Folio junior, Gallimard jeunesse</t>
  </si>
  <si>
    <t>Northedge &amp; Co</t>
  </si>
  <si>
    <t>The sciences good study guide</t>
  </si>
  <si>
    <t>Nothomb</t>
  </si>
  <si>
    <t>Amélie</t>
  </si>
  <si>
    <t>Stupeur et tremblements</t>
  </si>
  <si>
    <t>Nys (Docteur)</t>
  </si>
  <si>
    <t>Maigrir selon son profil hormonal</t>
  </si>
  <si>
    <t>O'Brien</t>
  </si>
  <si>
    <t>Meg</t>
  </si>
  <si>
    <t>Le piège</t>
  </si>
  <si>
    <t>O'Farrell</t>
  </si>
  <si>
    <t>The best a man can get</t>
  </si>
  <si>
    <t>O'Flanagan</t>
  </si>
  <si>
    <t>Sheila</t>
  </si>
  <si>
    <t>Her husband's mistake</t>
  </si>
  <si>
    <t>Oakes</t>
  </si>
  <si>
    <t>Simon</t>
  </si>
  <si>
    <t>While you were sleeping</t>
  </si>
  <si>
    <t>Ogrizek</t>
  </si>
  <si>
    <t>Doré</t>
  </si>
  <si>
    <t>Les provinces de France</t>
  </si>
  <si>
    <t>Orsenna</t>
  </si>
  <si>
    <t>Erik</t>
  </si>
  <si>
    <t>L'entreprise des Indes</t>
  </si>
  <si>
    <t>Orwell</t>
  </si>
  <si>
    <t>Nineteen eighty-four</t>
  </si>
  <si>
    <t>Ovide</t>
  </si>
  <si>
    <t>Les métamorphoses</t>
  </si>
  <si>
    <t>Etonnants classiques</t>
  </si>
  <si>
    <t>Owens</t>
  </si>
  <si>
    <t>Robin D.</t>
  </si>
  <si>
    <t>Les magiciennes de Lladrana *</t>
  </si>
  <si>
    <t>Oyler</t>
  </si>
  <si>
    <t>Chris</t>
  </si>
  <si>
    <t>Vers la lumière, mon fils</t>
  </si>
  <si>
    <t>Padioleau</t>
  </si>
  <si>
    <t>Marie-Françoise</t>
  </si>
  <si>
    <t>Les 13-18 ans</t>
  </si>
  <si>
    <t>Pallardy</t>
  </si>
  <si>
    <t>Et si ça venait du ventre ?</t>
  </si>
  <si>
    <t>Pancol</t>
  </si>
  <si>
    <t>Muchachas</t>
  </si>
  <si>
    <t>Paris</t>
  </si>
  <si>
    <t>B.A.</t>
  </si>
  <si>
    <t>Derrière les portes</t>
  </si>
  <si>
    <t>Parsons</t>
  </si>
  <si>
    <t>Tony</t>
  </si>
  <si>
    <t>La deuxième femme</t>
  </si>
  <si>
    <t>Patterson</t>
  </si>
  <si>
    <t>Cross, coeur de cible</t>
  </si>
  <si>
    <t>Kiss the girls</t>
  </si>
  <si>
    <t>Maximum ride, opération Angel</t>
  </si>
  <si>
    <t>The midwife murders</t>
  </si>
  <si>
    <t>Patterson &amp; Paetro</t>
  </si>
  <si>
    <t>James &amp; Maxine</t>
  </si>
  <si>
    <t>4 fers au feu</t>
  </si>
  <si>
    <t>Pauwels</t>
  </si>
  <si>
    <t>Histoires magiques de l'histoire de France</t>
  </si>
  <si>
    <t>Pearse</t>
  </si>
  <si>
    <t>Lesley</t>
  </si>
  <si>
    <t>L'espoir au coeur</t>
  </si>
  <si>
    <t>The wilds</t>
  </si>
  <si>
    <t>Till we meet again</t>
  </si>
  <si>
    <t>Pearson</t>
  </si>
  <si>
    <t>Allison</t>
  </si>
  <si>
    <t>I don't know how she does it</t>
  </si>
  <si>
    <t>Pelloux</t>
  </si>
  <si>
    <t>On ne vit qu'une fois</t>
  </si>
  <si>
    <t>Pelot</t>
  </si>
  <si>
    <t>Je suis la mauvaise herbe</t>
  </si>
  <si>
    <t>Pennac</t>
  </si>
  <si>
    <t>Au bonheur des ogres</t>
  </si>
  <si>
    <t>Des Chrétiens et des Maures</t>
  </si>
  <si>
    <t>La fée carabine</t>
  </si>
  <si>
    <t>La petite marchande de prose</t>
  </si>
  <si>
    <t>Monsieur Malaussène</t>
  </si>
  <si>
    <t>Monsieur Malaussène au théâtre</t>
  </si>
  <si>
    <t>Perrault</t>
  </si>
  <si>
    <t>Contes de perrault</t>
  </si>
  <si>
    <t>Oeuvres &amp; thèmes</t>
  </si>
  <si>
    <t>Perrault, Grimm, Andersen</t>
  </si>
  <si>
    <t>Contes de Perrault, Grimm, Andersen</t>
  </si>
  <si>
    <t>Perry</t>
  </si>
  <si>
    <t>Le couloir des ténèbres</t>
  </si>
  <si>
    <t>Le manoir d'Alderney</t>
  </si>
  <si>
    <t>Pessey</t>
  </si>
  <si>
    <t>Bien bricoler</t>
  </si>
  <si>
    <t>Petiska</t>
  </si>
  <si>
    <t>Eduard</t>
  </si>
  <si>
    <t>Mythes et légendes de la grèce antique</t>
  </si>
  <si>
    <t>Peyramaure</t>
  </si>
  <si>
    <t>Louisiana</t>
  </si>
  <si>
    <t>Philips</t>
  </si>
  <si>
    <t>Susan Elizabeth</t>
  </si>
  <si>
    <t>Breathing room</t>
  </si>
  <si>
    <t>Piacentini</t>
  </si>
  <si>
    <t>Helena</t>
  </si>
  <si>
    <t>Carrières noires</t>
  </si>
  <si>
    <t>Elena</t>
  </si>
  <si>
    <t>Comme de longs échos</t>
  </si>
  <si>
    <t>Pierre-Asène Léoni - 1. Un Corse à Lille</t>
  </si>
  <si>
    <t>Pierre-Asène Léoni - 5. Le cimetière des chimères</t>
  </si>
  <si>
    <t>Pierre-Asène Léoni - 6. Des forêts et des âmes</t>
  </si>
  <si>
    <t>Pierre-Asène Léoni - 7. Aux vents mauvais</t>
  </si>
  <si>
    <t>Pierlain</t>
  </si>
  <si>
    <t>La divine</t>
  </si>
  <si>
    <t>Pierrat</t>
  </si>
  <si>
    <t>Emmanuel</t>
  </si>
  <si>
    <t>Lettres galantes de Mozart</t>
  </si>
  <si>
    <t>Plain</t>
  </si>
  <si>
    <t>Belva</t>
  </si>
  <si>
    <t>Pour le meilleur et pour le pire</t>
  </si>
  <si>
    <t>Pluchard</t>
  </si>
  <si>
    <t>De soie et de cendres</t>
  </si>
  <si>
    <t>Le mas de la Sarrasine / Le petit bâtard</t>
  </si>
  <si>
    <t>Pommaux</t>
  </si>
  <si>
    <t>Yvan</t>
  </si>
  <si>
    <t>Ulysse aux mille ruses</t>
  </si>
  <si>
    <t>Pommerat</t>
  </si>
  <si>
    <t>Joël</t>
  </si>
  <si>
    <t>Cendrillon</t>
  </si>
  <si>
    <t>Les ateliers d'actes sud lycée</t>
  </si>
  <si>
    <t>Ponge</t>
  </si>
  <si>
    <t>Le  parti pris des choses</t>
  </si>
  <si>
    <t>Preston</t>
  </si>
  <si>
    <t>Natasha</t>
  </si>
  <si>
    <t>The cellar</t>
  </si>
  <si>
    <t>Virus</t>
  </si>
  <si>
    <t>Provis</t>
  </si>
  <si>
    <t>La soupe aux cailloux</t>
  </si>
  <si>
    <t>Le pain au goût amer</t>
  </si>
  <si>
    <t>Puard</t>
  </si>
  <si>
    <t>Bertrand</t>
  </si>
  <si>
    <t>Les effacés (Opération 2) - Krach ultime</t>
  </si>
  <si>
    <t>Pullman</t>
  </si>
  <si>
    <t>Northern lights</t>
  </si>
  <si>
    <t>The amber spyglass</t>
  </si>
  <si>
    <t>The subtle knife</t>
  </si>
  <si>
    <t>Queffelec</t>
  </si>
  <si>
    <t>Yann</t>
  </si>
  <si>
    <t>Les noces barbares</t>
  </si>
  <si>
    <t>Queffélec</t>
  </si>
  <si>
    <t>Osmose</t>
  </si>
  <si>
    <t>Quenot</t>
  </si>
  <si>
    <t>Blanc comme la nuit</t>
  </si>
  <si>
    <t>Quigley</t>
  </si>
  <si>
    <t>Run from home</t>
  </si>
  <si>
    <t>Racine</t>
  </si>
  <si>
    <t>Britannicus</t>
  </si>
  <si>
    <t>Phèdre</t>
  </si>
  <si>
    <t>Classiques pocket</t>
  </si>
  <si>
    <t>Rankin</t>
  </si>
  <si>
    <t>Ian</t>
  </si>
  <si>
    <t>Debout dans la tombe d'un autre</t>
  </si>
  <si>
    <t>Read</t>
  </si>
  <si>
    <t>Anabelle</t>
  </si>
  <si>
    <t>Un dernier pas de dance</t>
  </si>
  <si>
    <t>Reader's Digest</t>
  </si>
  <si>
    <t>Scotland Yard mène l'enquête 1</t>
  </si>
  <si>
    <t>Scotland Yard mène l'enquête 2</t>
  </si>
  <si>
    <t>Reichs</t>
  </si>
  <si>
    <t>Kathy</t>
  </si>
  <si>
    <t>Bones of the lost</t>
  </si>
  <si>
    <t>Death du jour</t>
  </si>
  <si>
    <t>Grave secrets</t>
  </si>
  <si>
    <t>Passage mortel</t>
  </si>
  <si>
    <t>Renaudot &amp; Routier</t>
  </si>
  <si>
    <t>L'enfant né à la fin d'un monde</t>
  </si>
  <si>
    <t>Rendell</t>
  </si>
  <si>
    <t>Ruth</t>
  </si>
  <si>
    <t>Jeux de mains</t>
  </si>
  <si>
    <t>Regent's park</t>
  </si>
  <si>
    <t>Reza</t>
  </si>
  <si>
    <t>Yasmina</t>
  </si>
  <si>
    <t>Le Dieu du carnage</t>
  </si>
  <si>
    <t xml:space="preserve">Fr </t>
  </si>
  <si>
    <t>Classiques &amp; Contemporains, Magnard</t>
  </si>
  <si>
    <t>Rhodes</t>
  </si>
  <si>
    <t>Elvi</t>
  </si>
  <si>
    <t>The birthday party</t>
  </si>
  <si>
    <t>Le sortilège de Babylone</t>
  </si>
  <si>
    <t>Violin</t>
  </si>
  <si>
    <t>Riley</t>
  </si>
  <si>
    <t>Lucinda</t>
  </si>
  <si>
    <t>La maison de l'orchidée</t>
  </si>
  <si>
    <t>Rimbaud</t>
  </si>
  <si>
    <t>Les cahers de Douai (poésies)</t>
  </si>
  <si>
    <t>Rinpotché</t>
  </si>
  <si>
    <t>Yongey Mingyour</t>
  </si>
  <si>
    <t>Pour l'amour du monde</t>
  </si>
  <si>
    <t>Riordan</t>
  </si>
  <si>
    <t>Contes des mille et une nuits</t>
  </si>
  <si>
    <t>Robert-Diard</t>
  </si>
  <si>
    <t>La petite menteuse</t>
  </si>
  <si>
    <t>Roberts</t>
  </si>
  <si>
    <t>Nora</t>
  </si>
  <si>
    <t>L'île des trois soeurs</t>
  </si>
  <si>
    <t>L'ultime refuge</t>
  </si>
  <si>
    <t>Alice</t>
  </si>
  <si>
    <t>Le grand guide visuel du corps humain</t>
  </si>
  <si>
    <t>Lieutenant Eve Dallas - Au nom du crime</t>
  </si>
  <si>
    <t>Robinson</t>
  </si>
  <si>
    <t>Leah Ruth</t>
  </si>
  <si>
    <t>Intensive care</t>
  </si>
  <si>
    <t>Robotham</t>
  </si>
  <si>
    <t>Shatter</t>
  </si>
  <si>
    <t>Robson</t>
  </si>
  <si>
    <t>How to do a research project</t>
  </si>
  <si>
    <t>Roleine</t>
  </si>
  <si>
    <t>Roberte</t>
  </si>
  <si>
    <t>Pour l'amour d'un pharaon</t>
  </si>
  <si>
    <t>Romains</t>
  </si>
  <si>
    <t>Knock</t>
  </si>
  <si>
    <t>Mélanie</t>
  </si>
  <si>
    <t>La mémoire d'une autre</t>
  </si>
  <si>
    <t>Rostang</t>
  </si>
  <si>
    <t>Edmond</t>
  </si>
  <si>
    <t>Cyrano de Bergerac</t>
  </si>
  <si>
    <t>Rouaud</t>
  </si>
  <si>
    <t>Les champs d'honneur</t>
  </si>
  <si>
    <t>Flammarion - Etonnants classiques</t>
  </si>
  <si>
    <t>Rufin</t>
  </si>
  <si>
    <t>Le suspendu de Conakry</t>
  </si>
  <si>
    <t>Ruiz</t>
  </si>
  <si>
    <t>Don Miguel</t>
  </si>
  <si>
    <t>Les quatre accords Toltèques</t>
  </si>
  <si>
    <t>Rule</t>
  </si>
  <si>
    <t>On a tué mes enfants</t>
  </si>
  <si>
    <t>Sahebjam</t>
  </si>
  <si>
    <t>Freidoune</t>
  </si>
  <si>
    <t>Morte parmi les vivants</t>
  </si>
  <si>
    <t>Saint-Bray</t>
  </si>
  <si>
    <t>Fontaine d'amour</t>
  </si>
  <si>
    <t>Saldman</t>
  </si>
  <si>
    <t>Votre santé sans risque</t>
  </si>
  <si>
    <t>Sand</t>
  </si>
  <si>
    <t>La mare au diable</t>
  </si>
  <si>
    <t>Sandrel</t>
  </si>
  <si>
    <t>Julien</t>
  </si>
  <si>
    <t>La vie qui m'attendait</t>
  </si>
  <si>
    <t>Sarraute</t>
  </si>
  <si>
    <t>C'est pas bientôt fini !</t>
  </si>
  <si>
    <t>Saubin</t>
  </si>
  <si>
    <t>Béatrice</t>
  </si>
  <si>
    <t>L'épreuve, condamnée à mort à 20 ans en Malaisie</t>
  </si>
  <si>
    <t>Saumont</t>
  </si>
  <si>
    <t>La guerre est déclarée</t>
  </si>
  <si>
    <t>Schmitt</t>
  </si>
  <si>
    <t>Eric-Emmanuel</t>
  </si>
  <si>
    <t>La part de l'autre</t>
  </si>
  <si>
    <t>Odette Toulemonde</t>
  </si>
  <si>
    <t>Scholes</t>
  </si>
  <si>
    <t>Les fleurs sauvages des bougainvilliers</t>
  </si>
  <si>
    <t>Schwab</t>
  </si>
  <si>
    <t>V.I.</t>
  </si>
  <si>
    <t>Vicious Livre 1</t>
  </si>
  <si>
    <t>Sebold</t>
  </si>
  <si>
    <t>The lovely bones</t>
  </si>
  <si>
    <t>Segal</t>
  </si>
  <si>
    <t>Actes de foi</t>
  </si>
  <si>
    <t>L'homme qui marchait dans sa tête</t>
  </si>
  <si>
    <t>Sewell</t>
  </si>
  <si>
    <t>Kitty</t>
  </si>
  <si>
    <t>L'héritage du sang</t>
  </si>
  <si>
    <t>Shakespeare</t>
  </si>
  <si>
    <t>Roméo et Juliette</t>
  </si>
  <si>
    <t>Folioplus classiques</t>
  </si>
  <si>
    <t>Shelley</t>
  </si>
  <si>
    <t>Frankenstein</t>
  </si>
  <si>
    <t>Le livre de poche - Classique</t>
  </si>
  <si>
    <t>Shmidt</t>
  </si>
  <si>
    <t>Ulysse from Bagdad</t>
  </si>
  <si>
    <t>Shuyun</t>
  </si>
  <si>
    <t>Sun</t>
  </si>
  <si>
    <t>Ten thousand miles without a cloud</t>
  </si>
  <si>
    <t>Signol</t>
  </si>
  <si>
    <t>Ce que vivent les hommes - 1. Les Noêls blancs</t>
  </si>
  <si>
    <t>La promesse des sources</t>
  </si>
  <si>
    <t>La vie en son royaume</t>
  </si>
  <si>
    <t>Simard</t>
  </si>
  <si>
    <t>Thana - 1. La fille-rivière</t>
  </si>
  <si>
    <t>Thana - 2. Les vents de Grand'Anse</t>
  </si>
  <si>
    <t>Simenin</t>
  </si>
  <si>
    <t>L'homme de Londres</t>
  </si>
  <si>
    <t>Simenon</t>
  </si>
  <si>
    <t>La mort de belle</t>
  </si>
  <si>
    <t>La veuve Couderc</t>
  </si>
  <si>
    <t>Greorges</t>
  </si>
  <si>
    <t>Maigret : Le chien jaune</t>
  </si>
  <si>
    <t>Maigret chez le coroner</t>
  </si>
  <si>
    <t>Boutique satanique au Croisic</t>
  </si>
  <si>
    <t>Simons</t>
  </si>
  <si>
    <t>Paulina</t>
  </si>
  <si>
    <t>1.Tatiana</t>
  </si>
  <si>
    <t>2.Tatiana et Alexandre</t>
  </si>
  <si>
    <t>3.Inoubliable Tatiana</t>
  </si>
  <si>
    <t>Paullina</t>
  </si>
  <si>
    <t>Le secret de Lily Quinn</t>
  </si>
  <si>
    <t>Slaughter</t>
  </si>
  <si>
    <t>A faint cold fear</t>
  </si>
  <si>
    <t>Blinsighted</t>
  </si>
  <si>
    <t>Faithless</t>
  </si>
  <si>
    <t>Indélébile</t>
  </si>
  <si>
    <t>Kisscut</t>
  </si>
  <si>
    <t>Slocombe</t>
  </si>
  <si>
    <t>L'affaire Léon Sadorski</t>
  </si>
  <si>
    <t>Smith</t>
  </si>
  <si>
    <t>Blondie et la mort</t>
  </si>
  <si>
    <t>Tom Rob</t>
  </si>
  <si>
    <t>La ferme</t>
  </si>
  <si>
    <t>L. J.</t>
  </si>
  <si>
    <t>Prémonitions - 1. Etranges pouvoirs</t>
  </si>
  <si>
    <t>Prémonitions - 2. Possédés</t>
  </si>
  <si>
    <t>Solo</t>
  </si>
  <si>
    <t>Les visiteurs d'histoire</t>
  </si>
  <si>
    <t>Souvira</t>
  </si>
  <si>
    <t>Jean-Marc</t>
  </si>
  <si>
    <t>Les sirènes noires</t>
  </si>
  <si>
    <t>Sparks</t>
  </si>
  <si>
    <t>Les pages de notre amour</t>
  </si>
  <si>
    <t>Spindler</t>
  </si>
  <si>
    <t>Erica</t>
  </si>
  <si>
    <t>Copycat</t>
  </si>
  <si>
    <t>Starr</t>
  </si>
  <si>
    <t>Blood</t>
  </si>
  <si>
    <t>Stedman</t>
  </si>
  <si>
    <t>M.L.</t>
  </si>
  <si>
    <t>Une vie entre deux océans</t>
  </si>
  <si>
    <t>Steel</t>
  </si>
  <si>
    <t>Danielle</t>
  </si>
  <si>
    <t>Honneur et courage</t>
  </si>
  <si>
    <t>Jamais trop tard</t>
  </si>
  <si>
    <t>Sten</t>
  </si>
  <si>
    <t>Viveca</t>
  </si>
  <si>
    <t>Les secrets de l'île</t>
  </si>
  <si>
    <t>Stendhal</t>
  </si>
  <si>
    <t>La chartreuse de parme</t>
  </si>
  <si>
    <t>Le rouge et le noir</t>
  </si>
  <si>
    <t>Stevenson</t>
  </si>
  <si>
    <t>Tous les membres de la famille ont déjà tué quelqu'un</t>
  </si>
  <si>
    <t>Mariah</t>
  </si>
  <si>
    <t>Les enquêtes de Mallory Russo -3 Acts of Mercy</t>
  </si>
  <si>
    <t>Cathy's book</t>
  </si>
  <si>
    <t>Stonicki</t>
  </si>
  <si>
    <t>Elsa</t>
  </si>
  <si>
    <t>Soulager le stress</t>
  </si>
  <si>
    <t>Stout</t>
  </si>
  <si>
    <t>The sociopath next door</t>
  </si>
  <si>
    <t>Strahler</t>
  </si>
  <si>
    <t>Physical Geography</t>
  </si>
  <si>
    <t>Strasser</t>
  </si>
  <si>
    <t>Todd</t>
  </si>
  <si>
    <t>La vague</t>
  </si>
  <si>
    <t>Straub</t>
  </si>
  <si>
    <t>Lost boy, lost girl</t>
  </si>
  <si>
    <t>Paul-Lou</t>
  </si>
  <si>
    <t>L'enfant des mers</t>
  </si>
  <si>
    <t>Vox</t>
  </si>
  <si>
    <t>Tabachnik</t>
  </si>
  <si>
    <t>Maud</t>
  </si>
  <si>
    <t>L'impossible définition du mal</t>
  </si>
  <si>
    <t>Tal Men</t>
  </si>
  <si>
    <t>La promesse d'une île</t>
  </si>
  <si>
    <t>Tamaro</t>
  </si>
  <si>
    <t>Susanna</t>
  </si>
  <si>
    <t>Va où ton coeur te porte</t>
  </si>
  <si>
    <t>Tan</t>
  </si>
  <si>
    <t>The bonesetter's daughter</t>
  </si>
  <si>
    <t>Tartt</t>
  </si>
  <si>
    <t>Le maitre des illusions</t>
  </si>
  <si>
    <t>Taylor Quinn</t>
  </si>
  <si>
    <t>Tara</t>
  </si>
  <si>
    <t>Enlèvement</t>
  </si>
  <si>
    <t>Thériault</t>
  </si>
  <si>
    <t>Yves</t>
  </si>
  <si>
    <t>Agaguk</t>
  </si>
  <si>
    <t>Tayaout, fils d'Agaguk</t>
  </si>
  <si>
    <t>Thilliez</t>
  </si>
  <si>
    <t>Il était deux fois</t>
  </si>
  <si>
    <t>Luca</t>
  </si>
  <si>
    <t>Puzzle</t>
  </si>
  <si>
    <t>Rêver</t>
  </si>
  <si>
    <t>Julia</t>
  </si>
  <si>
    <t>Enfers.com</t>
  </si>
  <si>
    <t>Girl</t>
  </si>
  <si>
    <t>Kara</t>
  </si>
  <si>
    <t>Little monsters</t>
  </si>
  <si>
    <t>Thompson</t>
  </si>
  <si>
    <t>Carlene</t>
  </si>
  <si>
    <t>Tu es si jolie ce soir</t>
  </si>
  <si>
    <t>Toibin</t>
  </si>
  <si>
    <t>Colm</t>
  </si>
  <si>
    <t>Brooklyn</t>
  </si>
  <si>
    <t>Torquet</t>
  </si>
  <si>
    <t>Ombre de soie</t>
  </si>
  <si>
    <t>Tremblay d'Essiambre</t>
  </si>
  <si>
    <t>Les héritières du fleuve *</t>
  </si>
  <si>
    <t>Chroniques du monde émergé - Livre 1</t>
  </si>
  <si>
    <t>Trompette</t>
  </si>
  <si>
    <t>Laura</t>
  </si>
  <si>
    <t>C'est toi le chat</t>
  </si>
  <si>
    <t>Troyat</t>
  </si>
  <si>
    <t>Les semailles et les moissons - 1. Les semailles et les moissons</t>
  </si>
  <si>
    <t>Les semailles et les moissons - 2. Amélie</t>
  </si>
  <si>
    <t>Les semailles et les moissons - 3. La grive</t>
  </si>
  <si>
    <t>Les semailles et les moissons - 4. Tendre et violente Elisabeth</t>
  </si>
  <si>
    <t>Les semailles et les moissons - 5. La rencontre</t>
  </si>
  <si>
    <t>Terribles Tsarines</t>
  </si>
  <si>
    <t>Tuan</t>
  </si>
  <si>
    <t>Les secrets des Tarots</t>
  </si>
  <si>
    <t>Turnbull</t>
  </si>
  <si>
    <t>Les Iks</t>
  </si>
  <si>
    <t>Underhill</t>
  </si>
  <si>
    <t>Adrian</t>
  </si>
  <si>
    <t>English for advanced learners workbook</t>
  </si>
  <si>
    <t>Unknown</t>
  </si>
  <si>
    <t>30 minutes par jour pour un coeur solide</t>
  </si>
  <si>
    <t>Aladin et autres contes merveilleux</t>
  </si>
  <si>
    <t>Atlas historique</t>
  </si>
  <si>
    <t>Catalogue ou annuaire 1961</t>
  </si>
  <si>
    <t>Crochet - Petits accessoires de mode</t>
  </si>
  <si>
    <t>Enquêtes policières</t>
  </si>
  <si>
    <t>Guide des champignons</t>
  </si>
  <si>
    <t>Les milles et une nuits</t>
  </si>
  <si>
    <t>Les remèdes maison des médecins</t>
  </si>
  <si>
    <t>Mon carnet d'hypersensible</t>
  </si>
  <si>
    <t>Monnaies Françaises 1789 - 2017</t>
  </si>
  <si>
    <t>Plantes comestibles - Cueillette &amp; recettes des 4 saisons</t>
  </si>
  <si>
    <t>Tout en un, encyclopédie illestrée des connaissances humaines</t>
  </si>
  <si>
    <t>Voix express Anglais G.B.</t>
  </si>
  <si>
    <t>Valandrey</t>
  </si>
  <si>
    <t>Charlotte</t>
  </si>
  <si>
    <t>N'oublie pas de m'aimer</t>
  </si>
  <si>
    <t>Vanier</t>
  </si>
  <si>
    <t>L'or sous la neige</t>
  </si>
  <si>
    <t>Le chant du grand Nord - 1. Le chasseur de rêve</t>
  </si>
  <si>
    <t>Le chant du grand Nord - 2. La tempête blanche</t>
  </si>
  <si>
    <t>Le grand voyage - 2. La quête de Mohawqs</t>
  </si>
  <si>
    <t>Vargas</t>
  </si>
  <si>
    <t>Fred</t>
  </si>
  <si>
    <t>Pars vite et reviens tard</t>
  </si>
  <si>
    <t>Varnan</t>
  </si>
  <si>
    <t>Emma</t>
  </si>
  <si>
    <t>Petites plantes à crocheter</t>
  </si>
  <si>
    <t>Vassal</t>
  </si>
  <si>
    <t>Lucien</t>
  </si>
  <si>
    <t>Enzella</t>
  </si>
  <si>
    <t>Vasseur</t>
  </si>
  <si>
    <t>Véronique</t>
  </si>
  <si>
    <t>Médecin-chef à la prison de la Santé</t>
  </si>
  <si>
    <t>Verna</t>
  </si>
  <si>
    <t>Harmony</t>
  </si>
  <si>
    <t>Les orphelins du bout du monde</t>
  </si>
  <si>
    <t>L'île mystérieuse</t>
  </si>
  <si>
    <t>L'île mystérieuse - 1ère partie</t>
  </si>
  <si>
    <t>Le pays des fourrures</t>
  </si>
  <si>
    <t>Le tour du monde en 80 jours</t>
  </si>
  <si>
    <t>Le volcan d'or</t>
  </si>
  <si>
    <t>Vingt mille lieux sous les mers</t>
  </si>
  <si>
    <t>Classiques &amp; Patrimoine, Magnard</t>
  </si>
  <si>
    <t>Vial</t>
  </si>
  <si>
    <t>La bataille du Vercors</t>
  </si>
  <si>
    <t>Vincent</t>
  </si>
  <si>
    <t>Elina</t>
  </si>
  <si>
    <t>Les orphelins du Grand Nord</t>
  </si>
  <si>
    <t>Viollier</t>
  </si>
  <si>
    <t>Les aisons de Vendée</t>
  </si>
  <si>
    <t>Les lilas de mer</t>
  </si>
  <si>
    <t>Virmone</t>
  </si>
  <si>
    <t>La mariée du château noir</t>
  </si>
  <si>
    <t>Vitarelles</t>
  </si>
  <si>
    <t>Isa</t>
  </si>
  <si>
    <t>L'ombre d'un ami</t>
  </si>
  <si>
    <t>Vittori</t>
  </si>
  <si>
    <t>1944-1945 Les sabots</t>
  </si>
  <si>
    <t>Les romans de la mémoire</t>
  </si>
  <si>
    <t>Voltaire</t>
  </si>
  <si>
    <t>Candide</t>
  </si>
  <si>
    <t>Wagamese</t>
  </si>
  <si>
    <t>Les étoiles s'éteignent à l'aube</t>
  </si>
  <si>
    <t>Walker</t>
  </si>
  <si>
    <t>La fille de l'ombre</t>
  </si>
  <si>
    <t>Walters</t>
  </si>
  <si>
    <t>Minette</t>
  </si>
  <si>
    <t>La muselière</t>
  </si>
  <si>
    <t>Wang</t>
  </si>
  <si>
    <t>Anyi</t>
  </si>
  <si>
    <t>Amour sur une colline dénudée</t>
  </si>
  <si>
    <t>Waters</t>
  </si>
  <si>
    <t>Fingersmith</t>
  </si>
  <si>
    <t>Watson</t>
  </si>
  <si>
    <t>S. J.</t>
  </si>
  <si>
    <t>Avant d'aller dormir</t>
  </si>
  <si>
    <t>Waugh</t>
  </si>
  <si>
    <t>Evelyn</t>
  </si>
  <si>
    <t>Une poignée de cendres</t>
  </si>
  <si>
    <t>Weaver</t>
  </si>
  <si>
    <t>Vanished</t>
  </si>
  <si>
    <t>Wentworth</t>
  </si>
  <si>
    <t>Le cabinet Chinois</t>
  </si>
  <si>
    <t>Werber</t>
  </si>
  <si>
    <t>Le jour des fourmis</t>
  </si>
  <si>
    <t>Les fourmis</t>
  </si>
  <si>
    <t>Nouvelle encyclopédie du savoir relatif et absolu</t>
  </si>
  <si>
    <t>White</t>
  </si>
  <si>
    <t>Refuge</t>
  </si>
  <si>
    <t>Whitney</t>
  </si>
  <si>
    <t>Rebecca</t>
  </si>
  <si>
    <t>Le pacte des menteurs</t>
  </si>
  <si>
    <t>Willett</t>
  </si>
  <si>
    <t>Marcia</t>
  </si>
  <si>
    <t>Une semaine en hiver</t>
  </si>
  <si>
    <t>Roy</t>
  </si>
  <si>
    <t>Mythologies du monde entier</t>
  </si>
  <si>
    <t>Wilson</t>
  </si>
  <si>
    <t>L'amant Anglais</t>
  </si>
  <si>
    <t>Wood</t>
  </si>
  <si>
    <t>Bari</t>
  </si>
  <si>
    <t>Amy girl</t>
  </si>
  <si>
    <t>Woodiwiss</t>
  </si>
  <si>
    <t>Kathleen E.</t>
  </si>
  <si>
    <t>L'inconnue du Mississipi</t>
  </si>
  <si>
    <t>Un mariage de convenance</t>
  </si>
  <si>
    <t>Wynd</t>
  </si>
  <si>
    <t>Oswald</t>
  </si>
  <si>
    <t>Une odeur de gingembre</t>
  </si>
  <si>
    <t>Yapp &amp; Syrett</t>
  </si>
  <si>
    <t>The sxenophobe's guide to the French</t>
  </si>
  <si>
    <t>Yoon</t>
  </si>
  <si>
    <t>Nicola</t>
  </si>
  <si>
    <t>Everything, everything</t>
  </si>
  <si>
    <t>Yuval, Noah, Harari</t>
  </si>
  <si>
    <t>Homo Deus, A brief history of tomorrow</t>
  </si>
  <si>
    <t>Sapiens, A brief histoty of humankind</t>
  </si>
  <si>
    <t>Zimler</t>
  </si>
  <si>
    <t>Le gardien de l'aube</t>
  </si>
  <si>
    <t>Zola</t>
  </si>
  <si>
    <t>Emile</t>
  </si>
  <si>
    <t>Au bonheur des dames</t>
  </si>
  <si>
    <t>La faute de l'abbé Monet</t>
  </si>
  <si>
    <t>Le rêve</t>
  </si>
  <si>
    <t>Thérèse Raquin</t>
  </si>
  <si>
    <t>Une page d'amour</t>
  </si>
  <si>
    <t>BD Auteur</t>
  </si>
  <si>
    <t>BD titre</t>
  </si>
  <si>
    <t>Arleston &amp; Mourier</t>
  </si>
  <si>
    <t>Trolls de Troy - Tome 1 Histoires trolles</t>
  </si>
  <si>
    <t>Beka &amp; Poupard</t>
  </si>
  <si>
    <t>Rugbymen</t>
  </si>
  <si>
    <t>Bretécher Claire</t>
  </si>
  <si>
    <t>Agrippine et la secte à Raymonde</t>
  </si>
  <si>
    <t>Cauvin &amp; Hardy</t>
  </si>
  <si>
    <t>Pierre Tombal 16 - Tombe, la neige</t>
  </si>
  <si>
    <t>Pierre Tombal 3 - Mort aux dents</t>
  </si>
  <si>
    <t>Pierre Tombal 5 - Ô suaires</t>
  </si>
  <si>
    <t>Charlier &amp; Giraud</t>
  </si>
  <si>
    <t>Blueberry - Angel face</t>
  </si>
  <si>
    <t>Blueberry - Ballade pour un cercueil</t>
  </si>
  <si>
    <t>Blueberry - Général "tête jaune"</t>
  </si>
  <si>
    <t>Blueberry - L'homme à l'étoile d'argent</t>
  </si>
  <si>
    <t>Blueberry - L'homme au poing d'acier</t>
  </si>
  <si>
    <t>Blueberry - L'homme qui valait 500 000 dollars</t>
  </si>
  <si>
    <t>Blueberry - La jeunesse de Blueberry / Les démons du Missouri</t>
  </si>
  <si>
    <t>Blueberry - La mine de l'Allemand perdu</t>
  </si>
  <si>
    <t>Blueberry - La piste des Sioux</t>
  </si>
  <si>
    <t>Blueberry - La poursuite impitoyable</t>
  </si>
  <si>
    <t>Blueberry - Le cavalier perdu</t>
  </si>
  <si>
    <t>Blueberry - Le cheval de fer</t>
  </si>
  <si>
    <t>Blueberry - Le hors la loi</t>
  </si>
  <si>
    <t>Blueberry - Nez cassé</t>
  </si>
  <si>
    <t>Blueberry - Tonnerre à l'Ouest</t>
  </si>
  <si>
    <t>Craenhals &amp; Chaulet</t>
  </si>
  <si>
    <t>Les 4 as et l'aéroglisseur</t>
  </si>
  <si>
    <t>Les 4 as et l'île du Robinson</t>
  </si>
  <si>
    <t>Les 4 as et la bombe F</t>
  </si>
  <si>
    <t>Les 4 as et la licorne</t>
  </si>
  <si>
    <t>Les 4 as et la vache sacrée</t>
  </si>
  <si>
    <t>Les 4 as et le château maléfique</t>
  </si>
  <si>
    <t>Les 4 as et le couroucou</t>
  </si>
  <si>
    <t>Les 4 as et le diamant bleu</t>
  </si>
  <si>
    <t>Les 4 as et le Picasso volé</t>
  </si>
  <si>
    <t>Les 4 as et le serpent de mer</t>
  </si>
  <si>
    <t>Les 4 as et le tiran</t>
  </si>
  <si>
    <t>Les 4 as et le trésor des Tsars</t>
  </si>
  <si>
    <t>Les 4 as et le tyran</t>
  </si>
  <si>
    <t>Les 4 as et le vaisseau fantôme</t>
  </si>
  <si>
    <t>Davis</t>
  </si>
  <si>
    <t>Garfield - Fainéant et gourmand</t>
  </si>
  <si>
    <t>Derib &amp; Job</t>
  </si>
  <si>
    <t>Yakari - Les seigneurs des plaines</t>
  </si>
  <si>
    <t>Di Sano</t>
  </si>
  <si>
    <t>Délits d'innocence</t>
  </si>
  <si>
    <t>En toute innocence</t>
  </si>
  <si>
    <t>Innocence sur mesure</t>
  </si>
  <si>
    <t>L'innocence coeur à coeur</t>
  </si>
  <si>
    <t>Projection d'innocence</t>
  </si>
  <si>
    <t>Duchateau &amp; Geron</t>
  </si>
  <si>
    <t>Yalek - Viking, puissance 1000</t>
  </si>
  <si>
    <t>Fluide Glacial</t>
  </si>
  <si>
    <t>Le guide de la sexualité épanouie</t>
  </si>
  <si>
    <t>Little Kevin</t>
  </si>
  <si>
    <t>Fournier</t>
  </si>
  <si>
    <t>Les aventures de Spirou et Fantasio - Du cidre pour les étoiles</t>
  </si>
  <si>
    <t>Les aventures de Spirou et Fantasio - Du glucose pour Noëmie</t>
  </si>
  <si>
    <t>Les aventures de Spirou et Fantasio - Le réveil du Z</t>
  </si>
  <si>
    <t>Frankin</t>
  </si>
  <si>
    <t>Gaston - En direct de la gaffe</t>
  </si>
  <si>
    <t>Gaston 1</t>
  </si>
  <si>
    <t>Gaston 10 - Le géant de la gaffe</t>
  </si>
  <si>
    <t>Gaston 13 - Lagaffe mérite des gaffes</t>
  </si>
  <si>
    <t>Gaston 14 - La saga des gaffes</t>
  </si>
  <si>
    <t>Gaston 2</t>
  </si>
  <si>
    <t>Gaston 7 - Un gaffeur sachant gaffer</t>
  </si>
  <si>
    <t>Gaston R3 - Gare aux gaffes du gars gonflé</t>
  </si>
  <si>
    <t>Gaston R5 - Le lourd passé de Lagaffe</t>
  </si>
  <si>
    <t>Les aventures de Spirou et Fantasio 1 - Quatre aventures de Spirou</t>
  </si>
  <si>
    <t>Les aventures de Spirou et Fantasio 12 - Le nid des Marsupilamis</t>
  </si>
  <si>
    <t>Les aventures de Spirou et Fantasio 17 - Spirou et les hommes bulles</t>
  </si>
  <si>
    <t>Les aventures de Spirou et Fantasio 3 - Les chapeaux noirs</t>
  </si>
  <si>
    <t>Les aventures de Spirou et Fantasio 6 - La corne de rhinocéros</t>
  </si>
  <si>
    <t>Marsupilami - Mars le noir</t>
  </si>
  <si>
    <t>Goscinny &amp; Tabary</t>
  </si>
  <si>
    <t>Iznogoud - Le jour des fous</t>
  </si>
  <si>
    <t>Gotlib</t>
  </si>
  <si>
    <t>6. Gai-luron</t>
  </si>
  <si>
    <t>7. Trucs en vrac</t>
  </si>
  <si>
    <t>Greg</t>
  </si>
  <si>
    <t>Achille Tallon fait son ménage</t>
  </si>
  <si>
    <t>Achille Tallon vous salue bien</t>
  </si>
  <si>
    <t>Grenon &amp; Goupil</t>
  </si>
  <si>
    <t>Le guide de l'amour</t>
  </si>
  <si>
    <t>Guigues &amp; Pellet</t>
  </si>
  <si>
    <t>Les révoltés de Galdamaesh - Tome 1 La prophétie des Argolides</t>
  </si>
  <si>
    <t>Hergé</t>
  </si>
  <si>
    <t>Les aventures de Jo, Zette et Jocko - Destination New-York</t>
  </si>
  <si>
    <t>Les aventures de Jo, Zette et Jocko - L'éruption du Karamako</t>
  </si>
  <si>
    <t>Les aventures de Jo, Zette et Jocko - Le "Manitoba" ne répond plus</t>
  </si>
  <si>
    <t>Quick et Fluke - Les exploits de Quick et Fluke</t>
  </si>
  <si>
    <t>Tintin - Coke en stock</t>
  </si>
  <si>
    <t>Tintin - Flght 714</t>
  </si>
  <si>
    <t>Tintin - L'affaire tournesol</t>
  </si>
  <si>
    <t>Tintin - L'île noire / L'étoile mystérieuse</t>
  </si>
  <si>
    <t>Tintin - L'oreille cassée / Coke en stock</t>
  </si>
  <si>
    <t>Tintin - Le crabe aux pinces d'or</t>
  </si>
  <si>
    <t>Tintin - Le crabe aux pinces d'or / Tintin au pays de l'or noir</t>
  </si>
  <si>
    <t>Tintin - Le lotus bleu</t>
  </si>
  <si>
    <t>Tintin - Le sceptre d'Ottokar / L'affaire Tournesol</t>
  </si>
  <si>
    <t>Tintin - Le secret de la Licorne / Le trésor de Rackam le rouge</t>
  </si>
  <si>
    <t>Tintin - Le temple du soleil</t>
  </si>
  <si>
    <t>Tintin - Le trésor de Rackham le rouge</t>
  </si>
  <si>
    <t>Tintin - Les 7 boules de cristal / Le temple du soleil</t>
  </si>
  <si>
    <t>Tintin - Les bijoux de la Castafiore</t>
  </si>
  <si>
    <t>Tintin - Les cigares du Pharaon</t>
  </si>
  <si>
    <t>Tintin - Les cigares du Pharaon / Le lotus bleu</t>
  </si>
  <si>
    <t>Tintin - Objectif lune / On a marché sur la lune</t>
  </si>
  <si>
    <t>Tintin - The broken ear</t>
  </si>
  <si>
    <t>Tintin - Vol 714 pour Sydney / Tintin et les Picards</t>
  </si>
  <si>
    <t>Tintin au Congo / Tintin en Amérique</t>
  </si>
  <si>
    <t>Tintin au pay des Soviets</t>
  </si>
  <si>
    <t>Tintin au Tibet / Les bijoux de la Castafiore</t>
  </si>
  <si>
    <t>Tintin en Amérique</t>
  </si>
  <si>
    <t>Tintin et le lac aux requins</t>
  </si>
  <si>
    <t>Tintin et le mystère de la toison d'or</t>
  </si>
  <si>
    <t>Tintin et les oranges bleues</t>
  </si>
  <si>
    <t>Tintin et les picards</t>
  </si>
  <si>
    <t>Tintin relié - 5. Le sceptre d'Ottokar / Le crabe aux pinces d'or / L'étoile mystérieuse</t>
  </si>
  <si>
    <t>Tintin relié - 6. Le secret de la licorne / Le trésor de Rackham le rouge</t>
  </si>
  <si>
    <t>Tintin relié - 7. Les 7 boules de cristal / Le temple du soleil / Au pays de l'or noir</t>
  </si>
  <si>
    <t>Tintin relié - 8. Objectif lune / On a marché sur la lune</t>
  </si>
  <si>
    <t>Tintin relié - 9. L'affaire Tounesol / Coke en stock</t>
  </si>
  <si>
    <t>Jacobs Edgdar</t>
  </si>
  <si>
    <t>La marque jaune</t>
  </si>
  <si>
    <t>Janry</t>
  </si>
  <si>
    <t>Les aventures de Spirou et Fantasio - L'horloger de la comète</t>
  </si>
  <si>
    <t>Les aventures de Spirou et Fantasio - Vito la déveine</t>
  </si>
  <si>
    <t>Les aventures de Spirou et Fantasio - Qui arrêtera Cyanure ?</t>
  </si>
  <si>
    <t>Lacroix Pierre</t>
  </si>
  <si>
    <t>Bibi Fricotin et le secret de la momie</t>
  </si>
  <si>
    <t>Lagerlof</t>
  </si>
  <si>
    <t>Lambil &amp; Cauvin</t>
  </si>
  <si>
    <t>Les tuniques bleues - Arabesque</t>
  </si>
  <si>
    <t>Les tuniques bleues - Bull run</t>
  </si>
  <si>
    <t>Les tuniques bleues - Captain Nepel</t>
  </si>
  <si>
    <t>Les tuniques bleues - Drummer boy</t>
  </si>
  <si>
    <t>Les tuniques bleues - Du Nord au Sud</t>
  </si>
  <si>
    <t>Les tuniques bleues - Duel dans la manche</t>
  </si>
  <si>
    <t>Les tuniques bleues - En avant l'amnésique</t>
  </si>
  <si>
    <t>Les tuniques bleues - L'or du Québec</t>
  </si>
  <si>
    <t>Les tuniques bleues - La grande patrouille</t>
  </si>
  <si>
    <t>Les tuniques bleues - La prison de Robertsonville</t>
  </si>
  <si>
    <t>Les tuniques bleues - La rose de Bantry</t>
  </si>
  <si>
    <t>Les tuniques bleues - Les bleus en folie</t>
  </si>
  <si>
    <t>Les tuniques bleues - Les bleus tournent cosaques</t>
  </si>
  <si>
    <t>Les tuniques bleues - Les déserteurs</t>
  </si>
  <si>
    <t>Les tuniques bleues - Les Nancy Hart</t>
  </si>
  <si>
    <t>Les tuniques bleues - Puppet blues</t>
  </si>
  <si>
    <t>Les tuniques bleues - Quantrill</t>
  </si>
  <si>
    <t>Les tuniques bleues - Un chariot dans l'Ouest</t>
  </si>
  <si>
    <t>Les tuniques bleues - Vertes années</t>
  </si>
  <si>
    <t>Laudec &amp; Cauvin</t>
  </si>
  <si>
    <t>Cédric - Chaud et froid</t>
  </si>
  <si>
    <t>Lecureux &amp; Cheret</t>
  </si>
  <si>
    <t>Rahan - Le fils des âges farouches</t>
  </si>
  <si>
    <t>Leloup</t>
  </si>
  <si>
    <t>Yoko Tsuno - L'orgue du diable</t>
  </si>
  <si>
    <t>Yoko Tsuno - La fille du vent</t>
  </si>
  <si>
    <t>Yoko Tsuno - La frontière de la vie</t>
  </si>
  <si>
    <t>Yoko Tsuno - La lumière d'Ixo</t>
  </si>
  <si>
    <t>Yoko Tsuno - La porte des âmes</t>
  </si>
  <si>
    <t>Yoko Tsuno - La spirale du temps</t>
  </si>
  <si>
    <t>Yoko Tsuno - Le canon de Kra</t>
  </si>
  <si>
    <t>Yoko Tsuno - Le dragon de Hong-Kong</t>
  </si>
  <si>
    <t>Yoko Tsuno - Le trio de l'étrange</t>
  </si>
  <si>
    <t>Yoko Tsuno - Message pour l'éternité</t>
  </si>
  <si>
    <t>Marceau &amp; Boublin</t>
  </si>
  <si>
    <t>Le guide de la trentaine</t>
  </si>
  <si>
    <t>Les aventures d'Alix - Alix l'intrépide</t>
  </si>
  <si>
    <t>Les aventures d'Alix - Iorix le grand</t>
  </si>
  <si>
    <t>Les aventures d'Alix - L'enfant Grec</t>
  </si>
  <si>
    <t>Les aventures d'Alix - L'île maudite</t>
  </si>
  <si>
    <t>Les aventures d'Alix - La griffe noire</t>
  </si>
  <si>
    <t>Les aventures d'Alix - La tiare d'Oribal</t>
  </si>
  <si>
    <t>Les aventures d'Alix - La tour de Babel</t>
  </si>
  <si>
    <t>Les aventures d'Alix - Le dernier Spartiate</t>
  </si>
  <si>
    <t>Les aventures d'Alix - Le Dieu sauvage</t>
  </si>
  <si>
    <t>Les aventures d'Alix - Le fils de Spartacus</t>
  </si>
  <si>
    <t>Les aventures d'Alix - Le prince du Nil</t>
  </si>
  <si>
    <t>Les aventures d'Alix - Le tombeau Etrusque</t>
  </si>
  <si>
    <t>Les aventures d'Alix - Les légions perdues</t>
  </si>
  <si>
    <t>Les aventures d'Alix - Les proies du volcan</t>
  </si>
  <si>
    <t>Martin &amp; Chaillet</t>
  </si>
  <si>
    <t>Lefranc - L'oasis</t>
  </si>
  <si>
    <t>Lefranc - L'ouragan de feu</t>
  </si>
  <si>
    <t>Lefranc - Le repaire du louop</t>
  </si>
  <si>
    <t>Lefranc - Les portes de l'enfer</t>
  </si>
  <si>
    <t>Lefranc - Opération Thor</t>
  </si>
  <si>
    <t>Moliternu &amp; Alessandrini</t>
  </si>
  <si>
    <t>Indiana Jones et le secret de la pyramide</t>
  </si>
  <si>
    <t>Morris &amp; Goscinny</t>
  </si>
  <si>
    <t>Lucky Luke - Canyon Apache</t>
  </si>
  <si>
    <t>Lucky Luke - Daisy town</t>
  </si>
  <si>
    <t>Lucky Luke - Dalton city</t>
  </si>
  <si>
    <t>Lucky Luke - L'amnésie des Dalton</t>
  </si>
  <si>
    <t>Lucky Luke - La belle province</t>
  </si>
  <si>
    <t>Lucky Luke - La caravane</t>
  </si>
  <si>
    <t>Lucky Luke - La guérison des Dalton</t>
  </si>
  <si>
    <t>Lucky Luke - Le magot des Dalton</t>
  </si>
  <si>
    <t>Lucky Luke - Les Daltons dans le blizzad</t>
  </si>
  <si>
    <t>Lucky Luke - Ma Dalton</t>
  </si>
  <si>
    <t>Lucky Luke - Tortillas pour les Dalton</t>
  </si>
  <si>
    <t>Lucky Luke - Les collines noires</t>
  </si>
  <si>
    <t>Peyo</t>
  </si>
  <si>
    <t>Les schtroumphs et l'arbre d'or</t>
  </si>
  <si>
    <t>Les schtroumphs noirs</t>
  </si>
  <si>
    <t>Les schtroumphs sauvages</t>
  </si>
  <si>
    <t>Turk &amp; de Groot</t>
  </si>
  <si>
    <t>Léonard - Cadeau de génie</t>
  </si>
  <si>
    <t>Léonard - Compile de génie</t>
  </si>
  <si>
    <t>Uderzo &amp; Goscinny</t>
  </si>
  <si>
    <t>60 ans d'aventures Astérix</t>
  </si>
  <si>
    <t>Astérix - L'empire du milieu</t>
  </si>
  <si>
    <t>Astérix - L'iris blanc</t>
  </si>
  <si>
    <t>Astérix - La serpe d'or</t>
  </si>
  <si>
    <t>Astérix - La zizanie</t>
  </si>
  <si>
    <t>Astérix - Le devin</t>
  </si>
  <si>
    <t>Astérix - Les lauriers de César</t>
  </si>
  <si>
    <t>Astérix and the falling sky</t>
  </si>
  <si>
    <t>Astérix chez les Belges</t>
  </si>
  <si>
    <t>Astérix chez les Pictes</t>
  </si>
  <si>
    <t>Astérix en Corse</t>
  </si>
  <si>
    <t>Astérix en Hispanie</t>
  </si>
  <si>
    <t>Astérix en Lusitanie</t>
  </si>
  <si>
    <t>Astérix et le chaudron</t>
  </si>
  <si>
    <t>Astérix et les Normands</t>
  </si>
  <si>
    <t>Zep</t>
  </si>
  <si>
    <t>Titeuf 1 - Dieu, le sexe et les bretelles (version colorisée à partir de 2010)</t>
  </si>
  <si>
    <t>Titeuf 1 - Dieu, le sexe et les bretelles (version noir et blanc à partir de 1993)</t>
  </si>
  <si>
    <t>Titeuf 2 - L'amour, c'est pô propre...</t>
  </si>
  <si>
    <t>Titeuf 8 - Lâchez-moi le slip !</t>
  </si>
  <si>
    <t>Liste DVD</t>
  </si>
  <si>
    <t>Liste CD</t>
  </si>
  <si>
    <t>Liste cassettes audio</t>
  </si>
  <si>
    <t>Jeux</t>
  </si>
  <si>
    <t>Films</t>
  </si>
  <si>
    <t>Dessins animés</t>
  </si>
  <si>
    <t>Films dans jaquettes carton</t>
  </si>
  <si>
    <t>FR et autre</t>
  </si>
  <si>
    <t>EN</t>
  </si>
  <si>
    <t>FR</t>
  </si>
  <si>
    <t>Xbox</t>
  </si>
  <si>
    <t>Wii</t>
  </si>
  <si>
    <t>Playsation 1</t>
  </si>
  <si>
    <t>DS</t>
  </si>
  <si>
    <t>Artiste</t>
  </si>
  <si>
    <t>Assassin's Creed Valhalla (ds Xbox)</t>
  </si>
  <si>
    <t>Wii Sports Resort</t>
  </si>
  <si>
    <t>Tomb Raider</t>
  </si>
  <si>
    <t>Mario &amp; Luigi</t>
  </si>
  <si>
    <t>The importance of being earnest</t>
  </si>
  <si>
    <t>Joseph le roi des rêves</t>
  </si>
  <si>
    <t>A river runs through it</t>
  </si>
  <si>
    <t>Daniel Balavoine</t>
  </si>
  <si>
    <t>Balavoine</t>
  </si>
  <si>
    <t>Exhilaration</t>
  </si>
  <si>
    <t>David Bowie</t>
  </si>
  <si>
    <t>Singles Collection 2 CDs</t>
  </si>
  <si>
    <t>Assassin's Creed Revelations</t>
  </si>
  <si>
    <t>Monopoly</t>
  </si>
  <si>
    <t>Crash Bandicoot 3</t>
  </si>
  <si>
    <t>Ratatouille</t>
  </si>
  <si>
    <t>Crouching tiger hidden dragon</t>
  </si>
  <si>
    <t>The bounty</t>
  </si>
  <si>
    <t>Pow wow</t>
  </si>
  <si>
    <t>Regagner les plaines</t>
  </si>
  <si>
    <t>Bonnie Tyler</t>
  </si>
  <si>
    <t>The best</t>
  </si>
  <si>
    <t>Assassin's Creed Black Flag</t>
  </si>
  <si>
    <t>Wii Sports</t>
  </si>
  <si>
    <t>Pandemonium 2</t>
  </si>
  <si>
    <t>Barbie</t>
  </si>
  <si>
    <t>Bewitched</t>
  </si>
  <si>
    <t>Hoe to train your dragon</t>
  </si>
  <si>
    <t>The cinder path</t>
  </si>
  <si>
    <t>Sauver l'amour</t>
  </si>
  <si>
    <t>Blink 182</t>
  </si>
  <si>
    <t>Enema of the state</t>
  </si>
  <si>
    <t>Assassin's Creed Mirage</t>
  </si>
  <si>
    <t>Donkey Kong Country Returns</t>
  </si>
  <si>
    <t>Rayman 2</t>
  </si>
  <si>
    <t>Art Academy</t>
  </si>
  <si>
    <t>Bend it like Beckham</t>
  </si>
  <si>
    <t>Madagascar</t>
  </si>
  <si>
    <t>The king and I</t>
  </si>
  <si>
    <t>Ses 7 premières compositions</t>
  </si>
  <si>
    <t>Mohicans</t>
  </si>
  <si>
    <t>Assassin's Creed Odissey</t>
  </si>
  <si>
    <t>Sonic Colours</t>
  </si>
  <si>
    <t>Worms</t>
  </si>
  <si>
    <t>Super Mario Bros</t>
  </si>
  <si>
    <t>La celda</t>
  </si>
  <si>
    <t>The adventures of Pinocchio</t>
  </si>
  <si>
    <t>A change of place</t>
  </si>
  <si>
    <t>Master series</t>
  </si>
  <si>
    <t>No boundaries</t>
  </si>
  <si>
    <t>Final Fantaisy XIII-2</t>
  </si>
  <si>
    <t>Dance on Broadway</t>
  </si>
  <si>
    <t>Kirby</t>
  </si>
  <si>
    <t>Angel Eyes</t>
  </si>
  <si>
    <t>Vive les Schtroumphs</t>
  </si>
  <si>
    <t>The last emperor</t>
  </si>
  <si>
    <t>Vendeurs de larmes</t>
  </si>
  <si>
    <t>Queen</t>
  </si>
  <si>
    <t>Greatest hits I, II &amp; III</t>
  </si>
  <si>
    <t>Street Fighter IV</t>
  </si>
  <si>
    <t>U Draw Studio</t>
  </si>
  <si>
    <t>La petite sirène</t>
  </si>
  <si>
    <t>The Founding of a republic</t>
  </si>
  <si>
    <t>El Dorado</t>
  </si>
  <si>
    <t>Prime suspect</t>
  </si>
  <si>
    <t>Les compagnons du gras jambon</t>
  </si>
  <si>
    <t>The GraAlbum</t>
  </si>
  <si>
    <t>Rock &amp; Symphony</t>
  </si>
  <si>
    <t>Best of Abba, The Beatles, Queen, The Rolling Stones</t>
  </si>
  <si>
    <t>Sniper Elite 4</t>
  </si>
  <si>
    <t>Mario Kart (In Wii)</t>
  </si>
  <si>
    <t>Monkey Ball</t>
  </si>
  <si>
    <t>Circus</t>
  </si>
  <si>
    <t>Ice age 3</t>
  </si>
  <si>
    <t>Silkwood</t>
  </si>
  <si>
    <t>Gold</t>
  </si>
  <si>
    <t>Les plus belles chansons</t>
  </si>
  <si>
    <t>Reggae Max</t>
  </si>
  <si>
    <t>Dance Central 2</t>
  </si>
  <si>
    <t>Rayman</t>
  </si>
  <si>
    <t>The butterfly effect</t>
  </si>
  <si>
    <t>Ice age 2</t>
  </si>
  <si>
    <t>Renaud</t>
  </si>
  <si>
    <t>The very meilleur</t>
  </si>
  <si>
    <t>Aqua</t>
  </si>
  <si>
    <t>Aquarium</t>
  </si>
  <si>
    <t>Disneyland Adventures</t>
  </si>
  <si>
    <t>The faculty</t>
  </si>
  <si>
    <t>The jungle book</t>
  </si>
  <si>
    <t>Les naufragés</t>
  </si>
  <si>
    <t>A contre-courant</t>
  </si>
  <si>
    <t>The Pogues</t>
  </si>
  <si>
    <t>Rum Sodomy &amp; the Lash</t>
  </si>
  <si>
    <t>Fable the Journey</t>
  </si>
  <si>
    <t>Sweet november</t>
  </si>
  <si>
    <t>le prince d'Egypte</t>
  </si>
  <si>
    <t>Fred Mehry</t>
  </si>
  <si>
    <t>Ces instants</t>
  </si>
  <si>
    <t>The rest of the best</t>
  </si>
  <si>
    <t>Fable III</t>
  </si>
  <si>
    <t>Charlie's angels</t>
  </si>
  <si>
    <t>Arthur and the invisibles</t>
  </si>
  <si>
    <t>Phil Barney</t>
  </si>
  <si>
    <t>Tour d'ivoire</t>
  </si>
  <si>
    <t>All women</t>
  </si>
  <si>
    <t>Vol. 2</t>
  </si>
  <si>
    <t>Une bouteille à la mer</t>
  </si>
  <si>
    <t>Shrek 2</t>
  </si>
  <si>
    <t>JJ Goldman</t>
  </si>
  <si>
    <t>Traces</t>
  </si>
  <si>
    <t>New Wave Vol.1</t>
  </si>
  <si>
    <t>Just Dance 3</t>
  </si>
  <si>
    <t>Fantasmas de Marte</t>
  </si>
  <si>
    <t>Tinkerbell</t>
  </si>
  <si>
    <t>En passant</t>
  </si>
  <si>
    <t>New Wave Vol.2</t>
  </si>
  <si>
    <t>Ghost recon</t>
  </si>
  <si>
    <t>Henry of Navarre</t>
  </si>
  <si>
    <t>Fourmiz</t>
  </si>
  <si>
    <t>Era</t>
  </si>
  <si>
    <t>New Wave Vol.3</t>
  </si>
  <si>
    <t>Kinect training</t>
  </si>
  <si>
    <t>The very best of Steptoe &amp; son</t>
  </si>
  <si>
    <t>Duck tales</t>
  </si>
  <si>
    <t>Dormir profondément</t>
  </si>
  <si>
    <t>Pearl Jam</t>
  </si>
  <si>
    <t>No code</t>
  </si>
  <si>
    <t>Avatar</t>
  </si>
  <si>
    <t>Recherche Susan désespérement</t>
  </si>
  <si>
    <t>The aristocats</t>
  </si>
  <si>
    <t>Pavarotti &amp; friends</t>
  </si>
  <si>
    <t>Enfants de Bosnie</t>
  </si>
  <si>
    <t>Iris</t>
  </si>
  <si>
    <t>Sing it</t>
  </si>
  <si>
    <t>From hell</t>
  </si>
  <si>
    <t>Tinkerbell Pixie hollow games</t>
  </si>
  <si>
    <t>Andrea Bocelli</t>
  </si>
  <si>
    <t>Cilli di Toscana</t>
  </si>
  <si>
    <t>Heather Nova</t>
  </si>
  <si>
    <t>South</t>
  </si>
  <si>
    <t>The Lord of the Rings</t>
  </si>
  <si>
    <t>The others</t>
  </si>
  <si>
    <t>Fern Gully, the last rainforest</t>
  </si>
  <si>
    <t>Recto Vesreau</t>
  </si>
  <si>
    <t>Ricky Martin</t>
  </si>
  <si>
    <t>Kinect Adventures</t>
  </si>
  <si>
    <t>King-Kong</t>
  </si>
  <si>
    <t>Anastasia</t>
  </si>
  <si>
    <t>Zucchero</t>
  </si>
  <si>
    <t>Spirito Di Vino</t>
  </si>
  <si>
    <t>Dance attitude</t>
  </si>
  <si>
    <t>Call of Duty</t>
  </si>
  <si>
    <t>The X-files</t>
  </si>
  <si>
    <t>Tristan et Iseut</t>
  </si>
  <si>
    <t>Jill Caplan</t>
  </si>
  <si>
    <t>La charmeuse de serpents</t>
  </si>
  <si>
    <t>Metallica</t>
  </si>
  <si>
    <t>S&amp;M</t>
  </si>
  <si>
    <t>Pan</t>
  </si>
  <si>
    <t>Kaena the prophecy</t>
  </si>
  <si>
    <t>Versions originales 2 CD</t>
  </si>
  <si>
    <t>The butterfly Ball</t>
  </si>
  <si>
    <t>Love is all</t>
  </si>
  <si>
    <t>Inami le secret</t>
  </si>
  <si>
    <t>Sigmund Groven</t>
  </si>
  <si>
    <t>The mummy returns</t>
  </si>
  <si>
    <t>Les rebelles de la forêt</t>
  </si>
  <si>
    <t>Eminem</t>
  </si>
  <si>
    <t>The Eminem show</t>
  </si>
  <si>
    <t>The lord of the rings, fellowship of the rings</t>
  </si>
  <si>
    <t>The wild</t>
  </si>
  <si>
    <t>Céline Dion</t>
  </si>
  <si>
    <t>All the way</t>
  </si>
  <si>
    <t>Les misérables</t>
  </si>
  <si>
    <t>Tom &amp; Jerry, bataille de nourriture</t>
  </si>
  <si>
    <t>A new day has come</t>
  </si>
  <si>
    <t>The lord of the rings, les deux tours</t>
  </si>
  <si>
    <t>Planet 51</t>
  </si>
  <si>
    <t>Country classics</t>
  </si>
  <si>
    <t>Taxi</t>
  </si>
  <si>
    <t>Shrek the third</t>
  </si>
  <si>
    <t>Country gentlemen</t>
  </si>
  <si>
    <t>Philadelphia</t>
  </si>
  <si>
    <t>Spirit</t>
  </si>
  <si>
    <t>10 things I hate about you</t>
  </si>
  <si>
    <t>Les bronzés font du ski</t>
  </si>
  <si>
    <t>Bolt (boite manquante ?)</t>
  </si>
  <si>
    <t>I like to rock</t>
  </si>
  <si>
    <t>Love actually</t>
  </si>
  <si>
    <t>Les Schtroumphs 2</t>
  </si>
  <si>
    <t>Dido</t>
  </si>
  <si>
    <t>No angel</t>
  </si>
  <si>
    <t>The lord of the rings, the return of the king</t>
  </si>
  <si>
    <t>Le fils du futur</t>
  </si>
  <si>
    <t>Lionel Richie</t>
  </si>
  <si>
    <t>Back to front</t>
  </si>
  <si>
    <t>Men in black II</t>
  </si>
  <si>
    <t>Notting Hill</t>
  </si>
  <si>
    <t>Spiderman</t>
  </si>
  <si>
    <t>Bridget Jone's diary</t>
  </si>
  <si>
    <t>Harry Potter and the philosopher's stone</t>
  </si>
  <si>
    <t>The wedding singer</t>
  </si>
  <si>
    <t>Harry Potter and the half-blood prince</t>
  </si>
  <si>
    <t>Craig David</t>
  </si>
  <si>
    <t>Born to do it</t>
  </si>
  <si>
    <t>Harry Potter et la chambre des secrets</t>
  </si>
  <si>
    <t>Freak of nature</t>
  </si>
  <si>
    <t>Kill bill 1</t>
  </si>
  <si>
    <t>Kate Fox &amp; Adam Kishtainy</t>
  </si>
  <si>
    <t>Mickey blue eyes</t>
  </si>
  <si>
    <t>Joe Cocker</t>
  </si>
  <si>
    <t>Best of</t>
  </si>
  <si>
    <t>The time machine</t>
  </si>
  <si>
    <t>Bryan Ferry</t>
  </si>
  <si>
    <t>The ultimate collection</t>
  </si>
  <si>
    <t>Roméo &amp; Juliette</t>
  </si>
  <si>
    <t>The mega Christmas album</t>
  </si>
  <si>
    <t>Pirates of the Caribbean, curse of the black pearl</t>
  </si>
  <si>
    <t>Broken hearted</t>
  </si>
  <si>
    <t>American pie 1 the ultimate edition</t>
  </si>
  <si>
    <t>Highway rock</t>
  </si>
  <si>
    <t>American pie 2</t>
  </si>
  <si>
    <t>Shania Twain</t>
  </si>
  <si>
    <t>Come on over</t>
  </si>
  <si>
    <t>Amercican pie 3, the wedding</t>
  </si>
  <si>
    <t>Stars in the bright sky</t>
  </si>
  <si>
    <t>Les choristes</t>
  </si>
  <si>
    <t>Eutythmics</t>
  </si>
  <si>
    <t>Greatest hits</t>
  </si>
  <si>
    <t>A guy thing</t>
  </si>
  <si>
    <t>Cindy Lauper</t>
  </si>
  <si>
    <t>Twelve deadly guns</t>
  </si>
  <si>
    <t>Chicago</t>
  </si>
  <si>
    <t>Barry White</t>
  </si>
  <si>
    <t>The collection</t>
  </si>
  <si>
    <t>La fin de l'innocence sexuelle</t>
  </si>
  <si>
    <t>Ultimate Disco</t>
  </si>
  <si>
    <t>Resident evil</t>
  </si>
  <si>
    <t>Enrique Iglesias</t>
  </si>
  <si>
    <t>Enrique</t>
  </si>
  <si>
    <t>Little Nicky</t>
  </si>
  <si>
    <t>Ally McBeal</t>
  </si>
  <si>
    <t>A very Ally Christmas</t>
  </si>
  <si>
    <t>8 mile</t>
  </si>
  <si>
    <t>Christmas Hits</t>
  </si>
  <si>
    <t>Braveheart</t>
  </si>
  <si>
    <t>Nat King Cole &amp; Dean Martin</t>
  </si>
  <si>
    <t>Christmas together</t>
  </si>
  <si>
    <t>Sweet home Alabama</t>
  </si>
  <si>
    <t>The Platters</t>
  </si>
  <si>
    <t>Collection</t>
  </si>
  <si>
    <t>The artist</t>
  </si>
  <si>
    <t>Tracy Chapman</t>
  </si>
  <si>
    <t>Rush hour</t>
  </si>
  <si>
    <t>Taxi 2</t>
  </si>
  <si>
    <t>Bienvenu chez les ch'tis</t>
  </si>
  <si>
    <t>Romeo must die</t>
  </si>
  <si>
    <t>La guerre du feu</t>
  </si>
  <si>
    <t>Big fish</t>
  </si>
  <si>
    <t>Magnolia</t>
  </si>
  <si>
    <t>Skyline</t>
  </si>
  <si>
    <t>Cast away</t>
  </si>
  <si>
    <t>Planet of the apes</t>
  </si>
  <si>
    <t>The Rocky horror picture show</t>
  </si>
  <si>
    <t>About a boy</t>
  </si>
  <si>
    <t>Ghost ship</t>
  </si>
  <si>
    <t>Evolution</t>
  </si>
  <si>
    <t>Benny and Joon</t>
  </si>
  <si>
    <t>Le roi scorpion</t>
  </si>
  <si>
    <t>Willow</t>
  </si>
  <si>
    <t>Signes</t>
  </si>
  <si>
    <t>Shall we dance ?</t>
  </si>
  <si>
    <t>Camping</t>
  </si>
  <si>
    <t>Along came Polly</t>
  </si>
  <si>
    <t>Scooby-doo</t>
  </si>
  <si>
    <t>Donjons &amp; dragons</t>
  </si>
  <si>
    <t>Bound</t>
  </si>
  <si>
    <t>Rat race</t>
  </si>
  <si>
    <t>Le coeur des hommes</t>
  </si>
  <si>
    <t>Kate &amp; Leopold</t>
  </si>
  <si>
    <t>Casino</t>
  </si>
  <si>
    <t>Certains l'aiment chaud</t>
  </si>
  <si>
    <t>Joe somebody</t>
  </si>
  <si>
    <t>The one</t>
  </si>
  <si>
    <t>Asoka</t>
  </si>
  <si>
    <t>Bicentennial man</t>
  </si>
  <si>
    <t>Legally blonde</t>
  </si>
  <si>
    <t>American gangster</t>
  </si>
  <si>
    <t>Tomb raider</t>
  </si>
  <si>
    <t>Le règne du feu</t>
  </si>
  <si>
    <t>Chocolat</t>
  </si>
  <si>
    <t>La tentation de Jessica</t>
  </si>
  <si>
    <t>A knight's tale</t>
  </si>
  <si>
    <t>Un amour à New-York (Serendipity)</t>
  </si>
  <si>
    <t>Evan almighty</t>
  </si>
  <si>
    <t>Bring it on</t>
  </si>
  <si>
    <t>40 jours et 40 nuits</t>
  </si>
  <si>
    <t>The crow</t>
  </si>
  <si>
    <t>The last airbender</t>
  </si>
  <si>
    <t>Scarface</t>
  </si>
  <si>
    <t>The bourne identity</t>
  </si>
  <si>
    <t>Final fantasy</t>
  </si>
  <si>
    <t>Young black stallion</t>
  </si>
  <si>
    <t>Heartbreakers</t>
  </si>
  <si>
    <t>The prince and me</t>
  </si>
  <si>
    <t>Friends season 6</t>
  </si>
  <si>
    <t>Friends season 8</t>
  </si>
  <si>
    <t>Friends season 10</t>
  </si>
  <si>
    <t>Grey's anatomy 1 à 8</t>
  </si>
  <si>
    <t>THe Big Bang Theory season 1 to 10</t>
  </si>
  <si>
    <t>Talisman</t>
  </si>
  <si>
    <t>Courses</t>
  </si>
  <si>
    <t>Carte interactive des supermarchés Drive UFC Que Choisir</t>
  </si>
  <si>
    <t>Compare les prix des Drive</t>
  </si>
  <si>
    <t>Autoroute</t>
  </si>
  <si>
    <t>Autoroure-eco.fr</t>
  </si>
  <si>
    <t>Dit où sortir et re-rentrer pour payer moins</t>
  </si>
  <si>
    <t>Matériaux</t>
  </si>
  <si>
    <t>Cyclezero.fr</t>
  </si>
  <si>
    <t>Récupérer gratuitement des matériaux sur des chantiers</t>
  </si>
  <si>
    <t>Envoi colis/bagages</t>
  </si>
  <si>
    <t>Luggageforward.com</t>
  </si>
  <si>
    <t>Parcel2go.com</t>
  </si>
  <si>
    <t>Sendmybag.com</t>
  </si>
  <si>
    <t>Prestataires services</t>
  </si>
  <si>
    <t>Yoojo.fr</t>
  </si>
  <si>
    <t>Bricolage, jardinage, déménagement, ménage, enfants, animaux...</t>
  </si>
  <si>
    <t>taskrabbit.fr</t>
  </si>
  <si>
    <t>needhelp</t>
  </si>
  <si>
    <t>Cashback</t>
  </si>
  <si>
    <t>Poulpéo</t>
  </si>
  <si>
    <t>Electricité</t>
  </si>
  <si>
    <t>Kwh consommés inter. (B-B précédent)</t>
  </si>
  <si>
    <t>Prix Kwh TTC</t>
  </si>
  <si>
    <t>Cost to date (C*D)</t>
  </si>
  <si>
    <t>Gaz</t>
  </si>
  <si>
    <t>M³ au compteur (H-H précédent)</t>
  </si>
  <si>
    <t>Coeff. Gaz</t>
  </si>
  <si>
    <t>Kwh consommés = M³ x coeff (I*J)</t>
  </si>
  <si>
    <t>Cost to date (K*L)</t>
  </si>
  <si>
    <t>Abonnement mensuel TTC</t>
  </si>
  <si>
    <t>07.06.2024</t>
  </si>
  <si>
    <t>16.11.2024</t>
  </si>
  <si>
    <t>18.11.2024</t>
  </si>
  <si>
    <t>10.01.2025</t>
  </si>
  <si>
    <t>Aoùt</t>
  </si>
  <si>
    <t>Salaire (touché fin de mois précédent)</t>
  </si>
  <si>
    <t>CAF</t>
  </si>
  <si>
    <t>Dons</t>
  </si>
  <si>
    <t>Remb. Mutuelle/sécu</t>
  </si>
  <si>
    <t>Ventes occasions</t>
  </si>
  <si>
    <t>Autres</t>
  </si>
  <si>
    <t>EDF/GDF</t>
  </si>
  <si>
    <t>Box internet</t>
  </si>
  <si>
    <t>Mobile Carole</t>
  </si>
  <si>
    <t>Mobile Mina</t>
  </si>
  <si>
    <t>Ecole</t>
  </si>
  <si>
    <t>Cantine</t>
  </si>
  <si>
    <t>Netflix</t>
  </si>
  <si>
    <t>Prime</t>
  </si>
  <si>
    <t>Docteur etc</t>
  </si>
  <si>
    <t>Assurance Dacia</t>
  </si>
  <si>
    <t>Assurance Aygo</t>
  </si>
  <si>
    <t>Autres assurances Valence</t>
  </si>
  <si>
    <t>Courses / take-away</t>
  </si>
  <si>
    <t>Voiture essence</t>
  </si>
  <si>
    <t>Voiture autoroute</t>
  </si>
  <si>
    <t>Impôts</t>
  </si>
  <si>
    <t>Entretien voitures</t>
  </si>
  <si>
    <t>Frais bancaires + Ass. Jur.</t>
  </si>
  <si>
    <t>Virement sur savings</t>
  </si>
  <si>
    <t>Earnings</t>
  </si>
  <si>
    <t>Spending</t>
  </si>
  <si>
    <t>Balance</t>
  </si>
  <si>
    <t>A-Mois</t>
  </si>
  <si>
    <t>B-Loyers dûs</t>
  </si>
  <si>
    <t>C-Loyers dûs Total incrementé</t>
  </si>
  <si>
    <t>D-Loyers payés</t>
  </si>
  <si>
    <t>E-Loyers payés incrémentés</t>
  </si>
  <si>
    <t>F-APL payés en début du mois (pour les droits du mois d'avant)</t>
  </si>
  <si>
    <t>G-APL payés incrémentés</t>
  </si>
  <si>
    <t>H-Donc Total payé loyers + APL</t>
  </si>
  <si>
    <t>I-Donc total payé loyers + APL incrémenté</t>
  </si>
  <si>
    <t>J-Balance due +/-</t>
  </si>
  <si>
    <t>K-Donc payé en sus</t>
  </si>
  <si>
    <t>L-Commentaires</t>
  </si>
  <si>
    <t>Droits payés relevés sur attestation CAF</t>
  </si>
  <si>
    <t>Droits payés relevés sur attestation CAF incréméntés</t>
  </si>
  <si>
    <t>Différence</t>
  </si>
  <si>
    <t>Au règlement du loyer de 190,30 euros je n'avais pas pris en compte les APL versés début Février</t>
  </si>
  <si>
    <t>Resterai à régler 189 euros pour le mois d'Avril</t>
  </si>
  <si>
    <t>A partir de Mai, nous aurions à régler 313 euros /mois en complément des APL</t>
  </si>
  <si>
    <t>APL suspendus (212.00 = 0)</t>
  </si>
  <si>
    <t>APL (212 de régul + 204 = 416)</t>
  </si>
  <si>
    <t>APL (24 de régul + 228 = 252)</t>
  </si>
  <si>
    <t>Report décembre 2023</t>
  </si>
  <si>
    <t>Nombre de jours travaillés Nov : 18 Nombre de tickets resto Oct : 18</t>
  </si>
  <si>
    <t>1241.28 et 1288.55 prime partage de la valeur</t>
  </si>
  <si>
    <t>Début</t>
  </si>
  <si>
    <t>Fin</t>
  </si>
  <si>
    <t>Pause</t>
  </si>
  <si>
    <t>H Trav.</t>
  </si>
  <si>
    <t>H. en centièmes</t>
  </si>
  <si>
    <t>H. Supplémentaires ou compteur temps</t>
  </si>
  <si>
    <t>Heures à rattrapper</t>
  </si>
  <si>
    <t>Total semaine heures + / -</t>
  </si>
  <si>
    <t>Ouvrier Spécialisé 2, Coeff 143 = 11.6197 brut + 8% aug. sur année dernière (= 12.2007)</t>
  </si>
  <si>
    <t>Nombre de jours travaillés Déc : 12 Nombre de tickets resto Nov : 18</t>
  </si>
  <si>
    <t>Du 22/12/23 au 03/01/24 : Congés payés</t>
  </si>
  <si>
    <t>Décembre : 5 jours de congés - 2 en Janvier</t>
  </si>
  <si>
    <t>7h15</t>
  </si>
  <si>
    <t>Solde Heures : 0h50 en positif</t>
  </si>
  <si>
    <t>Nombre de jours travaillés Janv : 16 Nombre de tickets resto Déc : 12</t>
  </si>
  <si>
    <t>0h/supp payées. Solde Heures : 0h50 + 12h25 Février = 12h75 en positif</t>
  </si>
  <si>
    <t>Nombre de jours travaillés Fév : 16 Nombre de tickets resto Janv : 16</t>
  </si>
  <si>
    <t>12h/supp payées. Solde Heures : 12h75 - 12h payées (Février) + 15h Mars = 15h75 en positif</t>
  </si>
  <si>
    <t>Nombre de jours travaillés Mars : 16  Nombre de tickets resto Fév : 16</t>
  </si>
  <si>
    <t>1h15</t>
  </si>
  <si>
    <t>8h15</t>
  </si>
  <si>
    <t>15h/supp payées. Solde Heures : 15h75 - 15h payées (Mars) = 0h75 en positif</t>
  </si>
  <si>
    <t xml:space="preserve">Nombre de jours travaillés Avril : 18 Nombre de tickets resto Mars : 16 </t>
  </si>
  <si>
    <t>8h</t>
  </si>
  <si>
    <t>Rattrapage pont 1er Mai</t>
  </si>
  <si>
    <t>Journée de solidarité</t>
  </si>
  <si>
    <t>0h/supp payées. Solde Heures : 0h75 en positif</t>
  </si>
  <si>
    <t>Nombre de jours travaillés Mai : 16 Nombre de tickets resto Avril : 17</t>
  </si>
  <si>
    <t>Différence -1</t>
  </si>
  <si>
    <t>Rattrapage du 26 Juin</t>
  </si>
  <si>
    <t>RDV Médical</t>
  </si>
  <si>
    <t>Maladie - Payé en CP</t>
  </si>
  <si>
    <t>Arrêt maladie payé en CP</t>
  </si>
  <si>
    <t>0h/supp payées. Solde Heures : 0h + 4h45 (Juin) = 4h45 en positif</t>
  </si>
  <si>
    <t>Nombre de jours travaillés Juin : 16 Nombre de tickets resto Mai : 16</t>
  </si>
  <si>
    <t>4h45/supp payées. Solde Heures : 15h30 (Juillet) = 15h30 en positif</t>
  </si>
  <si>
    <t>Nombre de jours travaillés Juillet : 21 Nombre de tickets resto Juin : 16</t>
  </si>
  <si>
    <t>Du 03/08/24 au 25/08/24 : 14 Congés payés</t>
  </si>
  <si>
    <t>15h30 h/supp payées. Solde Heures : 0h (Août) = 0h en positif</t>
  </si>
  <si>
    <t>Nombre de jours travaillés Août : 5 Nombre de tickets resto Juillet : 21</t>
  </si>
  <si>
    <t>OFF Sans Solde</t>
  </si>
  <si>
    <t>RDV Mina Hôpital Lyon</t>
  </si>
  <si>
    <t>0h/supp payées. Solde Heures : 0h (Sept) = 0h en positif</t>
  </si>
  <si>
    <t>5h45</t>
  </si>
  <si>
    <t xml:space="preserve">Docteur 9 à 11h, crise asthme </t>
  </si>
  <si>
    <t>0h/supp payées. Solde Heures = -2h en négatif</t>
  </si>
  <si>
    <t>RDV Volets Roulants</t>
  </si>
  <si>
    <t>Report décembre 2022</t>
  </si>
  <si>
    <t>Ouvrier Spécialisé 2, Coeff 143 = 10.759 brut + 8% aug. sur année dernière (= 11.6197)</t>
  </si>
  <si>
    <t>SEMAINE DE 4 JOURS</t>
  </si>
  <si>
    <t>Sans solde</t>
  </si>
  <si>
    <t>Déménagement Longefoy</t>
  </si>
  <si>
    <t>0/supp payées. Solde Heures : -6h30 (précédent) - 0h payées (Nov) = 6h30 en négatif</t>
  </si>
  <si>
    <t>Nombre de jours travaillés Dec : 12 Nombre de tickets resto Nov : 17</t>
  </si>
  <si>
    <t>Du 23/12/21 au 03/01/22 : Congés payés</t>
  </si>
  <si>
    <t>Décembre : 5 jours de congés - 1 en Janvier</t>
  </si>
  <si>
    <t>SEMAINE DE 4 JOURS                            SEMAINE DE 4 JOURS                                    SEMAINE DE 4 JOURS                             SEMAINE DE 4 JOURS                         SEMAINE DE 4 JOURS</t>
  </si>
  <si>
    <t>0/supp payées. Solde Heures : -6h30 (précédent) - 0h payées (Déc) = 6h30 en négatif</t>
  </si>
  <si>
    <t>Nombre de jours travaillés Janv : 17 Nombre de tickets resto Dec : 12</t>
  </si>
  <si>
    <t>Malade</t>
  </si>
  <si>
    <t>0/supp payées. Solde Heures : -6h30 (précédent) - 0h payées (Janv) = 6h30 en négatif</t>
  </si>
  <si>
    <t>Nombre de jours travaillés Fév : 14 Nombre de tickets resto Janv : 17</t>
  </si>
  <si>
    <t>6h45</t>
  </si>
  <si>
    <t>Partie de 9 à 11h, Axel RDV Dr Meftah</t>
  </si>
  <si>
    <t>0/supp payées. Solde Heures : -6h30 (précédent) - 0h payées (Fév) - 2h Mars = 8h30 en négatif</t>
  </si>
  <si>
    <t xml:space="preserve">Nombre de jours travaillés Mars : 18 Nombre de tickets resto Fév : </t>
  </si>
  <si>
    <t>6h15</t>
  </si>
  <si>
    <t>Pause 11h30 à 14h</t>
  </si>
  <si>
    <t>0/supp payées. Solde Heures : -8h30 (précédent pas sûre) - 0h payées (Mars) + 16h15 Avril = 7h75 en positif</t>
  </si>
  <si>
    <t xml:space="preserve">Nombre de jours travaillés Avril : 17 Nombre de tickets resto Mars : </t>
  </si>
  <si>
    <t>7h00</t>
  </si>
  <si>
    <t>6.25h/supp payées + 6h normales. Solde Heures : 7h75 (précédent pas sûre) - 12h25 payées (Avril) + 32h30 h Mai = 28h30 en positif (suite remise à 0)</t>
  </si>
  <si>
    <t>Nombre de jours travaillés Mai : 20 Nombre de tickets resto Avril : 17</t>
  </si>
  <si>
    <t>9h25 supp payées + 23h25 normales. Solde Heures : 32h30 - 32h30 payées (Mai) + 5h Juin = 5h en positif</t>
  </si>
  <si>
    <t>Nombre de jours travaillés Juin : 17  Nombre de tickets resto Mai : 20</t>
  </si>
  <si>
    <t>6h30</t>
  </si>
  <si>
    <t>3h30/supp payées. Solde Heures : 5h - 3h30 payées (Juin) + 0h45 Juillet = 2h15 en positif</t>
  </si>
  <si>
    <t>Nombre de jours travaillés Juil : 17 Nombre de tickets resto Juin : 17</t>
  </si>
  <si>
    <t>Différence : 173.63</t>
  </si>
  <si>
    <t>Du 05/08/22 au 27/08/22 : 14 Congés payés</t>
  </si>
  <si>
    <t>Repas, partis plus tôt mais payés jusqu'à 17h</t>
  </si>
  <si>
    <t>0h/supp payées. Solde Heures : 2h15 - 0h payées (Juillet) - 2h Août = 0h15 en positif</t>
  </si>
  <si>
    <t>Nombre de jours travaillés Août : 6 Nombre de tickets resto Juil : 17</t>
  </si>
  <si>
    <t>7.h5</t>
  </si>
  <si>
    <t>h/supp payées + h normales. Solde Heures : 5h - h payées (Juin) + h Juillet = h en positif</t>
  </si>
  <si>
    <t>Nombre de jours travaillés Sept : 16 Nombre de tickets resto Août : 6</t>
  </si>
  <si>
    <t>Nombre de jours travaillés Oct : 18 Nombre de tickets resto Sept : 16</t>
  </si>
  <si>
    <t>Du 22/12/23 au 04/01/24 : Congés payés</t>
  </si>
  <si>
    <t>Report décembre 2021</t>
  </si>
  <si>
    <t>Report décembre 2020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</si>
  <si>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</si>
  <si>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4h00</t>
  </si>
  <si>
    <t>2h00</t>
  </si>
  <si>
    <t>7h30</t>
  </si>
  <si>
    <t>Retard 15 min apr. midi</t>
  </si>
  <si>
    <t>1H45</t>
  </si>
  <si>
    <t>6h00</t>
  </si>
  <si>
    <t>RDV Notaire partie à 10h30</t>
  </si>
  <si>
    <t>Test Covid pour resto</t>
  </si>
  <si>
    <t>2h/supp payées. Solde Heures : 2h15 (précédent) - 2h payées (Nov) + 3h30/supp Déc = 3h45 en positif</t>
  </si>
  <si>
    <t>Nombre de jours travaillés Déc : 15 Nombre de tickets resto Nov : 18</t>
  </si>
  <si>
    <t>1152.26 (+ 100 prime inflation)</t>
  </si>
  <si>
    <t>Décembre : 7 jours de congés - 0 en Janvier</t>
  </si>
  <si>
    <t>Off</t>
  </si>
  <si>
    <t>Mariage Gabriella</t>
  </si>
  <si>
    <t>1h46</t>
  </si>
  <si>
    <t>7h46</t>
  </si>
  <si>
    <t>1h47</t>
  </si>
  <si>
    <t>7h47</t>
  </si>
  <si>
    <t>1h48</t>
  </si>
  <si>
    <t>7h48</t>
  </si>
  <si>
    <t>Arrêt maladie</t>
  </si>
  <si>
    <t>6h45/supp payées. Solde Heures : 3h45 (précédent) - 6h75 payées (Déc) - 1h45 Janv - = 4h45 en négatif</t>
  </si>
  <si>
    <t>Nombre de jours travaillés Janv : 14 Nombre de tickets resto Déc :  16</t>
  </si>
  <si>
    <t>Différence +1</t>
  </si>
  <si>
    <t>0h/supp payées. Solde Heures : - 4h45 (précédent) - 0h payées (Janv) + 9h45 Janv = 5h00 en positif</t>
  </si>
  <si>
    <t>Nombre de jours travaillés Fév : 19 Nombre de tickets resto Janv : 14</t>
  </si>
  <si>
    <t>8h00</t>
  </si>
  <si>
    <t>8h/supp payées. Solde Heures : 5h (précédent) - 8h payées (mars) + 27h Mars = 24h en positif</t>
  </si>
  <si>
    <t>Nombre de jours travaillés Mars : 23 Nombre de tickets resto Fév : 19</t>
  </si>
  <si>
    <t>27h/supp payées. Solde Heures : 24h (précédent) - 27h payées (Avril) + 28h Avril = 25h en positif</t>
  </si>
  <si>
    <t>Nombre de jours travaillés Avril : 20 Nombre de tickets resto Mars : 23</t>
  </si>
  <si>
    <t>Longefoy</t>
  </si>
  <si>
    <t>CP</t>
  </si>
  <si>
    <t>21h/supp payées + 2h normales. Solde Heures : 25h (précédent) - 23h payées (Avril) - 1h Mai = 1h en positif</t>
  </si>
  <si>
    <t xml:space="preserve">Nombre de jours travaillés Mai : 14 Nombre de tickets resto Avril 20 : </t>
  </si>
  <si>
    <t>Férié en CP</t>
  </si>
  <si>
    <t>0/supp payées. Solde Heures : 1h (précédent) - 0h payées (Mai) + 0h Juin = 1h en positif</t>
  </si>
  <si>
    <t>Nombre de jours travaillés Juin : 17 Nombre de tickets resto Mai : 14</t>
  </si>
  <si>
    <t>Pont sans solde</t>
  </si>
  <si>
    <t>0/supp payées. Solde Heures : 1h (précédent) - 0h payées (Juin) - 5h30 dues Juillet = 4h30 en négatif</t>
  </si>
  <si>
    <t>Nombre de jours travaillés Juillet : 15 Nombre de tickets resto Juin : 17</t>
  </si>
  <si>
    <t>Fini tôt, repas annuel</t>
  </si>
  <si>
    <t>Du 05/08/22 au 28/08/22 : 15 Congés payés</t>
  </si>
  <si>
    <t>0/supp payées. Solde Heures : -4h30 (précédent) - 0h payées (Juil) + 0h Août = 1 (régul?) + 4h30 = 5h30 en négatif</t>
  </si>
  <si>
    <t>Nombre de jours travaillés Août : 6 Nombre de tickets resto Juillet : 15</t>
  </si>
  <si>
    <t>A régulariser m'a enlevé 7h45 au lieu de 3h</t>
  </si>
  <si>
    <t>0/supp payées. Solde Heures : -5h30 (précédent) - 0h payées (Août) + 3h Sept = 2h30 en négatif</t>
  </si>
  <si>
    <t>Nombre de jours travaillés Sept : 18 Nombre de tickets resto Août : 6</t>
  </si>
  <si>
    <t>0/supp payées. Solde Heures : -2h30 (précédent) - 0h payées (Sept) - 4h Oct = 6h30 en négatif</t>
  </si>
  <si>
    <t>Nombre de jours travaillés Oct : 16 Nombre de tickets resto Sept : 18</t>
  </si>
  <si>
    <t>Nouveaux horaires : 35h sur 4 jours à partir du 28.11.22</t>
  </si>
  <si>
    <t>0/supp payées. Solde Heures : -6h30 (précédent) - 0h payées (Oct) - 0h Nov = 6h30 en négatif</t>
  </si>
  <si>
    <t>Nombre de jours travaillés Nov : 17 Nombre de tickets resto Oct : 16</t>
  </si>
  <si>
    <t>1217.81 et 1438.36 prime partage de la valeur</t>
  </si>
  <si>
    <t>0/supp payées. Solde Heures : -6h30 (précédent) - 0h payées (Nov) - 8h45 Déc = 15h15 en négatif</t>
  </si>
  <si>
    <t>Du 23/12/22 au 03/01/23 : Congés payés</t>
  </si>
  <si>
    <t>Employeur</t>
  </si>
  <si>
    <t>H. Payées (en centièmes)</t>
  </si>
  <si>
    <t>Différence en centièmes</t>
  </si>
  <si>
    <t>Différence en heures</t>
  </si>
  <si>
    <t>H. en centièmes manquantes incrémentées</t>
  </si>
  <si>
    <t>Heures manquantes incrémentées</t>
  </si>
  <si>
    <t>DPS Aubenas</t>
  </si>
  <si>
    <t>12h30</t>
  </si>
  <si>
    <t>34 euros déplacement</t>
  </si>
  <si>
    <t>DPS Montélimar</t>
  </si>
  <si>
    <t>10h15</t>
  </si>
  <si>
    <t>2h30</t>
  </si>
  <si>
    <t>13 euros déplacement</t>
  </si>
  <si>
    <t>DPS Pierrelatte</t>
  </si>
  <si>
    <t>?</t>
  </si>
  <si>
    <t>25 euros déplacement</t>
  </si>
  <si>
    <t>DPS Chantemerle</t>
  </si>
  <si>
    <t>12h</t>
  </si>
  <si>
    <t>3h30</t>
  </si>
  <si>
    <t>? euros déplacement</t>
  </si>
  <si>
    <t>Jubil Oversee</t>
  </si>
  <si>
    <t>13h15</t>
  </si>
  <si>
    <t>9h30</t>
  </si>
  <si>
    <t>3h</t>
  </si>
  <si>
    <t>DPS St Paul 3 Châteaux</t>
  </si>
  <si>
    <t>14h</t>
  </si>
  <si>
    <t>6h</t>
  </si>
  <si>
    <t>20 euros déplacement</t>
  </si>
  <si>
    <t>Jubil Chantepy</t>
  </si>
  <si>
    <t>14h30</t>
  </si>
  <si>
    <t>11h45</t>
  </si>
  <si>
    <t>3h45</t>
  </si>
  <si>
    <t>5h</t>
  </si>
  <si>
    <t>12h45</t>
  </si>
  <si>
    <t>4h15</t>
  </si>
  <si>
    <t>Chantepy en CDD</t>
  </si>
  <si>
    <t>Forfait 35 h ?</t>
  </si>
  <si>
    <t>Total heures : 48h</t>
  </si>
  <si>
    <t>DPS Chat. de Galaure</t>
  </si>
  <si>
    <t>10h</t>
  </si>
  <si>
    <t>16h</t>
  </si>
  <si>
    <t>x euros déplacement</t>
  </si>
  <si>
    <t>Jubil Camille Vernet</t>
  </si>
  <si>
    <t>7h40</t>
  </si>
  <si>
    <t>12h15 (payé j'à 13h)</t>
  </si>
  <si>
    <t>5h20</t>
  </si>
  <si>
    <t>17h</t>
  </si>
  <si>
    <t>Jubil (Vitres)</t>
  </si>
  <si>
    <t>9h</t>
  </si>
  <si>
    <t>16h30</t>
  </si>
  <si>
    <t>payé 8h</t>
  </si>
  <si>
    <t>Jubil St Etienne</t>
  </si>
  <si>
    <t>45 min pause + frais route</t>
  </si>
  <si>
    <t>Total heures : 45h05</t>
  </si>
  <si>
    <t>DPS Charmes/Rhône</t>
  </si>
  <si>
    <t>13h</t>
  </si>
  <si>
    <t>16h45</t>
  </si>
  <si>
    <t>DPS St Péray</t>
  </si>
  <si>
    <t>13h?</t>
  </si>
  <si>
    <t>5h?</t>
  </si>
  <si>
    <t>OCTOBRE</t>
  </si>
  <si>
    <t>RAS Fedex</t>
  </si>
  <si>
    <t>19h30</t>
  </si>
  <si>
    <t>0h00</t>
  </si>
  <si>
    <t>RAS Terre de Cuisine</t>
  </si>
  <si>
    <t>14h45</t>
  </si>
  <si>
    <t>0h30</t>
  </si>
  <si>
    <t>14h15</t>
  </si>
  <si>
    <t>13h40</t>
  </si>
  <si>
    <t>14h00</t>
  </si>
  <si>
    <t>11h30 ?</t>
  </si>
  <si>
    <t>RAS Augias Europa</t>
  </si>
  <si>
    <t xml:space="preserve">9h30 </t>
  </si>
  <si>
    <t>16h30 ?</t>
  </si>
  <si>
    <t>1h00</t>
  </si>
  <si>
    <t>15h00</t>
  </si>
  <si>
    <t>19h15</t>
  </si>
  <si>
    <t>TOTAL MOIS</t>
  </si>
  <si>
    <t>NOVEMBRE</t>
  </si>
  <si>
    <t>Ouvrier Spécialisé 2, Coeff 143 = 10.15 brut (=SMIC)</t>
  </si>
  <si>
    <t>Non payées, pas à rattrapper</t>
  </si>
  <si>
    <t>Test Covid</t>
  </si>
  <si>
    <t>0h/supp payées. Solde Heures : -3h25 (précédent) - 2h45 Compt. tps pour congés Déc. + 6h/supp Déc = 0h en positif</t>
  </si>
  <si>
    <t xml:space="preserve">Nombre de jours travaillés Déc : 12 Nombre de tickets resto Nov : 17 </t>
  </si>
  <si>
    <t>Du 18/12/20 au 04/01/21 : Congés payés</t>
  </si>
  <si>
    <t>Décembre : 8 jours de congés - 0 en Janvier (7 CP utilisés en Déc, pour le 8ème jour a utilisé les 2h45 compteur tps restant + 5h compteur temps anticipées de Janvier 2021)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</si>
  <si>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</si>
  <si>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0h/supp payées. Solde Heures : 0h (précédent) - 5h Compt. tps pour congés Déc. + 12h/supp Janv = 7h en positif</t>
  </si>
  <si>
    <t>Nombre de jours travaillés Janv. : 20 Nombre de tickets resto Déc : 12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</si>
  <si>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</si>
  <si>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Partie de 9h30 à 11h45 (neurologue). Rattrapé 1h de 13 à 14h.</t>
  </si>
  <si>
    <t>7h/supp payées. Solde Heures : 7h (précédent) - les 7h payées (Janv.) + 9.50/supp Janv = 9h30 en positif</t>
  </si>
  <si>
    <t>Nombre de jours travaillés Fév. : 19 Nombre de tickets resto Janv. : 20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</si>
  <si>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</si>
  <si>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Cardiologue</t>
  </si>
  <si>
    <t>9h45/supp payées. Solde Heures : 9h30 (précédent) - les 9h45 payées (Février) + 8h45/supp Mars = 8h45 en positif + 0h15 payées en trop</t>
  </si>
  <si>
    <t>Nombre de jours travaillés Mars : 22 Nombre de tickets resto Fév. : 18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</si>
  <si>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</si>
  <si>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Chirurgien Montélimar</t>
  </si>
  <si>
    <t>9h45/supp payées. Solde Heures : 8h45 (précédent) - les 9h45 payées (Mars) + 12h45/supp Avril = 12h45 en positif + 1h payée en trop</t>
  </si>
  <si>
    <t>Nombre de jours travaillés Avril : 20 Nombre de tickets resto Mars. : 22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</si>
  <si>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</si>
  <si>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Rattrapage pont cmpt. tps</t>
  </si>
  <si>
    <t>Pont</t>
  </si>
  <si>
    <t>Journée solidarité 7h + 1h45 h/supp.</t>
  </si>
  <si>
    <t>9h45 h/supp payées + 3h normales. Solde Heures : 12h45 (précédent) - 12h45 payées (Avril) + 24h45/supp Mai = 24h45 en positif</t>
  </si>
  <si>
    <t>Nombre de jours travaillés Mai : 19 Nombre de tickets resto Avril : 20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</si>
  <si>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</si>
  <si>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21h45 h/supp payées + 3h normales. Solde Heures : 24h45 (précédent) - 24h45 payées (Mai) + 26h/supp Juin = 26h en positif</t>
  </si>
  <si>
    <t>Nombre de jours travaillés Juin. : 22 Nombre de tickets resto Mai : 19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</si>
  <si>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</si>
  <si>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1h30</t>
  </si>
  <si>
    <t>26h/supp payées. Solde Heures : 26h (précédent) - 26h payées (Juin) + 12h45 h/supp Juillet = 12h45 en positif</t>
  </si>
  <si>
    <t>Nombre de jours travaillés Juil. : 19 Nombre de tickets resto Juin : 22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</si>
  <si>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</si>
  <si>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 xml:space="preserve">Du 01/08/21 au 20/08/21 : Congés payés     15 cp utilisés                </t>
  </si>
  <si>
    <t>9h45/supp payées + 3h normales. Solde Heures : 12h45 (précédent) - 12h45 payées (Juillet) + 0h45 h/supp Août = 0h45 en positif</t>
  </si>
  <si>
    <t>Nombre de jours travaillés Août : 6 Nombre de tickets resto Juil. : 19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</si>
  <si>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</si>
  <si>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5h15</t>
  </si>
  <si>
    <t>Mina malade, amené Axel à l'école</t>
  </si>
  <si>
    <t>0h/supp payées. Solde Heures : 0h45 (précédent) - 0 payées (Août) + 3h/supp Sept - 2h45 dues = 1h en positif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</si>
  <si>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</si>
  <si>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0h30/supp payées. Solde Heures : 1h (précédent) -  0.5 payées (Sept) + 8h45/supp Oct = 9h15 en positif</t>
  </si>
  <si>
    <t>Nombre de jours travaillés Octobre : 19 Nombre de tickets resto Sept : 18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</si>
  <si>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</si>
  <si>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9h/supp payées. Solde Heures : 9h15 (précédent) -  9h payées (Oct) + 2h/supp Nov = 2h15 en positif</t>
  </si>
  <si>
    <t>Nombre de jours travaillés Nov : 18 Nombre de tickets resto Octobre : 19</t>
  </si>
  <si>
    <t>1117.89 et 1000 prime Macron</t>
  </si>
  <si>
    <r>
      <rPr>
        <rFont val="Calibri"/>
        <b/>
        <color rgb="FF000000"/>
        <sz val="12.0"/>
      </rPr>
      <t>Ouvrier Spécialisé 2, Coeff 143 = 10.25 SMIC brut + 6 % aug. sur année dernière (=</t>
    </r>
    <r>
      <rPr>
        <rFont val="Calibri"/>
        <b/>
        <color rgb="FF000000"/>
        <sz val="12.0"/>
      </rPr>
      <t>10.7590</t>
    </r>
    <r>
      <rPr>
        <rFont val="Calibri"/>
        <b/>
        <color rgb="FF000000"/>
        <sz val="12.0"/>
      </rPr>
      <t>)</t>
    </r>
  </si>
  <si>
    <t>Nombre de jours travaillés Déc 15 :  Nombre de tickets resto Nov : 18</t>
  </si>
  <si>
    <t>Report décembre 2019</t>
  </si>
  <si>
    <t>Ouvrier Spécialisé 2, Coeff 143 = 10.0732 brut</t>
  </si>
  <si>
    <t>Reprise à 13h</t>
  </si>
  <si>
    <t>0h/supp payées. Solde Heures : 21h (précédent) - les h0 payées (Nov) + 4h25 h/supp Décembre  = 25h25 en positif</t>
  </si>
  <si>
    <t>Nombre de jours travaillés Déc : 13 Nombre de tickets resto Nov : 18</t>
  </si>
  <si>
    <t>Du 23/12/19 au 05/01/20 : Congés payés</t>
  </si>
  <si>
    <t>8 cp utilisés (6 en Déc, 2 en Janv)</t>
  </si>
  <si>
    <t>Jour papa</t>
  </si>
  <si>
    <t>Décès papa, semaine non travaillée. 3 jours évenement familial payés</t>
  </si>
  <si>
    <t>Congé sans solde</t>
  </si>
  <si>
    <t>Partie aux urgences - douleur ovaire droit</t>
  </si>
  <si>
    <t>14h15/supp payées. Solde Heures : 25h15 (précédent) - les 14h15 payées (Déc) + 0 h/supp Janvier = 10h en positif</t>
  </si>
  <si>
    <t>Nombre de jours travaillés Janv : 15 Nombre de tickets resto Dec : 13</t>
  </si>
  <si>
    <t>Notaire</t>
  </si>
  <si>
    <t>0h/supp payées. Solde Heures : 10h (précédent) - les 0h payées (Janv) + 0 h/supp Février = 10h en positif</t>
  </si>
  <si>
    <t>Nombre de jours travaillés Fév : 19 Nombre de tickets resto Janv : 15</t>
  </si>
  <si>
    <t>Maman hôpital</t>
  </si>
  <si>
    <t>Indemnités journalières : 359.45 euros payées en Mars - Complément de salaire écrit ci-dessous payé en Avril</t>
  </si>
  <si>
    <t>0h/supp payées. Solde Heures : 10h (précédent) - les 0h payées (Fév) mais 10 h compteur temps + 0 h/supp Mars = 0h45 en négatif</t>
  </si>
  <si>
    <t xml:space="preserve">Nombre de jours travaillés Mars : 1 Nombre de tickets resto Fév : 19 </t>
  </si>
  <si>
    <t xml:space="preserve"> ET Indemnités journalières CPAM</t>
  </si>
  <si>
    <t>Report Mars -0.75</t>
  </si>
  <si>
    <t>0h/supp payées. Solde Heures : -0h45 (précédent) - les 0h payées (Mars) + 0 h/supp Avril = 0h45 en négatif</t>
  </si>
  <si>
    <t>Nombre de jours travaillés Avril : 4  Nombre de tickets resto Mars : 1</t>
  </si>
  <si>
    <t>(report mars -0.75) 2.25</t>
  </si>
  <si>
    <t>0h/supp payées. Solde Heures : -0h45 (précédent) - les 0h payées (Avril) + 3 h/supp Mai = 2h15 en positif</t>
  </si>
  <si>
    <t>Nombre de jours travaillés Mai : 16  Nombre de tickets resto Avril : 4</t>
  </si>
  <si>
    <t>2h15 car journée de solidarité 7h et non 7h45</t>
  </si>
  <si>
    <t>3h/supp payées en heures normales. Solde Heures : 2h25 (précédent) - les 3h payées (Mai) = 0 + 11h25 supp Juin = 11h25 en positif</t>
  </si>
  <si>
    <t>Nombre de jours travaillés Juin : 22 Nombre de tickets resto Mai : 16</t>
  </si>
  <si>
    <t>12h/supp payées. Solde Heures : 11h25 (précédent) - les 12h payées (juin) + 15h supp Juillet = 14h75 en positif</t>
  </si>
  <si>
    <t>Nombre de jours travaillés Juil : 22 Nombre de tickets resto Juin : 22</t>
  </si>
  <si>
    <t>Du 10/08/20 au 28/08/20 : Congés payés</t>
  </si>
  <si>
    <t>15 cp utilisés</t>
  </si>
  <si>
    <t>3h. normales + 12h/supp payées. Solde Heures : 14h75 arrondies à 15h (précédent) - les 15h payées (juillet) = 0h + 0,75 h/supp Août = 0h75 en positif</t>
  </si>
  <si>
    <t>Nombre de jours travaillés Août : 5  Nombre de tickets resto Juillet : 22</t>
  </si>
  <si>
    <t>Retard prévu, prise de sang</t>
  </si>
  <si>
    <t>Entreprise fermée pour installation machines</t>
  </si>
  <si>
    <t>0h75h/supp payées. Solde Heures : 0h75 (précédent) - les 0h75 payées (Août) + h à récup Sept = 4h50 en négatif</t>
  </si>
  <si>
    <t>Nombre de jours travaillés Sept : 18 Nombre de tickets resto Août : 4</t>
  </si>
  <si>
    <t>Retard prévu, échographie</t>
  </si>
  <si>
    <t>0h/supp payées. Solde Heures : -4h50 (précédent) - 1.75 Sept = 6h25 en négaitif</t>
  </si>
  <si>
    <t>Nombre de jours travaillés Oct : 17 Nombre de tickets resto Sept : 18</t>
  </si>
  <si>
    <t>0h/supp payées. Solde Heures : -6h25 (précédent) + 3h/supp Sept = 3h25 en négatif</t>
  </si>
  <si>
    <t>Nombre de jours travaillés Nov : 17 Nombre de tickets resto Oct : 17</t>
  </si>
  <si>
    <t>13h30</t>
  </si>
  <si>
    <t>5h00</t>
  </si>
  <si>
    <t>19h00</t>
  </si>
  <si>
    <t>15h30</t>
  </si>
  <si>
    <t>-1h45</t>
  </si>
  <si>
    <t>-0h30</t>
  </si>
  <si>
    <t>5h30</t>
  </si>
  <si>
    <t>15h20</t>
  </si>
  <si>
    <t>9h50</t>
  </si>
  <si>
    <t>-2h50</t>
  </si>
  <si>
    <t>25h50</t>
  </si>
  <si>
    <t>7h50</t>
  </si>
  <si>
    <t>0h10</t>
  </si>
  <si>
    <t>Jubil Espace Entreprise</t>
  </si>
  <si>
    <t>16h15</t>
  </si>
  <si>
    <t>-0h15</t>
  </si>
  <si>
    <t>Indemnité repas 6.90 euros</t>
  </si>
  <si>
    <t>14h20</t>
  </si>
  <si>
    <t>7h20</t>
  </si>
  <si>
    <t>-0h20</t>
  </si>
  <si>
    <t>Indemnité repas 13.78 euros</t>
  </si>
  <si>
    <t>26h25</t>
  </si>
  <si>
    <t>18h10</t>
  </si>
  <si>
    <t>10h40</t>
  </si>
  <si>
    <t>-1h10</t>
  </si>
  <si>
    <t>Indemnité repas 2 x 13.78 = 27.56 euros</t>
  </si>
  <si>
    <t>18h40</t>
  </si>
  <si>
    <t>95h40</t>
  </si>
  <si>
    <t>-6h50</t>
  </si>
  <si>
    <t>Jubil Botanic</t>
  </si>
  <si>
    <t>23h30</t>
  </si>
  <si>
    <t>4h30</t>
  </si>
  <si>
    <t>0h27</t>
  </si>
  <si>
    <t>11h15</t>
  </si>
  <si>
    <t>Jubil Chantepy - Tournon</t>
  </si>
  <si>
    <t>-1h00</t>
  </si>
  <si>
    <t>-1h27</t>
  </si>
  <si>
    <t>-8h17</t>
  </si>
  <si>
    <t>13h55</t>
  </si>
  <si>
    <t>6h25</t>
  </si>
  <si>
    <t>Indemnité repas 13.78 euros donc -1h</t>
  </si>
  <si>
    <t>13h10</t>
  </si>
  <si>
    <t>4h40</t>
  </si>
  <si>
    <t>11h05</t>
  </si>
  <si>
    <t>Jubil Thérond</t>
  </si>
  <si>
    <t>Véhicule personnel utilisé les 3 jours - Indemnité repas 3x9.40=28.20 euros</t>
  </si>
  <si>
    <t>19h</t>
  </si>
  <si>
    <t>23h00</t>
  </si>
  <si>
    <t>-0h25</t>
  </si>
  <si>
    <t>13h20</t>
  </si>
  <si>
    <t>4h50</t>
  </si>
  <si>
    <t>8h50</t>
  </si>
  <si>
    <t>Jubil Chantepy Vienne</t>
  </si>
  <si>
    <t>Jubil Chantepy Barsac</t>
  </si>
  <si>
    <t>-7h30</t>
  </si>
  <si>
    <t>-20h15</t>
  </si>
  <si>
    <t>Jubil Chantepy Génissieux</t>
  </si>
  <si>
    <t>-6h00</t>
  </si>
  <si>
    <t>Jubil Chantepy Valréas</t>
  </si>
  <si>
    <t>12h15</t>
  </si>
  <si>
    <t>-6h45</t>
  </si>
  <si>
    <t>Jubil Chantepy BLV</t>
  </si>
  <si>
    <t>11h30</t>
  </si>
  <si>
    <t>Jubil Sogal</t>
  </si>
  <si>
    <t>Jubil Chantepy Anneyron/Sassenage</t>
  </si>
  <si>
    <t>-20h40</t>
  </si>
  <si>
    <t>Jubil Chantepy Puy en Velay</t>
  </si>
  <si>
    <t>8h20</t>
  </si>
  <si>
    <t>Jubil Chantepy Pertuis</t>
  </si>
  <si>
    <t>9h15</t>
  </si>
  <si>
    <t>Jubil Chantepy St Donat</t>
  </si>
  <si>
    <t>Jubil Chantepy St Péray</t>
  </si>
  <si>
    <t>5h50</t>
  </si>
  <si>
    <t>Repas prit chez le client</t>
  </si>
  <si>
    <t>Jubil Chantepy Romans</t>
  </si>
  <si>
    <t>11h00</t>
  </si>
  <si>
    <t>32h55</t>
  </si>
  <si>
    <t>Jubil Chantepy Charmes/Rhône</t>
  </si>
  <si>
    <t>Payé +1h pour rattrapage h. manquantes</t>
  </si>
  <si>
    <t>Jubil Chantepy Moras-en Valloire</t>
  </si>
  <si>
    <t>Jubil Chantepy Avignon</t>
  </si>
  <si>
    <t>16h10</t>
  </si>
  <si>
    <t>10h10</t>
  </si>
  <si>
    <t>Jubil Chantepy Châteauneuf</t>
  </si>
  <si>
    <t>16h00</t>
  </si>
  <si>
    <t>Jubil Chantepy Die</t>
  </si>
  <si>
    <t>13h00</t>
  </si>
  <si>
    <t>38h10</t>
  </si>
  <si>
    <t>Jubil Chantepy Crest</t>
  </si>
  <si>
    <t>20h30</t>
  </si>
  <si>
    <t>Véhicule personnel de Valence à Crest A/R</t>
  </si>
  <si>
    <t>7H30</t>
  </si>
  <si>
    <t>15h45</t>
  </si>
  <si>
    <t>17h10</t>
  </si>
  <si>
    <t>9h40</t>
  </si>
  <si>
    <t>Nils DPS Intérim Valeyron</t>
  </si>
  <si>
    <t>12h00</t>
  </si>
  <si>
    <t>Maximo</t>
  </si>
  <si>
    <t>Nils DPS Intérim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</si>
</sst>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mmm"/>
    <numFmt numFmtId="165" formatCode="dd/mm/yyyy"/>
    <numFmt numFmtId="166" formatCode="0.000"/>
    <numFmt numFmtId="167" formatCode="0.00000"/>
    <numFmt numFmtId="168" formatCode="D/M/YYYY"/>
    <numFmt numFmtId="169" formatCode="mmm-d"/>
  </numFmts>
  <fonts count="35">
    <font>
      <sz val="11.0"/>
      <color rgb="FF000000"/>
      <name val="Calibri"/>
    </font>
    <font>
      <b/>
      <sz val="18.0"/>
    </font>
    <font>
      <sz val="11.0"/>
      <name val="Calibri"/>
    </font>
    <font>
      <b/>
      <sz val="11.0"/>
      <color rgb="FF000000"/>
      <name val="Calibri"/>
    </font>
    <font/>
    <font>
      <b/>
      <i/>
      <sz val="11.0"/>
      <color rgb="FF000000"/>
      <name val="Calibri"/>
    </font>
    <font>
      <b/>
      <i/>
      <sz val="11.0"/>
      <name val="Calibri"/>
    </font>
    <font>
      <b/>
      <sz val="11.0"/>
      <color rgb="FFFFFFFF"/>
      <name val="Calibri"/>
    </font>
    <font>
      <b/>
    </font>
    <font>
      <i/>
    </font>
    <font>
      <sz val="11.0"/>
      <color rgb="FFFF0000"/>
      <name val="Calibri"/>
    </font>
    <font>
      <i/>
      <sz val="11.0"/>
      <name val="Calibri"/>
    </font>
    <font>
      <color rgb="FFFF0000"/>
    </font>
    <font>
      <b/>
      <sz val="14.0"/>
    </font>
    <font>
      <b/>
      <sz val="18.0"/>
      <name val="Calibri"/>
    </font>
    <font>
      <b/>
      <sz val="11.0"/>
      <name val="Calibri"/>
    </font>
    <font>
      <sz val="11.0"/>
      <color rgb="FF980000"/>
      <name val="Calibri"/>
    </font>
    <font>
      <b/>
      <i/>
    </font>
    <font>
      <i/>
      <sz val="11.0"/>
      <color rgb="FFFF0000"/>
      <name val="Calibri"/>
    </font>
    <font>
      <name val="Calibri"/>
    </font>
    <font>
      <i/>
      <sz val="11.0"/>
      <color rgb="FF000000"/>
      <name val="Calibri"/>
    </font>
    <font>
      <sz val="10.0"/>
    </font>
    <font>
      <b/>
      <sz val="11.0"/>
    </font>
    <font>
      <color rgb="FF000000"/>
      <name val="Roboto"/>
    </font>
    <font>
      <b/>
      <sz val="12.0"/>
    </font>
    <font>
      <b/>
      <sz val="10.0"/>
    </font>
    <font>
      <u/>
      <color rgb="FF0000FF"/>
    </font>
    <font>
      <b/>
      <sz val="11.0"/>
      <color rgb="FF7030A0"/>
      <name val="Calibri"/>
    </font>
    <font>
      <sz val="11.0"/>
      <color rgb="FF00B050"/>
      <name val="Calibri"/>
    </font>
    <font>
      <b/>
      <sz val="12.0"/>
      <color rgb="FF000000"/>
      <name val="Calibri"/>
    </font>
    <font>
      <b/>
      <color rgb="FF000000"/>
    </font>
    <font>
      <b/>
      <sz val="13.0"/>
    </font>
    <font>
      <b/>
      <sz val="15.0"/>
    </font>
    <font>
      <b/>
      <sz val="24.0"/>
      <color rgb="FF000000"/>
      <name val="Calibri"/>
    </font>
    <font>
      <b/>
      <sz val="14.0"/>
      <color rgb="FF000000"/>
    </font>
  </fonts>
  <fills count="46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3F3151"/>
        <bgColor rgb="FF3F3151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B050"/>
        <bgColor rgb="FF00B050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E69138"/>
        <bgColor rgb="FFE69138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741B47"/>
        <bgColor rgb="FF741B47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</fills>
  <borders count="4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top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8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0" numFmtId="16" xfId="0" applyAlignment="1" applyFill="1" applyFont="1" applyNumberFormat="1">
      <alignment horizontal="center" vertical="bottom"/>
    </xf>
    <xf borderId="1" fillId="2" fontId="0" numFmtId="16" xfId="0" applyAlignment="1" applyBorder="1" applyFont="1" applyNumberFormat="1">
      <alignment horizontal="center" vertical="bottom"/>
    </xf>
    <xf borderId="2" fillId="2" fontId="0" numFmtId="16" xfId="0" applyAlignment="1" applyBorder="1" applyFont="1" applyNumberFormat="1">
      <alignment horizontal="center" vertical="bottom"/>
    </xf>
    <xf borderId="3" fillId="2" fontId="0" numFmtId="16" xfId="0" applyAlignment="1" applyBorder="1" applyFont="1" applyNumberFormat="1">
      <alignment horizontal="center" vertical="bottom"/>
    </xf>
    <xf borderId="3" fillId="2" fontId="2" numFmtId="0" xfId="0" applyAlignment="1" applyBorder="1" applyFont="1">
      <alignment vertical="bottom"/>
    </xf>
    <xf borderId="3" fillId="2" fontId="3" numFmtId="2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3" fontId="7" numFmtId="0" xfId="0" applyAlignment="1" applyFill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4" fillId="3" fontId="7" numFmtId="0" xfId="0" applyAlignment="1" applyBorder="1" applyFont="1">
      <alignment readingOrder="0" shrinkToFit="0" wrapText="0"/>
    </xf>
    <xf borderId="4" fillId="3" fontId="7" numFmtId="2" xfId="0" applyAlignment="1" applyBorder="1" applyFont="1" applyNumberFormat="1">
      <alignment shrinkToFit="0" wrapText="0"/>
    </xf>
    <xf borderId="4" fillId="4" fontId="3" numFmtId="2" xfId="0" applyAlignment="1" applyBorder="1" applyFill="1" applyFont="1" applyNumberFormat="1">
      <alignment readingOrder="0" shrinkToFit="0" wrapText="0"/>
    </xf>
    <xf borderId="1" fillId="5" fontId="3" numFmtId="2" xfId="0" applyAlignment="1" applyBorder="1" applyFill="1" applyFont="1" applyNumberFormat="1">
      <alignment readingOrder="0" shrinkToFit="0" wrapText="0"/>
    </xf>
    <xf borderId="5" fillId="4" fontId="8" numFmtId="2" xfId="0" applyAlignment="1" applyBorder="1" applyFont="1" applyNumberFormat="1">
      <alignment readingOrder="0" shrinkToFit="0" vertical="bottom" wrapText="1"/>
    </xf>
    <xf borderId="0" fillId="4" fontId="4" numFmtId="0" xfId="0" applyAlignment="1" applyFont="1">
      <alignment readingOrder="0" shrinkToFit="0" vertical="center" wrapText="1"/>
    </xf>
    <xf borderId="2" fillId="0" fontId="3" numFmtId="2" xfId="0" applyAlignment="1" applyBorder="1" applyFont="1" applyNumberFormat="1">
      <alignment horizontal="center" readingOrder="0" shrinkToFit="0" wrapText="1"/>
    </xf>
    <xf borderId="2" fillId="0" fontId="3" numFmtId="2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readingOrder="0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vertical="bottom"/>
    </xf>
    <xf borderId="0" fillId="0" fontId="12" numFmtId="0" xfId="0" applyAlignment="1" applyFont="1">
      <alignment horizontal="center" readingOrder="0" vertical="center"/>
    </xf>
    <xf borderId="0" fillId="0" fontId="2" numFmtId="0" xfId="0" applyAlignment="1" applyFont="1">
      <alignment vertical="bottom"/>
    </xf>
    <xf borderId="0" fillId="6" fontId="13" numFmtId="0" xfId="0" applyAlignment="1" applyFill="1" applyFont="1">
      <alignment horizontal="center" readingOrder="0"/>
    </xf>
    <xf borderId="0" fillId="0" fontId="2" numFmtId="2" xfId="0" applyAlignment="1" applyFont="1" applyNumberFormat="1">
      <alignment horizontal="center" readingOrder="0" vertical="bottom"/>
    </xf>
    <xf borderId="0" fillId="5" fontId="4" numFmtId="2" xfId="0" applyAlignment="1" applyFont="1" applyNumberFormat="1">
      <alignment readingOrder="0"/>
    </xf>
    <xf borderId="0" fillId="7" fontId="4" numFmtId="0" xfId="0" applyAlignment="1" applyFill="1" applyFont="1">
      <alignment readingOrder="0"/>
    </xf>
    <xf borderId="0" fillId="7" fontId="4" numFmtId="0" xfId="0" applyFont="1"/>
    <xf borderId="0" fillId="0" fontId="12" numFmtId="2" xfId="0" applyAlignment="1" applyFont="1" applyNumberFormat="1">
      <alignment horizontal="center" readingOrder="0" vertical="center"/>
    </xf>
    <xf borderId="0" fillId="0" fontId="2" numFmtId="2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4" fontId="4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 vertical="bottom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readingOrder="0"/>
    </xf>
    <xf borderId="0" fillId="9" fontId="4" numFmtId="2" xfId="0" applyAlignment="1" applyFont="1" applyNumberFormat="1">
      <alignment readingOrder="0"/>
    </xf>
    <xf borderId="0" fillId="10" fontId="4" numFmtId="0" xfId="0" applyAlignment="1" applyFill="1" applyFont="1">
      <alignment horizontal="center" readingOrder="0"/>
    </xf>
    <xf borderId="0" fillId="0" fontId="4" numFmtId="2" xfId="0" applyAlignment="1" applyFont="1" applyNumberFormat="1">
      <alignment readingOrder="0"/>
    </xf>
    <xf borderId="0" fillId="0" fontId="11" numFmtId="2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10" numFmtId="2" xfId="0" applyAlignment="1" applyFont="1" applyNumberFormat="1">
      <alignment horizontal="center" readingOrder="0" vertical="center"/>
    </xf>
    <xf borderId="0" fillId="0" fontId="4" numFmtId="0" xfId="0" applyAlignment="1" applyFont="1">
      <alignment readingOrder="0"/>
    </xf>
    <xf borderId="0" fillId="11" fontId="1" numFmtId="0" xfId="0" applyAlignment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7" fillId="0" fontId="2" numFmtId="0" xfId="0" applyAlignment="1" applyBorder="1" applyFont="1">
      <alignment vertical="bottom"/>
    </xf>
    <xf borderId="7" fillId="12" fontId="15" numFmtId="0" xfId="0" applyAlignment="1" applyBorder="1" applyFill="1" applyFont="1">
      <alignment horizontal="center" vertical="bottom"/>
    </xf>
    <xf borderId="7" fillId="0" fontId="4" numFmtId="0" xfId="0" applyBorder="1" applyFont="1"/>
    <xf borderId="0" fillId="13" fontId="15" numFmtId="0" xfId="0" applyAlignment="1" applyFill="1" applyFont="1">
      <alignment horizontal="center" vertical="bottom"/>
    </xf>
    <xf borderId="7" fillId="14" fontId="15" numFmtId="0" xfId="0" applyAlignment="1" applyBorder="1" applyFill="1" applyFont="1">
      <alignment horizontal="center" vertical="bottom"/>
    </xf>
    <xf borderId="8" fillId="0" fontId="2" numFmtId="0" xfId="0" applyAlignment="1" applyBorder="1" applyFont="1">
      <alignment vertical="bottom"/>
    </xf>
    <xf borderId="0" fillId="0" fontId="15" numFmtId="0" xfId="0" applyAlignment="1" applyFont="1">
      <alignment horizontal="center" vertical="bottom"/>
    </xf>
    <xf borderId="9" fillId="0" fontId="4" numFmtId="0" xfId="0" applyBorder="1" applyFont="1"/>
    <xf borderId="0" fillId="0" fontId="15" numFmtId="0" xfId="0" applyAlignment="1" applyFont="1">
      <alignment horizontal="center" shrinkToFit="0" vertical="bottom" wrapText="1"/>
    </xf>
    <xf borderId="6" fillId="0" fontId="4" numFmtId="0" xfId="0" applyBorder="1" applyFont="1"/>
    <xf borderId="6" fillId="0" fontId="15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10" fillId="0" fontId="2" numFmtId="0" xfId="0" applyAlignment="1" applyBorder="1" applyFont="1">
      <alignment vertical="bottom"/>
    </xf>
    <xf borderId="11" fillId="0" fontId="4" numFmtId="0" xfId="0" applyBorder="1" applyFont="1"/>
    <xf borderId="12" fillId="0" fontId="4" numFmtId="0" xfId="0" applyBorder="1" applyFont="1"/>
    <xf borderId="9" fillId="0" fontId="15" numFmtId="0" xfId="0" applyAlignment="1" applyBorder="1" applyFont="1">
      <alignment horizontal="center" vertical="bottom"/>
    </xf>
    <xf borderId="8" fillId="0" fontId="15" numFmtId="0" xfId="0" applyAlignment="1" applyBorder="1" applyFont="1">
      <alignment horizontal="right" shrinkToFit="0" vertical="bottom" wrapText="1"/>
    </xf>
    <xf borderId="6" fillId="0" fontId="15" numFmtId="0" xfId="0" applyAlignment="1" applyBorder="1" applyFont="1">
      <alignment horizontal="center" shrinkToFit="0" vertical="bottom" wrapText="1"/>
    </xf>
    <xf borderId="0" fillId="0" fontId="15" numFmtId="0" xfId="0" applyAlignment="1" applyFont="1">
      <alignment vertical="bottom"/>
    </xf>
    <xf borderId="6" fillId="0" fontId="15" numFmtId="0" xfId="0" applyAlignment="1" applyBorder="1" applyFont="1">
      <alignment horizontal="center" shrinkToFit="0" vertical="bottom" wrapText="1"/>
    </xf>
    <xf borderId="13" fillId="0" fontId="15" numFmtId="0" xfId="0" applyAlignment="1" applyBorder="1" applyFont="1">
      <alignment horizontal="center" vertical="bottom"/>
    </xf>
    <xf borderId="9" fillId="0" fontId="15" numFmtId="0" xfId="0" applyAlignment="1" applyBorder="1" applyFont="1">
      <alignment horizontal="center" shrinkToFit="0" vertical="bottom" wrapText="1"/>
    </xf>
    <xf borderId="9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0" fillId="8" fontId="11" numFmtId="0" xfId="0" applyAlignment="1" applyFont="1">
      <alignment horizontal="right"/>
    </xf>
    <xf borderId="0" fillId="8" fontId="6" numFmtId="0" xfId="0" applyAlignment="1" applyFont="1">
      <alignment horizontal="center"/>
    </xf>
    <xf borderId="0" fillId="8" fontId="10" numFmtId="0" xfId="0" applyAlignment="1" applyFont="1">
      <alignment horizontal="center"/>
    </xf>
    <xf borderId="6" fillId="8" fontId="11" numFmtId="0" xfId="0" applyAlignment="1" applyBorder="1" applyFont="1">
      <alignment horizontal="center"/>
    </xf>
    <xf borderId="0" fillId="8" fontId="2" numFmtId="2" xfId="0" applyAlignment="1" applyFont="1" applyNumberFormat="1">
      <alignment vertical="bottom"/>
    </xf>
    <xf borderId="6" fillId="8" fontId="2" numFmtId="0" xfId="0" applyAlignment="1" applyBorder="1" applyFont="1">
      <alignment vertical="bottom"/>
    </xf>
    <xf borderId="6" fillId="8" fontId="2" numFmtId="2" xfId="0" applyAlignment="1" applyBorder="1" applyFont="1" applyNumberFormat="1">
      <alignment shrinkToFit="0" vertical="top" wrapText="1"/>
    </xf>
    <xf borderId="0" fillId="8" fontId="6" numFmtId="2" xfId="0" applyAlignment="1" applyFont="1" applyNumberFormat="1">
      <alignment horizontal="center" vertical="bottom"/>
    </xf>
    <xf borderId="13" fillId="8" fontId="2" numFmtId="0" xfId="0" applyAlignment="1" applyBorder="1" applyFont="1">
      <alignment vertical="bottom"/>
    </xf>
    <xf borderId="0" fillId="8" fontId="2" numFmtId="0" xfId="0" applyAlignment="1" applyFont="1">
      <alignment vertical="bottom"/>
    </xf>
    <xf borderId="9" fillId="8" fontId="2" numFmtId="0" xfId="0" applyAlignment="1" applyBorder="1" applyFont="1">
      <alignment vertical="bottom"/>
    </xf>
    <xf borderId="0" fillId="8" fontId="11" numFmtId="2" xfId="0" applyAlignment="1" applyFont="1" applyNumberFormat="1">
      <alignment horizontal="center" vertical="bottom"/>
    </xf>
    <xf borderId="0" fillId="8" fontId="6" numFmtId="0" xfId="0" applyAlignment="1" applyFont="1">
      <alignment horizontal="center" shrinkToFit="0" vertical="bottom" wrapText="1"/>
    </xf>
    <xf borderId="0" fillId="8" fontId="10" numFmtId="2" xfId="0" applyAlignment="1" applyFont="1" applyNumberFormat="1">
      <alignment horizontal="center" vertical="bottom"/>
    </xf>
    <xf borderId="0" fillId="8" fontId="11" numFmtId="0" xfId="0" applyAlignment="1" applyFont="1">
      <alignment horizontal="center" vertical="bottom"/>
    </xf>
    <xf borderId="6" fillId="8" fontId="2" numFmtId="0" xfId="0" applyAlignment="1" applyBorder="1" applyFont="1">
      <alignment vertical="bottom"/>
    </xf>
    <xf borderId="0" fillId="0" fontId="11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/>
    </xf>
    <xf borderId="6" fillId="0" fontId="11" numFmtId="0" xfId="0" applyAlignment="1" applyBorder="1" applyFont="1">
      <alignment horizontal="center"/>
    </xf>
    <xf borderId="0" fillId="0" fontId="11" numFmtId="2" xfId="0" applyAlignment="1" applyFont="1" applyNumberFormat="1">
      <alignment horizontal="center" vertical="bottom"/>
    </xf>
    <xf borderId="0" fillId="0" fontId="6" numFmtId="2" xfId="0" applyAlignment="1" applyFont="1" applyNumberFormat="1">
      <alignment horizontal="center" vertical="bottom"/>
    </xf>
    <xf borderId="6" fillId="0" fontId="11" numFmtId="0" xfId="0" applyAlignment="1" applyBorder="1" applyFont="1">
      <alignment horizontal="center" vertical="bottom"/>
    </xf>
    <xf borderId="13" fillId="0" fontId="2" numFmtId="0" xfId="0" applyAlignment="1" applyBorder="1" applyFont="1">
      <alignment vertical="bottom"/>
    </xf>
    <xf borderId="0" fillId="0" fontId="11" numFmtId="0" xfId="0" applyAlignment="1" applyFont="1">
      <alignment horizontal="center"/>
    </xf>
    <xf borderId="0" fillId="0" fontId="6" numFmtId="2" xfId="0" applyAlignment="1" applyFont="1" applyNumberFormat="1">
      <alignment horizontal="center"/>
    </xf>
    <xf borderId="6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/>
    </xf>
    <xf borderId="0" fillId="8" fontId="11" numFmtId="2" xfId="0" applyAlignment="1" applyFont="1" applyNumberFormat="1">
      <alignment horizontal="center"/>
    </xf>
    <xf borderId="0" fillId="8" fontId="6" numFmtId="0" xfId="0" applyAlignment="1" applyFont="1">
      <alignment horizontal="center" shrinkToFit="0" wrapText="1"/>
    </xf>
    <xf borderId="0" fillId="8" fontId="10" numFmtId="2" xfId="0" applyAlignment="1" applyFont="1" applyNumberFormat="1">
      <alignment horizontal="center"/>
    </xf>
    <xf borderId="0" fillId="15" fontId="2" numFmtId="0" xfId="0" applyFill="1" applyFont="1"/>
    <xf borderId="0" fillId="15" fontId="2" numFmtId="2" xfId="0" applyFont="1" applyNumberFormat="1"/>
    <xf borderId="6" fillId="15" fontId="2" numFmtId="0" xfId="0" applyBorder="1" applyFont="1"/>
    <xf borderId="0" fillId="15" fontId="6" numFmtId="0" xfId="0" applyAlignment="1" applyFont="1">
      <alignment horizontal="center"/>
    </xf>
    <xf borderId="13" fillId="15" fontId="2" numFmtId="0" xfId="0" applyBorder="1" applyFont="1"/>
    <xf borderId="0" fillId="15" fontId="2" numFmtId="0" xfId="0" applyAlignment="1" applyFont="1">
      <alignment vertical="bottom"/>
    </xf>
    <xf borderId="9" fillId="15" fontId="2" numFmtId="0" xfId="0" applyAlignment="1" applyBorder="1" applyFont="1">
      <alignment vertical="bottom"/>
    </xf>
    <xf borderId="0" fillId="8" fontId="11" numFmtId="0" xfId="0" applyAlignment="1" applyFont="1">
      <alignment horizontal="center"/>
    </xf>
    <xf borderId="0" fillId="15" fontId="2" numFmtId="2" xfId="0" applyAlignment="1" applyFont="1" applyNumberFormat="1">
      <alignment vertical="bottom"/>
    </xf>
    <xf borderId="6" fillId="15" fontId="2" numFmtId="0" xfId="0" applyAlignment="1" applyBorder="1" applyFont="1">
      <alignment vertical="bottom"/>
    </xf>
    <xf borderId="8" fillId="0" fontId="4" numFmtId="0" xfId="0" applyBorder="1" applyFont="1"/>
    <xf borderId="13" fillId="0" fontId="4" numFmtId="0" xfId="0" applyBorder="1" applyFont="1"/>
    <xf borderId="8" fillId="0" fontId="2" numFmtId="0" xfId="0" applyAlignment="1" applyBorder="1" applyFont="1">
      <alignment horizontal="right" shrinkToFit="0" wrapText="1"/>
    </xf>
    <xf borderId="6" fillId="0" fontId="2" numFmtId="0" xfId="0" applyAlignment="1" applyBorder="1" applyFont="1">
      <alignment vertical="bottom"/>
    </xf>
    <xf borderId="0" fillId="0" fontId="11" numFmtId="2" xfId="0" applyAlignment="1" applyFont="1" applyNumberFormat="1">
      <alignment horizontal="center"/>
    </xf>
    <xf borderId="6" fillId="15" fontId="2" numFmtId="0" xfId="0" applyAlignment="1" applyBorder="1" applyFont="1">
      <alignment vertical="bottom"/>
    </xf>
    <xf borderId="13" fillId="15" fontId="2" numFmtId="2" xfId="0" applyAlignment="1" applyBorder="1" applyFont="1" applyNumberFormat="1">
      <alignment vertical="bottom"/>
    </xf>
    <xf borderId="0" fillId="0" fontId="15" numFmtId="2" xfId="0" applyAlignment="1" applyFont="1" applyNumberFormat="1">
      <alignment horizontal="center"/>
    </xf>
    <xf borderId="9" fillId="0" fontId="2" numFmtId="2" xfId="0" applyAlignment="1" applyBorder="1" applyFont="1" applyNumberFormat="1">
      <alignment vertical="bottom"/>
    </xf>
    <xf borderId="6" fillId="15" fontId="2" numFmtId="2" xfId="0" applyAlignment="1" applyBorder="1" applyFont="1" applyNumberFormat="1">
      <alignment vertical="bottom"/>
    </xf>
    <xf borderId="9" fillId="8" fontId="6" numFmtId="2" xfId="0" applyAlignment="1" applyBorder="1" applyFont="1" applyNumberFormat="1">
      <alignment horizontal="center" vertical="bottom"/>
    </xf>
    <xf borderId="9" fillId="8" fontId="2" numFmtId="2" xfId="0" applyAlignment="1" applyBorder="1" applyFont="1" applyNumberFormat="1">
      <alignment vertical="bottom"/>
    </xf>
    <xf borderId="0" fillId="0" fontId="15" numFmtId="0" xfId="0" applyAlignment="1" applyFont="1">
      <alignment horizontal="center"/>
    </xf>
    <xf borderId="13" fillId="15" fontId="2" numFmtId="0" xfId="0" applyAlignment="1" applyBorder="1" applyFont="1">
      <alignment vertical="bottom"/>
    </xf>
    <xf borderId="9" fillId="15" fontId="2" numFmtId="2" xfId="0" applyAlignment="1" applyBorder="1" applyFont="1" applyNumberFormat="1">
      <alignment vertical="bottom"/>
    </xf>
    <xf borderId="0" fillId="0" fontId="15" numFmtId="0" xfId="0" applyAlignment="1" applyFont="1">
      <alignment horizontal="right"/>
    </xf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5" fillId="0" fontId="4" numFmtId="0" xfId="0" applyBorder="1" applyFont="1"/>
    <xf borderId="16" fillId="0" fontId="2" numFmtId="0" xfId="0" applyAlignment="1" applyBorder="1" applyFont="1">
      <alignment vertical="bottom"/>
    </xf>
    <xf borderId="17" fillId="0" fontId="2" numFmtId="2" xfId="0" applyAlignment="1" applyBorder="1" applyFont="1" applyNumberFormat="1">
      <alignment vertical="bottom"/>
    </xf>
    <xf borderId="14" fillId="0" fontId="11" numFmtId="0" xfId="0" applyAlignment="1" applyBorder="1" applyFont="1">
      <alignment horizontal="center"/>
    </xf>
    <xf borderId="17" fillId="0" fontId="4" numFmtId="0" xfId="0" applyBorder="1" applyFont="1"/>
    <xf borderId="15" fillId="0" fontId="2" numFmtId="0" xfId="0" applyAlignment="1" applyBorder="1" applyFont="1">
      <alignment vertical="bottom"/>
    </xf>
    <xf borderId="18" fillId="0" fontId="2" numFmtId="0" xfId="0" applyAlignment="1" applyBorder="1" applyFont="1">
      <alignment horizontal="right" vertical="bottom"/>
    </xf>
    <xf borderId="7" fillId="0" fontId="2" numFmtId="2" xfId="0" applyAlignment="1" applyBorder="1" applyFont="1" applyNumberFormat="1">
      <alignment horizontal="right" vertical="bottom"/>
    </xf>
    <xf borderId="7" fillId="16" fontId="16" numFmtId="2" xfId="0" applyAlignment="1" applyBorder="1" applyFill="1" applyFont="1" applyNumberFormat="1">
      <alignment horizontal="right" vertical="bottom"/>
    </xf>
    <xf borderId="19" fillId="16" fontId="15" numFmtId="2" xfId="0" applyAlignment="1" applyBorder="1" applyFont="1" applyNumberFormat="1">
      <alignment horizontal="right" vertical="bottom"/>
    </xf>
    <xf borderId="19" fillId="0" fontId="15" numFmtId="2" xfId="0" applyAlignment="1" applyBorder="1" applyFont="1" applyNumberFormat="1">
      <alignment horizontal="right" vertical="bottom"/>
    </xf>
    <xf borderId="7" fillId="16" fontId="15" numFmtId="2" xfId="0" applyAlignment="1" applyBorder="1" applyFont="1" applyNumberFormat="1">
      <alignment horizontal="right" vertical="bottom"/>
    </xf>
    <xf borderId="20" fillId="0" fontId="2" numFmtId="2" xfId="0" applyAlignment="1" applyBorder="1" applyFont="1" applyNumberFormat="1">
      <alignment vertical="bottom"/>
    </xf>
    <xf borderId="7" fillId="0" fontId="2" numFmtId="2" xfId="0" applyAlignment="1" applyBorder="1" applyFont="1" applyNumberFormat="1">
      <alignment vertical="bottom"/>
    </xf>
    <xf borderId="7" fillId="0" fontId="2" numFmtId="0" xfId="0" applyAlignment="1" applyBorder="1" applyFont="1">
      <alignment horizontal="right" vertical="bottom"/>
    </xf>
    <xf borderId="21" fillId="0" fontId="2" numFmtId="2" xfId="0" applyAlignment="1" applyBorder="1" applyFont="1" applyNumberFormat="1">
      <alignment horizontal="center" vertical="bottom"/>
    </xf>
    <xf borderId="22" fillId="0" fontId="2" numFmtId="2" xfId="0" applyAlignment="1" applyBorder="1" applyFont="1" applyNumberFormat="1">
      <alignment horizontal="right" vertical="bottom"/>
    </xf>
    <xf borderId="22" fillId="16" fontId="16" numFmtId="2" xfId="0" applyAlignment="1" applyBorder="1" applyFont="1" applyNumberFormat="1">
      <alignment horizontal="right" vertical="bottom"/>
    </xf>
    <xf borderId="22" fillId="16" fontId="15" numFmtId="2" xfId="0" applyAlignment="1" applyBorder="1" applyFont="1" applyNumberFormat="1">
      <alignment horizontal="center" vertical="bottom"/>
    </xf>
    <xf borderId="23" fillId="0" fontId="4" numFmtId="0" xfId="0" applyBorder="1" applyFont="1"/>
    <xf borderId="20" fillId="0" fontId="2" numFmtId="2" xfId="0" applyAlignment="1" applyBorder="1" applyFont="1" applyNumberFormat="1">
      <alignment horizontal="right" vertical="bottom"/>
    </xf>
    <xf borderId="21" fillId="16" fontId="15" numFmtId="2" xfId="0" applyAlignment="1" applyBorder="1" applyFont="1" applyNumberFormat="1">
      <alignment horizontal="right" vertical="bottom"/>
    </xf>
    <xf borderId="21" fillId="0" fontId="2" numFmtId="0" xfId="0" applyAlignment="1" applyBorder="1" applyFont="1">
      <alignment vertical="bottom"/>
    </xf>
    <xf borderId="7" fillId="0" fontId="15" numFmtId="0" xfId="0" applyAlignment="1" applyBorder="1" applyFont="1">
      <alignment shrinkToFit="0" vertical="bottom" wrapText="1"/>
    </xf>
    <xf borderId="7" fillId="0" fontId="15" numFmtId="0" xfId="0" applyAlignment="1" applyBorder="1" applyFont="1">
      <alignment horizontal="right" vertical="bottom"/>
    </xf>
    <xf borderId="21" fillId="0" fontId="4" numFmtId="0" xfId="0" applyBorder="1" applyFont="1"/>
    <xf borderId="7" fillId="0" fontId="15" numFmtId="0" xfId="0" applyAlignment="1" applyBorder="1" applyFont="1">
      <alignment vertical="bottom"/>
    </xf>
    <xf borderId="21" fillId="0" fontId="2" numFmtId="2" xfId="0" applyAlignment="1" applyBorder="1" applyFont="1" applyNumberFormat="1">
      <alignment horizontal="right" vertical="bottom"/>
    </xf>
    <xf borderId="24" fillId="0" fontId="15" numFmtId="0" xfId="0" applyAlignment="1" applyBorder="1" applyFont="1">
      <alignment horizontal="right" vertical="bottom"/>
    </xf>
    <xf borderId="25" fillId="0" fontId="4" numFmtId="0" xfId="0" applyBorder="1" applyFont="1"/>
    <xf borderId="11" fillId="0" fontId="15" numFmtId="0" xfId="0" applyAlignment="1" applyBorder="1" applyFont="1">
      <alignment horizontal="right" shrinkToFit="0" vertical="bottom" wrapText="1"/>
    </xf>
    <xf borderId="20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13" fontId="15" numFmtId="0" xfId="0" applyAlignment="1" applyFont="1">
      <alignment horizontal="center" readingOrder="0" vertical="bottom"/>
    </xf>
    <xf borderId="6" fillId="0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10" fillId="0" fontId="15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shrinkToFit="0" vertical="bottom" wrapText="1"/>
    </xf>
    <xf borderId="0" fillId="8" fontId="9" numFmtId="0" xfId="0" applyAlignment="1" applyFont="1">
      <alignment readingOrder="0" vertical="center"/>
    </xf>
    <xf borderId="0" fillId="8" fontId="17" numFmtId="0" xfId="0" applyAlignment="1" applyFont="1">
      <alignment horizontal="center" readingOrder="0" vertical="center"/>
    </xf>
    <xf borderId="0" fillId="8" fontId="10" numFmtId="0" xfId="0" applyAlignment="1" applyFont="1">
      <alignment horizontal="center" readingOrder="0" vertical="center"/>
    </xf>
    <xf borderId="6" fillId="8" fontId="11" numFmtId="0" xfId="0" applyAlignment="1" applyBorder="1" applyFont="1">
      <alignment horizontal="center" readingOrder="0" vertical="center"/>
    </xf>
    <xf borderId="0" fillId="8" fontId="2" numFmtId="2" xfId="0" applyAlignment="1" applyFont="1" applyNumberFormat="1">
      <alignment horizontal="center"/>
    </xf>
    <xf borderId="6" fillId="8" fontId="2" numFmtId="0" xfId="0" applyAlignment="1" applyBorder="1" applyFont="1">
      <alignment horizontal="center"/>
    </xf>
    <xf borderId="6" fillId="8" fontId="2" numFmtId="2" xfId="0" applyAlignment="1" applyBorder="1" applyFont="1" applyNumberFormat="1">
      <alignment readingOrder="0" shrinkToFit="0" vertical="top" wrapText="1"/>
    </xf>
    <xf borderId="0" fillId="8" fontId="6" numFmtId="2" xfId="0" applyAlignment="1" applyFont="1" applyNumberFormat="1">
      <alignment horizontal="center" readingOrder="0"/>
    </xf>
    <xf borderId="13" fillId="8" fontId="2" numFmtId="0" xfId="0" applyAlignment="1" applyBorder="1" applyFont="1">
      <alignment horizontal="center"/>
    </xf>
    <xf borderId="0" fillId="8" fontId="2" numFmtId="0" xfId="0" applyFont="1"/>
    <xf borderId="9" fillId="8" fontId="11" numFmtId="0" xfId="0" applyAlignment="1" applyBorder="1" applyFont="1">
      <alignment horizontal="center"/>
    </xf>
    <xf borderId="0" fillId="8" fontId="11" numFmtId="2" xfId="0" applyAlignment="1" applyFont="1" applyNumberFormat="1">
      <alignment horizontal="center" readingOrder="0"/>
    </xf>
    <xf borderId="0" fillId="8" fontId="6" numFmtId="0" xfId="0" applyAlignment="1" applyFont="1">
      <alignment horizontal="center" readingOrder="0" shrinkToFit="0" wrapText="1"/>
    </xf>
    <xf borderId="0" fillId="8" fontId="10" numFmtId="2" xfId="0" applyAlignment="1" applyFont="1" applyNumberFormat="1">
      <alignment horizontal="center" readingOrder="0"/>
    </xf>
    <xf borderId="0" fillId="8" fontId="11" numFmtId="0" xfId="0" applyAlignment="1" applyFont="1">
      <alignment horizontal="center" readingOrder="0"/>
    </xf>
    <xf borderId="9" fillId="8" fontId="2" numFmtId="0" xfId="0" applyAlignment="1" applyBorder="1" applyFont="1">
      <alignment readingOrder="0" shrinkToFit="0" vertical="bottom" wrapText="1"/>
    </xf>
    <xf borderId="0" fillId="0" fontId="17" numFmtId="0" xfId="0" applyAlignment="1" applyFont="1">
      <alignment horizontal="center" readingOrder="0" vertical="center"/>
    </xf>
    <xf borderId="0" fillId="0" fontId="11" numFmtId="2" xfId="0" applyAlignment="1" applyFont="1" applyNumberFormat="1">
      <alignment horizontal="center" readingOrder="0"/>
    </xf>
    <xf borderId="0" fillId="0" fontId="6" numFmtId="2" xfId="0" applyAlignment="1" applyFont="1" applyNumberFormat="1">
      <alignment horizontal="center" readingOrder="0"/>
    </xf>
    <xf borderId="6" fillId="0" fontId="11" numFmtId="0" xfId="0" applyAlignment="1" applyBorder="1" applyFont="1">
      <alignment horizontal="center" readingOrder="0"/>
    </xf>
    <xf borderId="13" fillId="0" fontId="2" numFmtId="0" xfId="0" applyBorder="1" applyFont="1"/>
    <xf borderId="0" fillId="0" fontId="2" numFmtId="0" xfId="0" applyFont="1"/>
    <xf borderId="9" fillId="0" fontId="11" numFmtId="0" xfId="0" applyAlignment="1" applyBorder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0" fontId="17" numFmtId="2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6" fillId="0" fontId="2" numFmtId="0" xfId="0" applyBorder="1" applyFont="1"/>
    <xf borderId="9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right" vertical="center"/>
    </xf>
    <xf borderId="0" fillId="8" fontId="11" numFmtId="2" xfId="0" applyAlignment="1" applyFont="1" applyNumberFormat="1">
      <alignment horizontal="center" readingOrder="0" vertical="center"/>
    </xf>
    <xf borderId="0" fillId="8" fontId="6" numFmtId="0" xfId="0" applyAlignment="1" applyFont="1">
      <alignment horizontal="center" readingOrder="0" shrinkToFit="0" vertical="center" wrapText="1"/>
    </xf>
    <xf borderId="0" fillId="8" fontId="10" numFmtId="2" xfId="0" applyAlignment="1" applyFont="1" applyNumberFormat="1">
      <alignment horizontal="center" readingOrder="0" vertical="center"/>
    </xf>
    <xf borderId="0" fillId="15" fontId="2" numFmtId="0" xfId="0" applyAlignment="1" applyFont="1">
      <alignment vertical="center"/>
    </xf>
    <xf borderId="0" fillId="15" fontId="2" numFmtId="2" xfId="0" applyAlignment="1" applyFont="1" applyNumberFormat="1">
      <alignment vertical="center"/>
    </xf>
    <xf borderId="6" fillId="15" fontId="2" numFmtId="0" xfId="0" applyAlignment="1" applyBorder="1" applyFont="1">
      <alignment vertical="center"/>
    </xf>
    <xf borderId="0" fillId="15" fontId="6" numFmtId="0" xfId="0" applyAlignment="1" applyFont="1">
      <alignment horizontal="center" vertical="center"/>
    </xf>
    <xf borderId="13" fillId="15" fontId="2" numFmtId="0" xfId="0" applyAlignment="1" applyBorder="1" applyFont="1">
      <alignment vertical="center"/>
    </xf>
    <xf borderId="9" fillId="15" fontId="11" numFmtId="0" xfId="0" applyAlignment="1" applyBorder="1" applyFont="1">
      <alignment horizontal="center"/>
    </xf>
    <xf borderId="0" fillId="8" fontId="11" numFmtId="0" xfId="0" applyAlignment="1" applyFont="1">
      <alignment horizontal="center" readingOrder="0" vertical="center"/>
    </xf>
    <xf borderId="0" fillId="15" fontId="2" numFmtId="0" xfId="0" applyAlignment="1" applyFont="1">
      <alignment horizontal="center"/>
    </xf>
    <xf borderId="0" fillId="15" fontId="6" numFmtId="2" xfId="0" applyAlignment="1" applyFont="1" applyNumberFormat="1">
      <alignment horizontal="center"/>
    </xf>
    <xf borderId="6" fillId="15" fontId="2" numFmtId="0" xfId="0" applyAlignment="1" applyBorder="1" applyFont="1">
      <alignment horizontal="center"/>
    </xf>
    <xf borderId="9" fillId="8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right" readingOrder="0" shrinkToFit="0" vertical="center" wrapText="1"/>
    </xf>
    <xf borderId="0" fillId="0" fontId="2" numFmtId="2" xfId="0" applyFont="1" applyNumberFormat="1"/>
    <xf borderId="0" fillId="0" fontId="6" numFmtId="2" xfId="0" applyAlignment="1" applyFont="1" applyNumberFormat="1">
      <alignment horizontal="center" readingOrder="0" vertical="center"/>
    </xf>
    <xf borderId="9" fillId="0" fontId="11" numFmtId="0" xfId="0" applyAlignment="1" applyBorder="1" applyFont="1">
      <alignment horizontal="center" readingOrder="0"/>
    </xf>
    <xf borderId="0" fillId="0" fontId="9" numFmtId="2" xfId="0" applyAlignment="1" applyFont="1" applyNumberFormat="1">
      <alignment horizontal="center" readingOrder="0" vertical="center"/>
    </xf>
    <xf borderId="13" fillId="15" fontId="2" numFmtId="2" xfId="0" applyBorder="1" applyFont="1" applyNumberFormat="1"/>
    <xf borderId="9" fillId="15" fontId="11" numFmtId="0" xfId="0" applyAlignment="1" applyBorder="1" applyFont="1">
      <alignment horizontal="center" readingOrder="0"/>
    </xf>
    <xf borderId="6" fillId="15" fontId="2" numFmtId="0" xfId="0" applyBorder="1" applyFont="1"/>
    <xf borderId="0" fillId="0" fontId="8" numFmtId="2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bottom"/>
    </xf>
    <xf borderId="9" fillId="0" fontId="11" numFmtId="2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readingOrder="0" vertical="bottom"/>
    </xf>
    <xf borderId="9" fillId="8" fontId="6" numFmtId="2" xfId="0" applyAlignment="1" applyBorder="1" applyFont="1" applyNumberFormat="1">
      <alignment horizontal="center" readingOrder="0"/>
    </xf>
    <xf borderId="0" fillId="8" fontId="6" numFmtId="2" xfId="0" applyAlignment="1" applyFont="1" applyNumberFormat="1">
      <alignment horizontal="center" shrinkToFit="0" wrapText="1"/>
    </xf>
    <xf borderId="9" fillId="8" fontId="11" numFmtId="2" xfId="0" applyAlignment="1" applyBorder="1" applyFont="1" applyNumberFormat="1">
      <alignment horizontal="center"/>
    </xf>
    <xf borderId="9" fillId="8" fontId="2" numFmtId="0" xfId="0" applyAlignment="1" applyBorder="1" applyFont="1">
      <alignment readingOrder="0" vertical="bottom"/>
    </xf>
    <xf borderId="0" fillId="0" fontId="8" numFmtId="0" xfId="0" applyAlignment="1" applyFont="1">
      <alignment horizontal="center" readingOrder="0" vertical="center"/>
    </xf>
    <xf borderId="9" fillId="0" fontId="11" numFmtId="0" xfId="0" applyAlignment="1" applyBorder="1" applyFont="1">
      <alignment horizontal="center" vertical="bottom"/>
    </xf>
    <xf borderId="0" fillId="15" fontId="11" numFmtId="2" xfId="0" applyAlignment="1" applyFont="1" applyNumberFormat="1">
      <alignment horizontal="center" vertical="bottom"/>
    </xf>
    <xf borderId="9" fillId="15" fontId="11" numFmtId="2" xfId="0" applyAlignment="1" applyBorder="1" applyFont="1" applyNumberFormat="1">
      <alignment horizontal="center" vertical="bottom"/>
    </xf>
    <xf borderId="0" fillId="0" fontId="11" numFmtId="2" xfId="0" applyAlignment="1" applyFont="1" applyNumberFormat="1">
      <alignment horizontal="right" vertical="bottom"/>
    </xf>
    <xf borderId="0" fillId="8" fontId="9" numFmtId="0" xfId="0" applyAlignment="1" applyFont="1">
      <alignment horizontal="center" readingOrder="0" vertical="center"/>
    </xf>
    <xf borderId="13" fillId="15" fontId="2" numFmtId="0" xfId="0" applyAlignment="1" applyBorder="1" applyFont="1">
      <alignment horizontal="center" shrinkToFit="0" vertical="bottom" wrapText="1"/>
    </xf>
    <xf borderId="0" fillId="15" fontId="2" numFmtId="0" xfId="0" applyAlignment="1" applyFont="1">
      <alignment horizontal="center" vertical="bottom"/>
    </xf>
    <xf borderId="17" fillId="0" fontId="11" numFmtId="2" xfId="0" applyAlignment="1" applyBorder="1" applyFont="1" applyNumberFormat="1">
      <alignment horizontal="center" vertical="bottom"/>
    </xf>
    <xf borderId="14" fillId="0" fontId="11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readingOrder="0" shrinkToFit="0" vertical="bottom" wrapText="1"/>
    </xf>
    <xf borderId="21" fillId="0" fontId="2" numFmtId="2" xfId="0" applyAlignment="1" applyBorder="1" applyFont="1" applyNumberFormat="1">
      <alignment vertical="bottom"/>
    </xf>
    <xf borderId="24" fillId="0" fontId="15" numFmtId="0" xfId="0" applyAlignment="1" applyBorder="1" applyFont="1">
      <alignment horizontal="right" vertical="bottom"/>
    </xf>
    <xf borderId="0" fillId="0" fontId="8" numFmtId="0" xfId="0" applyAlignment="1" applyFont="1">
      <alignment readingOrder="0"/>
    </xf>
    <xf borderId="7" fillId="0" fontId="15" numFmtId="0" xfId="0" applyAlignment="1" applyBorder="1" applyFont="1">
      <alignment horizontal="right" readingOrder="0" vertical="bottom"/>
    </xf>
    <xf borderId="21" fillId="0" fontId="15" numFmtId="0" xfId="0" applyAlignment="1" applyBorder="1" applyFont="1">
      <alignment horizontal="right" vertical="bottom"/>
    </xf>
    <xf borderId="0" fillId="0" fontId="8" numFmtId="0" xfId="0" applyAlignment="1" applyFont="1">
      <alignment horizontal="right"/>
    </xf>
    <xf borderId="21" fillId="0" fontId="15" numFmtId="0" xfId="0" applyAlignment="1" applyBorder="1" applyFont="1">
      <alignment vertical="bottom"/>
    </xf>
    <xf borderId="26" fillId="0" fontId="2" numFmtId="0" xfId="0" applyAlignment="1" applyBorder="1" applyFont="1">
      <alignment vertical="bottom"/>
    </xf>
    <xf borderId="6" fillId="0" fontId="15" numFmtId="0" xfId="0" applyAlignment="1" applyBorder="1" applyFont="1">
      <alignment horizontal="center" readingOrder="0" shrinkToFit="0" vertical="bottom" wrapText="1"/>
    </xf>
    <xf borderId="6" fillId="8" fontId="2" numFmtId="2" xfId="0" applyAlignment="1" applyBorder="1" applyFont="1" applyNumberFormat="1">
      <alignment readingOrder="0"/>
    </xf>
    <xf borderId="0" fillId="0" fontId="2" numFmtId="2" xfId="0" applyAlignment="1" applyFont="1" applyNumberFormat="1">
      <alignment horizontal="center"/>
    </xf>
    <xf borderId="6" fillId="0" fontId="2" numFmtId="0" xfId="0" applyAlignment="1" applyBorder="1" applyFont="1">
      <alignment horizontal="center"/>
    </xf>
    <xf borderId="6" fillId="0" fontId="2" numFmtId="2" xfId="0" applyAlignment="1" applyBorder="1" applyFont="1" applyNumberFormat="1">
      <alignment readingOrder="0"/>
    </xf>
    <xf borderId="0" fillId="8" fontId="11" numFmtId="2" xfId="0" applyAlignment="1" applyFont="1" applyNumberFormat="1">
      <alignment horizontal="center" vertical="center"/>
    </xf>
    <xf borderId="0" fillId="8" fontId="6" numFmtId="0" xfId="0" applyAlignment="1" applyFont="1">
      <alignment horizontal="center" shrinkToFit="0" vertical="center" wrapText="1"/>
    </xf>
    <xf borderId="6" fillId="8" fontId="11" numFmtId="0" xfId="0" applyAlignment="1" applyBorder="1" applyFont="1">
      <alignment horizontal="center" vertical="center"/>
    </xf>
    <xf borderId="6" fillId="15" fontId="2" numFmtId="2" xfId="0" applyAlignment="1" applyBorder="1" applyFont="1" applyNumberFormat="1">
      <alignment readingOrder="0" vertical="center"/>
    </xf>
    <xf borderId="6" fillId="0" fontId="2" numFmtId="0" xfId="0" applyAlignment="1" applyBorder="1" applyFont="1">
      <alignment readingOrder="0" vertical="center"/>
    </xf>
    <xf borderId="6" fillId="15" fontId="2" numFmtId="2" xfId="0" applyAlignment="1" applyBorder="1" applyFont="1" applyNumberFormat="1">
      <alignment readingOrder="0"/>
    </xf>
    <xf borderId="6" fillId="0" fontId="2" numFmtId="2" xfId="0" applyAlignment="1" applyBorder="1" applyFont="1" applyNumberFormat="1">
      <alignment readingOrder="0" vertical="bottom"/>
    </xf>
    <xf borderId="6" fillId="15" fontId="11" numFmtId="2" xfId="0" applyAlignment="1" applyBorder="1" applyFont="1" applyNumberFormat="1">
      <alignment readingOrder="0" vertical="bottom"/>
    </xf>
    <xf borderId="6" fillId="0" fontId="11" numFmtId="2" xfId="0" applyAlignment="1" applyBorder="1" applyFont="1" applyNumberFormat="1">
      <alignment readingOrder="0" vertical="bottom"/>
    </xf>
    <xf borderId="15" fillId="0" fontId="11" numFmtId="2" xfId="0" applyAlignment="1" applyBorder="1" applyFont="1" applyNumberFormat="1">
      <alignment readingOrder="0" vertical="bottom"/>
    </xf>
    <xf borderId="14" fillId="0" fontId="11" numFmtId="2" xfId="0" applyAlignment="1" applyBorder="1" applyFont="1" applyNumberFormat="1">
      <alignment horizontal="center" readingOrder="0" vertical="center"/>
    </xf>
    <xf borderId="11" fillId="0" fontId="15" numFmtId="0" xfId="0" applyAlignment="1" applyBorder="1" applyFont="1">
      <alignment horizontal="right" readingOrder="0" shrinkToFit="0" vertical="bottom" wrapText="1"/>
    </xf>
    <xf borderId="21" fillId="16" fontId="15" numFmtId="0" xfId="0" applyAlignment="1" applyBorder="1" applyFont="1">
      <alignment horizontal="right" readingOrder="0" shrinkToFit="0" vertical="bottom" wrapText="1"/>
    </xf>
    <xf borderId="0" fillId="12" fontId="4" numFmtId="0" xfId="0" applyAlignment="1" applyFont="1">
      <alignment readingOrder="0" shrinkToFit="0" wrapText="1"/>
    </xf>
    <xf borderId="6" fillId="0" fontId="15" numFmtId="0" xfId="0" applyAlignment="1" applyBorder="1" applyFont="1">
      <alignment horizontal="center" vertical="bottom"/>
    </xf>
    <xf borderId="0" fillId="0" fontId="15" numFmtId="0" xfId="0" applyAlignment="1" applyFont="1">
      <alignment horizontal="center" shrinkToFit="0" vertical="bottom" wrapText="1"/>
    </xf>
    <xf borderId="6" fillId="8" fontId="2" numFmtId="2" xfId="0" applyBorder="1" applyFont="1" applyNumberFormat="1"/>
    <xf borderId="6" fillId="8" fontId="6" numFmtId="2" xfId="0" applyAlignment="1" applyBorder="1" applyFont="1" applyNumberFormat="1">
      <alignment horizontal="center" readingOrder="0"/>
    </xf>
    <xf borderId="9" fillId="8" fontId="2" numFmtId="0" xfId="0" applyBorder="1" applyFont="1"/>
    <xf borderId="0" fillId="8" fontId="6" numFmtId="2" xfId="0" applyAlignment="1" applyFont="1" applyNumberFormat="1">
      <alignment horizontal="center"/>
    </xf>
    <xf borderId="0" fillId="15" fontId="10" numFmtId="2" xfId="0" applyAlignment="1" applyFont="1" applyNumberFormat="1">
      <alignment vertical="bottom"/>
    </xf>
    <xf borderId="9" fillId="8" fontId="2" numFmtId="2" xfId="0" applyBorder="1" applyFont="1" applyNumberFormat="1"/>
    <xf borderId="9" fillId="8" fontId="2" numFmtId="0" xfId="0" applyAlignment="1" applyBorder="1" applyFont="1">
      <alignment shrinkToFit="0" vertical="bottom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0" numFmtId="2" xfId="0" applyAlignment="1" applyFont="1" applyNumberFormat="1">
      <alignment horizontal="center" readingOrder="0"/>
    </xf>
    <xf borderId="6" fillId="0" fontId="2" numFmtId="2" xfId="0" applyBorder="1" applyFont="1" applyNumberFormat="1"/>
    <xf borderId="6" fillId="0" fontId="6" numFmtId="2" xfId="0" applyAlignment="1" applyBorder="1" applyFont="1" applyNumberFormat="1">
      <alignment horizontal="center" readingOrder="0"/>
    </xf>
    <xf borderId="9" fillId="0" fontId="2" numFmtId="0" xfId="0" applyBorder="1" applyFont="1"/>
    <xf borderId="0" fillId="0" fontId="18" numFmtId="2" xfId="0" applyAlignment="1" applyFont="1" applyNumberFormat="1">
      <alignment horizontal="center" vertical="bottom"/>
    </xf>
    <xf borderId="6" fillId="0" fontId="11" numFmtId="2" xfId="0" applyAlignment="1" applyBorder="1" applyFont="1" applyNumberFormat="1">
      <alignment horizontal="center" vertical="bottom"/>
    </xf>
    <xf borderId="9" fillId="0" fontId="2" numFmtId="2" xfId="0" applyBorder="1" applyFont="1" applyNumberFormat="1"/>
    <xf borderId="9" fillId="0" fontId="2" numFmtId="0" xfId="0" applyAlignment="1" applyBorder="1" applyFont="1">
      <alignment shrinkToFit="0" wrapText="1"/>
    </xf>
    <xf borderId="6" fillId="15" fontId="2" numFmtId="2" xfId="0" applyBorder="1" applyFont="1" applyNumberFormat="1"/>
    <xf borderId="9" fillId="15" fontId="2" numFmtId="0" xfId="0" applyBorder="1" applyFont="1"/>
    <xf borderId="6" fillId="15" fontId="11" numFmtId="0" xfId="0" applyAlignment="1" applyBorder="1" applyFont="1">
      <alignment horizontal="center"/>
    </xf>
    <xf borderId="9" fillId="15" fontId="2" numFmtId="2" xfId="0" applyBorder="1" applyFont="1" applyNumberFormat="1"/>
    <xf borderId="9" fillId="8" fontId="2" numFmtId="0" xfId="0" applyAlignment="1" applyBorder="1" applyFont="1">
      <alignment shrinkToFit="0" wrapText="1"/>
    </xf>
    <xf borderId="8" fillId="0" fontId="2" numFmtId="0" xfId="0" applyAlignment="1" applyBorder="1" applyFont="1">
      <alignment horizontal="right" shrinkToFit="0" vertical="center" wrapText="1"/>
    </xf>
    <xf borderId="6" fillId="0" fontId="6" numFmtId="2" xfId="0" applyAlignment="1" applyBorder="1" applyFont="1" applyNumberFormat="1">
      <alignment horizontal="center" readingOrder="0" vertical="center"/>
    </xf>
    <xf borderId="6" fillId="0" fontId="11" numFmtId="2" xfId="0" applyAlignment="1" applyBorder="1" applyFont="1" applyNumberFormat="1">
      <alignment horizontal="center" readingOrder="0"/>
    </xf>
    <xf borderId="6" fillId="8" fontId="11" numFmtId="2" xfId="0" applyAlignment="1" applyBorder="1" applyFont="1" applyNumberFormat="1">
      <alignment horizontal="center" readingOrder="0"/>
    </xf>
    <xf borderId="6" fillId="15" fontId="11" numFmtId="0" xfId="0" applyAlignment="1" applyBorder="1" applyFont="1">
      <alignment horizontal="center" readingOrder="0"/>
    </xf>
    <xf borderId="0" fillId="15" fontId="11" numFmtId="0" xfId="0" applyAlignment="1" applyFont="1">
      <alignment horizontal="center" vertical="bottom"/>
    </xf>
    <xf borderId="0" fillId="15" fontId="6" numFmtId="2" xfId="0" applyAlignment="1" applyFont="1" applyNumberFormat="1">
      <alignment horizontal="center" vertical="bottom"/>
    </xf>
    <xf borderId="6" fillId="0" fontId="11" numFmtId="2" xfId="0" applyAlignment="1" applyBorder="1" applyFont="1" applyNumberFormat="1">
      <alignment horizontal="center" readingOrder="0" vertical="bottom"/>
    </xf>
    <xf borderId="0" fillId="0" fontId="11" numFmtId="2" xfId="0" applyAlignment="1" applyFont="1" applyNumberFormat="1">
      <alignment horizontal="center" readingOrder="0" vertical="bottom"/>
    </xf>
    <xf borderId="0" fillId="0" fontId="6" numFmtId="2" xfId="0" applyAlignment="1" applyFont="1" applyNumberFormat="1">
      <alignment horizontal="center" readingOrder="0" vertical="bottom"/>
    </xf>
    <xf borderId="0" fillId="0" fontId="18" numFmtId="2" xfId="0" applyAlignment="1" applyFont="1" applyNumberFormat="1">
      <alignment horizontal="center" readingOrder="0" vertical="bottom"/>
    </xf>
    <xf borderId="6" fillId="8" fontId="6" numFmtId="2" xfId="0" applyAlignment="1" applyBorder="1" applyFont="1" applyNumberFormat="1">
      <alignment horizontal="center" readingOrder="0" vertical="bottom"/>
    </xf>
    <xf borderId="6" fillId="15" fontId="11" numFmtId="2" xfId="0" applyAlignment="1" applyBorder="1" applyFont="1" applyNumberFormat="1">
      <alignment horizontal="center" readingOrder="0" vertical="bottom"/>
    </xf>
    <xf borderId="6" fillId="0" fontId="11" numFmtId="2" xfId="0" applyAlignment="1" applyBorder="1" applyFont="1" applyNumberFormat="1">
      <alignment readingOrder="0" vertical="center"/>
    </xf>
    <xf borderId="6" fillId="0" fontId="11" numFmtId="2" xfId="0" applyAlignment="1" applyBorder="1" applyFont="1" applyNumberFormat="1">
      <alignment horizontal="center" readingOrder="0" vertical="center"/>
    </xf>
    <xf borderId="0" fillId="0" fontId="15" numFmtId="2" xfId="0" applyAlignment="1" applyFont="1" applyNumberFormat="1">
      <alignment horizontal="center" readingOrder="0" vertical="bottom"/>
    </xf>
    <xf borderId="6" fillId="15" fontId="2" numFmtId="0" xfId="0" applyAlignment="1" applyBorder="1" applyFont="1">
      <alignment horizontal="center" shrinkToFit="0" vertical="bottom" wrapText="1"/>
    </xf>
    <xf borderId="9" fillId="15" fontId="2" numFmtId="0" xfId="0" applyAlignment="1" applyBorder="1" applyFont="1">
      <alignment horizontal="center" vertical="bottom"/>
    </xf>
    <xf borderId="0" fillId="15" fontId="11" numFmtId="2" xfId="0" applyAlignment="1" applyFont="1" applyNumberFormat="1">
      <alignment readingOrder="0" vertical="bottom"/>
    </xf>
    <xf borderId="0" fillId="15" fontId="6" numFmtId="2" xfId="0" applyAlignment="1" applyFont="1" applyNumberFormat="1">
      <alignment horizontal="center" readingOrder="0" vertical="bottom"/>
    </xf>
    <xf borderId="0" fillId="15" fontId="18" numFmtId="2" xfId="0" applyAlignment="1" applyFont="1" applyNumberFormat="1">
      <alignment horizontal="center" readingOrder="0" vertical="bottom"/>
    </xf>
    <xf borderId="17" fillId="0" fontId="2" numFmtId="0" xfId="0" applyAlignment="1" applyBorder="1" applyFont="1">
      <alignment vertical="bottom"/>
    </xf>
    <xf borderId="14" fillId="0" fontId="2" numFmtId="2" xfId="0" applyAlignment="1" applyBorder="1" applyFont="1" applyNumberFormat="1">
      <alignment vertical="bottom"/>
    </xf>
    <xf borderId="15" fillId="0" fontId="11" numFmtId="2" xfId="0" applyAlignment="1" applyBorder="1" applyFont="1" applyNumberFormat="1">
      <alignment horizontal="center" readingOrder="0" vertical="bottom"/>
    </xf>
    <xf borderId="14" fillId="0" fontId="11" numFmtId="2" xfId="0" applyAlignment="1" applyBorder="1" applyFont="1" applyNumberFormat="1">
      <alignment horizontal="center" readingOrder="0" vertical="bottom"/>
    </xf>
    <xf borderId="14" fillId="0" fontId="6" numFmtId="2" xfId="0" applyAlignment="1" applyBorder="1" applyFont="1" applyNumberFormat="1">
      <alignment horizontal="center" readingOrder="0" vertical="bottom"/>
    </xf>
    <xf borderId="14" fillId="0" fontId="18" numFmtId="2" xfId="0" applyAlignment="1" applyBorder="1" applyFont="1" applyNumberFormat="1">
      <alignment horizontal="center" readingOrder="0" vertical="bottom"/>
    </xf>
    <xf borderId="15" fillId="0" fontId="2" numFmtId="0" xfId="0" applyAlignment="1" applyBorder="1" applyFont="1">
      <alignment readingOrder="0" vertical="bottom"/>
    </xf>
    <xf borderId="7" fillId="8" fontId="11" numFmtId="2" xfId="0" applyAlignment="1" applyBorder="1" applyFont="1" applyNumberFormat="1">
      <alignment horizontal="center"/>
    </xf>
    <xf borderId="7" fillId="8" fontId="6" numFmtId="0" xfId="0" applyAlignment="1" applyBorder="1" applyFont="1">
      <alignment horizontal="center" shrinkToFit="0" wrapText="1"/>
    </xf>
    <xf borderId="7" fillId="16" fontId="2" numFmtId="2" xfId="0" applyAlignment="1" applyBorder="1" applyFont="1" applyNumberFormat="1">
      <alignment horizontal="right" vertical="bottom"/>
    </xf>
    <xf borderId="6" fillId="16" fontId="15" numFmtId="2" xfId="0" applyAlignment="1" applyBorder="1" applyFont="1" applyNumberFormat="1">
      <alignment horizontal="right" vertical="bottom"/>
    </xf>
    <xf borderId="6" fillId="0" fontId="15" numFmtId="2" xfId="0" applyAlignment="1" applyBorder="1" applyFont="1" applyNumberFormat="1">
      <alignment horizontal="right" vertical="bottom"/>
    </xf>
    <xf borderId="19" fillId="0" fontId="2" numFmtId="0" xfId="0" applyAlignment="1" applyBorder="1" applyFont="1">
      <alignment vertical="bottom"/>
    </xf>
    <xf borderId="19" fillId="16" fontId="2" numFmtId="2" xfId="0" applyAlignment="1" applyBorder="1" applyFont="1" applyNumberFormat="1">
      <alignment horizontal="center" vertical="bottom"/>
    </xf>
    <xf borderId="7" fillId="0" fontId="15" numFmtId="2" xfId="0" applyAlignment="1" applyBorder="1" applyFont="1" applyNumberFormat="1">
      <alignment horizontal="right" vertical="bottom"/>
    </xf>
    <xf borderId="21" fillId="17" fontId="3" numFmtId="0" xfId="0" applyAlignment="1" applyBorder="1" applyFill="1" applyFont="1">
      <alignment readingOrder="0" shrinkToFit="0" vertical="bottom" wrapText="1"/>
    </xf>
    <xf borderId="20" fillId="16" fontId="15" numFmtId="0" xfId="0" applyAlignment="1" applyBorder="1" applyFont="1">
      <alignment horizontal="right" shrinkToFit="0" vertical="bottom" wrapText="1"/>
    </xf>
    <xf borderId="21" fillId="16" fontId="15" numFmtId="2" xfId="0" applyAlignment="1" applyBorder="1" applyFont="1" applyNumberFormat="1">
      <alignment vertical="bottom"/>
    </xf>
    <xf borderId="0" fillId="16" fontId="15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1"/>
    </xf>
    <xf borderId="6" fillId="0" fontId="15" numFmtId="0" xfId="0" applyAlignment="1" applyBorder="1" applyFont="1">
      <alignment horizontal="center"/>
    </xf>
    <xf borderId="9" fillId="0" fontId="15" numFmtId="0" xfId="0" applyAlignment="1" applyBorder="1" applyFont="1">
      <alignment horizontal="center" shrinkToFit="0" wrapText="1"/>
    </xf>
    <xf borderId="0" fillId="0" fontId="15" numFmtId="0" xfId="0" applyAlignment="1" applyFont="1">
      <alignment horizontal="center" readingOrder="0" shrinkToFit="0" wrapText="1"/>
    </xf>
    <xf borderId="6" fillId="0" fontId="15" numFmtId="0" xfId="0" applyAlignment="1" applyBorder="1" applyFont="1">
      <alignment horizontal="center" readingOrder="0" shrinkToFit="0" wrapText="1"/>
    </xf>
    <xf borderId="0" fillId="0" fontId="15" numFmtId="0" xfId="0" applyAlignment="1" applyFont="1">
      <alignment horizontal="center" readingOrder="0" shrinkToFit="0" wrapText="1"/>
    </xf>
    <xf borderId="9" fillId="0" fontId="15" numFmtId="0" xfId="0" applyAlignment="1" applyBorder="1" applyFont="1">
      <alignment horizontal="center"/>
    </xf>
    <xf borderId="8" fillId="0" fontId="15" numFmtId="0" xfId="0" applyAlignment="1" applyBorder="1" applyFont="1">
      <alignment horizontal="right" shrinkToFit="0" wrapText="1"/>
    </xf>
    <xf borderId="0" fillId="8" fontId="2" numFmtId="2" xfId="0" applyAlignment="1" applyFont="1" applyNumberFormat="1">
      <alignment horizontal="center" vertical="center"/>
    </xf>
    <xf borderId="0" fillId="8" fontId="6" numFmtId="2" xfId="0" applyAlignment="1" applyFont="1" applyNumberFormat="1">
      <alignment horizontal="center" vertical="center"/>
    </xf>
    <xf borderId="0" fillId="8" fontId="2" numFmtId="0" xfId="0" applyAlignment="1" applyFont="1">
      <alignment horizontal="center" vertical="center"/>
    </xf>
    <xf borderId="6" fillId="8" fontId="2" numFmtId="0" xfId="0" applyAlignment="1" applyBorder="1" applyFont="1">
      <alignment horizontal="center" vertical="center"/>
    </xf>
    <xf borderId="6" fillId="8" fontId="2" numFmtId="2" xfId="0" applyAlignment="1" applyBorder="1" applyFont="1" applyNumberFormat="1">
      <alignment horizontal="center" vertical="center"/>
    </xf>
    <xf borderId="6" fillId="8" fontId="6" numFmtId="2" xfId="0" applyAlignment="1" applyBorder="1" applyFont="1" applyNumberFormat="1">
      <alignment horizontal="center" readingOrder="0" vertical="center"/>
    </xf>
    <xf borderId="9" fillId="8" fontId="2" numFmtId="0" xfId="0" applyAlignment="1" applyBorder="1" applyFont="1">
      <alignment horizontal="center" vertical="center"/>
    </xf>
    <xf borderId="0" fillId="8" fontId="11" numFmtId="0" xfId="0" applyAlignment="1" applyFont="1">
      <alignment horizontal="center" vertical="center"/>
    </xf>
    <xf borderId="0" fillId="8" fontId="6" numFmtId="2" xfId="0" applyAlignment="1" applyFont="1" applyNumberFormat="1">
      <alignment horizontal="center" readingOrder="0" vertical="center"/>
    </xf>
    <xf borderId="0" fillId="18" fontId="11" numFmtId="0" xfId="0" applyAlignment="1" applyFill="1" applyFont="1">
      <alignment horizontal="center" readingOrder="0" vertical="center"/>
    </xf>
    <xf borderId="27" fillId="0" fontId="2" numFmtId="2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2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bottom"/>
    </xf>
    <xf borderId="0" fillId="12" fontId="1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9" fillId="0" fontId="2" numFmtId="0" xfId="0" applyAlignment="1" applyBorder="1" applyFont="1">
      <alignment readingOrder="0" shrinkToFit="0" vertical="center" wrapText="1"/>
    </xf>
    <xf borderId="27" fillId="0" fontId="4" numFmtId="0" xfId="0" applyBorder="1" applyFont="1"/>
    <xf borderId="0" fillId="18" fontId="11" numFmtId="0" xfId="0" applyAlignment="1" applyFont="1">
      <alignment horizontal="center" readingOrder="0" vertical="bottom"/>
    </xf>
    <xf borderId="0" fillId="8" fontId="17" numFmtId="0" xfId="0" applyAlignment="1" applyFont="1">
      <alignment horizontal="center" readingOrder="0" shrinkToFit="0" vertical="center" wrapText="1"/>
    </xf>
    <xf borderId="27" fillId="15" fontId="2" numFmtId="0" xfId="0" applyAlignment="1" applyBorder="1" applyFont="1">
      <alignment horizontal="center" vertical="bottom"/>
    </xf>
    <xf borderId="0" fillId="15" fontId="2" numFmtId="2" xfId="0" applyAlignment="1" applyFont="1" applyNumberFormat="1">
      <alignment horizontal="center" vertical="center"/>
    </xf>
    <xf borderId="6" fillId="15" fontId="2" numFmtId="0" xfId="0" applyAlignment="1" applyBorder="1" applyFont="1">
      <alignment horizontal="center" vertical="center"/>
    </xf>
    <xf borderId="6" fillId="15" fontId="2" numFmtId="2" xfId="0" applyAlignment="1" applyBorder="1" applyFont="1" applyNumberFormat="1">
      <alignment horizontal="center" vertical="center"/>
    </xf>
    <xf borderId="9" fillId="15" fontId="2" numFmtId="0" xfId="0" applyAlignment="1" applyBorder="1" applyFont="1">
      <alignment horizontal="center" vertical="center"/>
    </xf>
    <xf borderId="0" fillId="15" fontId="11" numFmtId="0" xfId="0" applyAlignment="1" applyFont="1">
      <alignment horizontal="center" readingOrder="0" vertical="center"/>
    </xf>
    <xf borderId="6" fillId="15" fontId="11" numFmtId="0" xfId="0" applyAlignment="1" applyBorder="1" applyFont="1">
      <alignment horizontal="center" readingOrder="0" vertical="center"/>
    </xf>
    <xf borderId="0" fillId="15" fontId="6" numFmtId="2" xfId="0" applyAlignment="1" applyFont="1" applyNumberFormat="1">
      <alignment horizontal="center" readingOrder="0" vertical="center"/>
    </xf>
    <xf borderId="0" fillId="19" fontId="11" numFmtId="0" xfId="0" applyAlignment="1" applyFill="1" applyFont="1">
      <alignment horizontal="center" readingOrder="0" vertical="center"/>
    </xf>
    <xf borderId="0" fillId="15" fontId="2" numFmtId="0" xfId="0" applyAlignment="1" applyFont="1">
      <alignment horizontal="center" readingOrder="0" vertical="center"/>
    </xf>
    <xf borderId="6" fillId="15" fontId="2" numFmtId="0" xfId="0" applyAlignment="1" applyBorder="1" applyFont="1">
      <alignment horizontal="center" readingOrder="0" vertical="center"/>
    </xf>
    <xf borderId="9" fillId="8" fontId="2" numFmtId="0" xfId="0" applyAlignment="1" applyBorder="1" applyFont="1">
      <alignment readingOrder="0" shrinkToFit="0" vertical="center" wrapText="1"/>
    </xf>
    <xf borderId="0" fillId="12" fontId="11" numFmtId="0" xfId="0" applyAlignment="1" applyFont="1">
      <alignment horizontal="center" readingOrder="0" vertical="center"/>
    </xf>
    <xf borderId="6" fillId="0" fontId="11" numFmtId="0" xfId="0" applyAlignment="1" applyBorder="1" applyFon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6" fillId="0" fontId="6" numFmtId="0" xfId="0" applyAlignment="1" applyBorder="1" applyFont="1">
      <alignment horizontal="center" vertical="center"/>
    </xf>
    <xf borderId="0" fillId="0" fontId="11" numFmtId="0" xfId="0" applyAlignment="1" applyFont="1">
      <alignment horizontal="center" readingOrder="0"/>
    </xf>
    <xf borderId="0" fillId="18" fontId="11" numFmtId="0" xfId="0" applyAlignment="1" applyFont="1">
      <alignment horizontal="center" readingOrder="0"/>
    </xf>
    <xf borderId="0" fillId="12" fontId="11" numFmtId="0" xfId="0" applyAlignment="1" applyFont="1">
      <alignment horizontal="center" readingOrder="0"/>
    </xf>
    <xf borderId="0" fillId="15" fontId="11" numFmtId="2" xfId="0" applyAlignment="1" applyFont="1" applyNumberFormat="1">
      <alignment horizontal="center" vertical="center"/>
    </xf>
    <xf borderId="0" fillId="15" fontId="6" numFmtId="2" xfId="0" applyAlignment="1" applyFont="1" applyNumberFormat="1">
      <alignment horizontal="center" vertical="center"/>
    </xf>
    <xf borderId="6" fillId="15" fontId="11" numFmtId="2" xfId="0" applyAlignment="1" applyBorder="1" applyFont="1" applyNumberFormat="1">
      <alignment horizontal="center" vertical="center"/>
    </xf>
    <xf borderId="0" fillId="15" fontId="11" numFmtId="0" xfId="0" applyAlignment="1" applyFont="1">
      <alignment horizontal="center" readingOrder="0" vertical="bottom"/>
    </xf>
    <xf borderId="0" fillId="15" fontId="2" numFmtId="0" xfId="0" applyAlignment="1" applyFont="1">
      <alignment horizontal="center" vertical="center"/>
    </xf>
    <xf borderId="6" fillId="0" fontId="1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0" fontId="2" numFmtId="2" xfId="0" applyAlignment="1" applyBorder="1" applyFont="1" applyNumberFormat="1">
      <alignment horizontal="center" vertical="bottom"/>
    </xf>
    <xf borderId="6" fillId="0" fontId="6" numFmtId="2" xfId="0" applyAlignment="1" applyBorder="1" applyFont="1" applyNumberFormat="1">
      <alignment horizontal="center" readingOrder="0" vertical="bottom"/>
    </xf>
    <xf borderId="9" fillId="0" fontId="2" numFmtId="0" xfId="0" applyAlignment="1" applyBorder="1" applyFont="1">
      <alignment horizontal="center" vertical="bottom"/>
    </xf>
    <xf borderId="0" fillId="15" fontId="9" numFmtId="0" xfId="0" applyAlignment="1" applyFont="1">
      <alignment horizontal="center" readingOrder="0" vertical="center"/>
    </xf>
    <xf borderId="0" fillId="15" fontId="17" numFmtId="0" xfId="0" applyAlignment="1" applyFont="1">
      <alignment horizontal="center" readingOrder="0" shrinkToFit="0" vertical="center" wrapText="1"/>
    </xf>
    <xf borderId="0" fillId="15" fontId="2" numFmtId="2" xfId="0" applyAlignment="1" applyFont="1" applyNumberFormat="1">
      <alignment horizontal="center" vertical="bottom"/>
    </xf>
    <xf borderId="6" fillId="15" fontId="2" numFmtId="2" xfId="0" applyAlignment="1" applyBorder="1" applyFont="1" applyNumberFormat="1">
      <alignment horizontal="center" vertical="bottom"/>
    </xf>
    <xf borderId="6" fillId="15" fontId="2" numFmtId="0" xfId="0" applyAlignment="1" applyBorder="1" applyFont="1">
      <alignment horizontal="center" vertical="bottom"/>
    </xf>
    <xf borderId="0" fillId="15" fontId="11" numFmtId="2" xfId="0" applyAlignment="1" applyFont="1" applyNumberForma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9" numFmtId="2" xfId="0" applyAlignment="1" applyFont="1" applyNumberFormat="1">
      <alignment readingOrder="0"/>
    </xf>
    <xf borderId="6" fillId="15" fontId="2" numFmtId="2" xfId="0" applyAlignment="1" applyBorder="1" applyFont="1" applyNumberFormat="1">
      <alignment horizontal="center"/>
    </xf>
    <xf borderId="6" fillId="15" fontId="2" numFmtId="0" xfId="0" applyAlignment="1" applyBorder="1" applyFont="1">
      <alignment horizontal="center" readingOrder="0" shrinkToFit="0" wrapText="1"/>
    </xf>
    <xf borderId="9" fillId="15" fontId="2" numFmtId="0" xfId="0" applyAlignment="1" applyBorder="1" applyFont="1">
      <alignment horizontal="center" readingOrder="0"/>
    </xf>
    <xf borderId="6" fillId="15" fontId="11" numFmtId="2" xfId="0" applyAlignment="1" applyBorder="1" applyFont="1" applyNumberFormat="1">
      <alignment horizontal="center" readingOrder="0" vertical="center"/>
    </xf>
    <xf borderId="14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5" fillId="0" fontId="2" numFmtId="2" xfId="0" applyAlignment="1" applyBorder="1" applyFont="1" applyNumberFormat="1">
      <alignment horizontal="center"/>
    </xf>
    <xf borderId="15" fillId="0" fontId="2" numFmtId="0" xfId="0" applyAlignment="1" applyBorder="1" applyFont="1">
      <alignment horizontal="center" shrinkToFit="0" vertical="bottom" wrapText="1"/>
    </xf>
    <xf borderId="17" fillId="0" fontId="19" numFmtId="0" xfId="0" applyAlignment="1" applyBorder="1" applyFont="1">
      <alignment horizontal="center" shrinkToFit="0" vertical="bottom" wrapText="1"/>
    </xf>
    <xf borderId="14" fillId="0" fontId="11" numFmtId="2" xfId="0" applyAlignment="1" applyBorder="1" applyFont="1" applyNumberFormat="1">
      <alignment horizontal="center"/>
    </xf>
    <xf borderId="15" fillId="0" fontId="11" numFmtId="2" xfId="0" applyAlignment="1" applyBorder="1" applyFont="1" applyNumberFormat="1">
      <alignment horizontal="center" readingOrder="0"/>
    </xf>
    <xf borderId="14" fillId="0" fontId="11" numFmtId="2" xfId="0" applyAlignment="1" applyBorder="1" applyFont="1" applyNumberFormat="1">
      <alignment horizontal="center" readingOrder="0"/>
    </xf>
    <xf borderId="14" fillId="0" fontId="6" numFmtId="2" xfId="0" applyAlignment="1" applyBorder="1" applyFont="1" applyNumberFormat="1">
      <alignment horizontal="center" readingOrder="0"/>
    </xf>
    <xf borderId="14" fillId="0" fontId="4" numFmtId="0" xfId="0" applyBorder="1" applyFont="1"/>
    <xf borderId="21" fillId="0" fontId="2" numFmtId="0" xfId="0" applyAlignment="1" applyBorder="1" applyFont="1">
      <alignment horizontal="right" readingOrder="0" vertical="bottom"/>
    </xf>
    <xf borderId="19" fillId="0" fontId="2" numFmtId="2" xfId="0" applyAlignment="1" applyBorder="1" applyFont="1" applyNumberFormat="1">
      <alignment horizontal="center" vertical="bottom"/>
    </xf>
    <xf borderId="20" fillId="0" fontId="15" numFmtId="0" xfId="0" applyAlignment="1" applyBorder="1" applyFont="1">
      <alignment readingOrder="0" shrinkToFit="0" vertical="bottom" wrapText="1"/>
    </xf>
    <xf borderId="7" fillId="0" fontId="15" numFmtId="2" xfId="0" applyAlignment="1" applyBorder="1" applyFont="1" applyNumberFormat="1">
      <alignment vertical="bottom"/>
    </xf>
    <xf borderId="21" fillId="0" fontId="15" numFmtId="2" xfId="0" applyAlignment="1" applyBorder="1" applyFont="1" applyNumberFormat="1">
      <alignment vertical="bottom"/>
    </xf>
    <xf borderId="24" fillId="0" fontId="15" numFmtId="0" xfId="0" applyAlignment="1" applyBorder="1" applyFont="1">
      <alignment vertical="bottom"/>
    </xf>
    <xf borderId="28" fillId="0" fontId="15" numFmtId="2" xfId="0" applyAlignment="1" applyBorder="1" applyFont="1" applyNumberFormat="1">
      <alignment shrinkToFit="0" vertical="bottom" wrapText="1"/>
    </xf>
    <xf borderId="0" fillId="0" fontId="17" numFmtId="0" xfId="0" applyAlignment="1" applyFont="1">
      <alignment readingOrder="0" shrinkToFit="0" wrapText="1"/>
    </xf>
    <xf borderId="0" fillId="0" fontId="17" numFmtId="0" xfId="0" applyAlignment="1" applyFont="1">
      <alignment readingOrder="0"/>
    </xf>
    <xf borderId="0" fillId="12" fontId="8" numFmtId="0" xfId="0" applyAlignment="1" applyFont="1">
      <alignment horizontal="center" readingOrder="0"/>
    </xf>
    <xf borderId="0" fillId="14" fontId="8" numFmtId="0" xfId="0" applyAlignment="1" applyFont="1">
      <alignment horizontal="center" readingOrder="0"/>
    </xf>
    <xf borderId="29" fillId="0" fontId="2" numFmtId="0" xfId="0" applyAlignment="1" applyBorder="1" applyFont="1">
      <alignment vertical="bottom"/>
    </xf>
    <xf borderId="10" fillId="0" fontId="8" numFmtId="0" xfId="0" applyAlignment="1" applyBorder="1" applyFont="1">
      <alignment horizontal="center" readingOrder="0" vertical="center"/>
    </xf>
    <xf borderId="30" fillId="0" fontId="8" numFmtId="0" xfId="0" applyAlignment="1" applyBorder="1" applyFont="1">
      <alignment horizontal="center" readingOrder="0" shrinkToFit="0" vertical="center" wrapText="1"/>
    </xf>
    <xf borderId="31" fillId="0" fontId="4" numFmtId="0" xfId="0" applyBorder="1" applyFont="1"/>
    <xf borderId="11" fillId="0" fontId="8" numFmtId="0" xfId="0" applyAlignment="1" applyBorder="1" applyFont="1">
      <alignment horizontal="center" readingOrder="0" shrinkToFit="0" vertical="center" wrapText="1"/>
    </xf>
    <xf borderId="30" fillId="0" fontId="8" numFmtId="0" xfId="0" applyAlignment="1" applyBorder="1" applyFont="1">
      <alignment horizontal="center" readingOrder="0" vertical="center"/>
    </xf>
    <xf borderId="32" fillId="0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vertical="center"/>
    </xf>
    <xf borderId="8" fillId="0" fontId="15" numFmtId="0" xfId="0" applyAlignment="1" applyBorder="1" applyFont="1">
      <alignment horizontal="right" shrinkToFit="0" vertical="center" wrapText="1"/>
    </xf>
    <xf borderId="13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27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27" fillId="0" fontId="4" numFmtId="0" xfId="0" applyAlignment="1" applyBorder="1" applyFont="1">
      <alignment vertical="center"/>
    </xf>
    <xf borderId="27" fillId="0" fontId="8" numFmtId="0" xfId="0" applyAlignment="1" applyBorder="1" applyFont="1">
      <alignment vertical="center"/>
    </xf>
    <xf borderId="33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0" fillId="15" fontId="9" numFmtId="0" xfId="0" applyAlignment="1" applyFont="1">
      <alignment horizontal="center" readingOrder="0"/>
    </xf>
    <xf borderId="0" fillId="15" fontId="17" numFmtId="0" xfId="0" applyAlignment="1" applyFont="1">
      <alignment horizontal="center" readingOrder="0"/>
    </xf>
    <xf borderId="27" fillId="8" fontId="9" numFmtId="0" xfId="0" applyAlignment="1" applyBorder="1" applyFont="1">
      <alignment horizontal="center" readingOrder="0"/>
    </xf>
    <xf borderId="0" fillId="8" fontId="9" numFmtId="2" xfId="0" applyAlignment="1" applyFont="1" applyNumberFormat="1">
      <alignment horizontal="center" readingOrder="0" shrinkToFit="0" wrapText="1"/>
    </xf>
    <xf borderId="6" fillId="8" fontId="17" numFmtId="0" xfId="0" applyAlignment="1" applyBorder="1" applyFont="1">
      <alignment horizontal="center" readingOrder="0"/>
    </xf>
    <xf borderId="27" fillId="8" fontId="4" numFmtId="2" xfId="0" applyAlignment="1" applyBorder="1" applyFont="1" applyNumberFormat="1">
      <alignment readingOrder="0"/>
    </xf>
    <xf borderId="27" fillId="8" fontId="17" numFmtId="2" xfId="0" applyAlignment="1" applyBorder="1" applyFont="1" applyNumberFormat="1">
      <alignment readingOrder="0"/>
    </xf>
    <xf borderId="27" fillId="8" fontId="9" numFmtId="0" xfId="0" applyAlignment="1" applyBorder="1" applyFont="1">
      <alignment readingOrder="0"/>
    </xf>
    <xf borderId="33" fillId="8" fontId="9" numFmtId="0" xfId="0" applyAlignment="1" applyBorder="1" applyFont="1">
      <alignment readingOrder="0"/>
    </xf>
    <xf borderId="0" fillId="8" fontId="9" numFmtId="0" xfId="0" applyAlignment="1" applyFont="1">
      <alignment readingOrder="0"/>
    </xf>
    <xf borderId="0" fillId="8" fontId="9" numFmtId="0" xfId="0" applyAlignment="1" applyFont="1">
      <alignment horizontal="center" readingOrder="0"/>
    </xf>
    <xf borderId="0" fillId="8" fontId="17" numFmtId="2" xfId="0" applyAlignment="1" applyFont="1" applyNumberFormat="1">
      <alignment horizontal="center" readingOrder="0" shrinkToFit="0" wrapText="1"/>
    </xf>
    <xf borderId="0" fillId="8" fontId="17" numFmtId="0" xfId="0" applyAlignment="1" applyFont="1">
      <alignment horizontal="center" readingOrder="0"/>
    </xf>
    <xf borderId="33" fillId="8" fontId="4" numFmtId="2" xfId="0" applyAlignment="1" applyBorder="1" applyFont="1" applyNumberFormat="1">
      <alignment readingOrder="0"/>
    </xf>
    <xf borderId="0" fillId="0" fontId="9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27" fillId="0" fontId="9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/>
    </xf>
    <xf borderId="27" fillId="0" fontId="4" numFmtId="2" xfId="0" applyAlignment="1" applyBorder="1" applyFont="1" applyNumberFormat="1">
      <alignment readingOrder="0"/>
    </xf>
    <xf borderId="27" fillId="0" fontId="17" numFmtId="2" xfId="0" applyAlignment="1" applyBorder="1" applyFont="1" applyNumberFormat="1">
      <alignment readingOrder="0"/>
    </xf>
    <xf borderId="27" fillId="0" fontId="9" numFmtId="0" xfId="0" applyAlignment="1" applyBorder="1" applyFont="1">
      <alignment readingOrder="0"/>
    </xf>
    <xf borderId="33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33" fillId="0" fontId="4" numFmtId="2" xfId="0" applyAlignment="1" applyBorder="1" applyFont="1" applyNumberFormat="1">
      <alignment readingOrder="0"/>
    </xf>
    <xf borderId="27" fillId="15" fontId="20" numFmtId="0" xfId="0" applyAlignment="1" applyBorder="1" applyFont="1">
      <alignment horizontal="center" readingOrder="0" shrinkToFit="0" wrapText="1"/>
    </xf>
    <xf borderId="0" fillId="15" fontId="9" numFmtId="2" xfId="0" applyAlignment="1" applyFont="1" applyNumberFormat="1">
      <alignment horizontal="center" readingOrder="0"/>
    </xf>
    <xf borderId="6" fillId="15" fontId="17" numFmtId="0" xfId="0" applyAlignment="1" applyBorder="1" applyFont="1">
      <alignment horizontal="center" readingOrder="0"/>
    </xf>
    <xf borderId="27" fillId="15" fontId="4" numFmtId="2" xfId="0" applyAlignment="1" applyBorder="1" applyFont="1" applyNumberFormat="1">
      <alignment readingOrder="0"/>
    </xf>
    <xf borderId="27" fillId="15" fontId="9" numFmtId="0" xfId="0" applyAlignment="1" applyBorder="1" applyFont="1">
      <alignment readingOrder="0"/>
    </xf>
    <xf borderId="33" fillId="15" fontId="9" numFmtId="0" xfId="0" applyAlignment="1" applyBorder="1" applyFont="1">
      <alignment readingOrder="0"/>
    </xf>
    <xf borderId="0" fillId="15" fontId="9" numFmtId="0" xfId="0" applyAlignment="1" applyFont="1">
      <alignment readingOrder="0"/>
    </xf>
    <xf borderId="0" fillId="15" fontId="20" numFmtId="0" xfId="0" applyAlignment="1" applyFont="1">
      <alignment horizontal="center" readingOrder="0" shrinkToFit="0" wrapText="1"/>
    </xf>
    <xf borderId="0" fillId="15" fontId="17" numFmtId="2" xfId="0" applyAlignment="1" applyFont="1" applyNumberFormat="1">
      <alignment horizontal="center" readingOrder="0"/>
    </xf>
    <xf borderId="0" fillId="20" fontId="9" numFmtId="0" xfId="0" applyAlignment="1" applyFill="1" applyFont="1">
      <alignment horizontal="center" readingOrder="0"/>
    </xf>
    <xf borderId="33" fillId="15" fontId="4" numFmtId="2" xfId="0" applyAlignment="1" applyBorder="1" applyFont="1" applyNumberFormat="1">
      <alignment readingOrder="0"/>
    </xf>
    <xf borderId="9" fillId="0" fontId="21" numFmtId="0" xfId="0" applyAlignment="1" applyBorder="1" applyFont="1">
      <alignment readingOrder="0"/>
    </xf>
    <xf borderId="6" fillId="0" fontId="9" numFmtId="2" xfId="0" applyAlignment="1" applyBorder="1" applyFont="1" applyNumberFormat="1">
      <alignment horizontal="center" readingOrder="0" vertical="center"/>
    </xf>
    <xf borderId="6" fillId="0" fontId="17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readingOrder="0"/>
    </xf>
    <xf borderId="33" fillId="0" fontId="4" numFmtId="0" xfId="0" applyAlignment="1" applyBorder="1" applyFont="1">
      <alignment readingOrder="0" shrinkToFit="0" wrapText="1"/>
    </xf>
    <xf borderId="27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13" fillId="15" fontId="9" numFmtId="0" xfId="0" applyAlignment="1" applyBorder="1" applyFont="1">
      <alignment horizontal="center" readingOrder="0"/>
    </xf>
    <xf borderId="27" fillId="15" fontId="9" numFmtId="0" xfId="0" applyAlignment="1" applyBorder="1" applyFont="1">
      <alignment horizontal="center" readingOrder="0"/>
    </xf>
    <xf borderId="27" fillId="15" fontId="4" numFmtId="2" xfId="0" applyAlignment="1" applyBorder="1" applyFont="1" applyNumberFormat="1">
      <alignment readingOrder="0" vertical="center"/>
    </xf>
    <xf borderId="27" fillId="15" fontId="17" numFmtId="2" xfId="0" applyAlignment="1" applyBorder="1" applyFont="1" applyNumberFormat="1">
      <alignment horizontal="right" readingOrder="0" vertical="center"/>
    </xf>
    <xf borderId="33" fillId="15" fontId="9" numFmtId="2" xfId="0" applyAlignment="1" applyBorder="1" applyFont="1" applyNumberFormat="1">
      <alignment horizontal="center" readingOrder="0" vertical="center"/>
    </xf>
    <xf borderId="33" fillId="0" fontId="4" numFmtId="0" xfId="0" applyBorder="1" applyFont="1"/>
    <xf borderId="0" fillId="0" fontId="9" numFmtId="2" xfId="0" applyAlignment="1" applyFont="1" applyNumberFormat="1">
      <alignment horizontal="center" readingOrder="0"/>
    </xf>
    <xf borderId="27" fillId="0" fontId="9" numFmtId="2" xfId="0" applyAlignment="1" applyBorder="1" applyFont="1" applyNumberFormat="1">
      <alignment horizontal="center" readingOrder="0"/>
    </xf>
    <xf borderId="33" fillId="0" fontId="9" numFmtId="2" xfId="0" applyAlignment="1" applyBorder="1" applyFont="1" applyNumberFormat="1">
      <alignment horizontal="center" readingOrder="0"/>
    </xf>
    <xf borderId="27" fillId="15" fontId="9" numFmtId="2" xfId="0" applyAlignment="1" applyBorder="1" applyFont="1" applyNumberFormat="1">
      <alignment horizontal="center" readingOrder="0"/>
    </xf>
    <xf borderId="6" fillId="15" fontId="9" numFmtId="2" xfId="0" applyAlignment="1" applyBorder="1" applyFont="1" applyNumberFormat="1">
      <alignment horizontal="center" readingOrder="0"/>
    </xf>
    <xf borderId="6" fillId="15" fontId="17" numFmtId="2" xfId="0" applyAlignment="1" applyBorder="1" applyFont="1" applyNumberFormat="1">
      <alignment horizontal="center" readingOrder="0"/>
    </xf>
    <xf borderId="27" fillId="15" fontId="4" numFmtId="0" xfId="0" applyBorder="1" applyFont="1"/>
    <xf borderId="33" fillId="15" fontId="4" numFmtId="0" xfId="0" applyBorder="1" applyFont="1"/>
    <xf borderId="0" fillId="20" fontId="9" numFmtId="2" xfId="0" applyAlignment="1" applyFont="1" applyNumberFormat="1">
      <alignment horizontal="center" readingOrder="0"/>
    </xf>
    <xf borderId="33" fillId="15" fontId="9" numFmtId="2" xfId="0" applyAlignment="1" applyBorder="1" applyFont="1" applyNumberFormat="1">
      <alignment horizontal="center" readingOrder="0"/>
    </xf>
    <xf borderId="0" fillId="17" fontId="9" numFmtId="0" xfId="0" applyAlignment="1" applyFont="1">
      <alignment readingOrder="0"/>
    </xf>
    <xf borderId="27" fillId="15" fontId="9" numFmtId="0" xfId="0" applyAlignment="1" applyBorder="1" applyFont="1">
      <alignment horizontal="center" readingOrder="0" vertical="center"/>
    </xf>
    <xf borderId="6" fillId="15" fontId="17" numFmtId="0" xfId="0" applyAlignment="1" applyBorder="1" applyFont="1">
      <alignment horizontal="center" readingOrder="0" vertical="center"/>
    </xf>
    <xf borderId="0" fillId="15" fontId="17" numFmtId="0" xfId="0" applyAlignment="1" applyFont="1">
      <alignment horizontal="center" readingOrder="0" vertical="center"/>
    </xf>
    <xf borderId="0" fillId="20" fontId="9" numFmtId="0" xfId="0" applyAlignment="1" applyFont="1">
      <alignment horizontal="center" readingOrder="0" vertical="center"/>
    </xf>
    <xf borderId="33" fillId="0" fontId="4" numFmtId="0" xfId="0" applyAlignment="1" applyBorder="1" applyFont="1">
      <alignment readingOrder="0"/>
    </xf>
    <xf borderId="27" fillId="8" fontId="17" numFmtId="2" xfId="0" applyAlignment="1" applyBorder="1" applyFont="1" applyNumberFormat="1">
      <alignment readingOrder="0" vertical="center"/>
    </xf>
    <xf borderId="27" fillId="15" fontId="4" numFmtId="0" xfId="0" applyAlignment="1" applyBorder="1" applyFont="1">
      <alignment readingOrder="0" shrinkToFit="0" vertical="center" wrapText="1"/>
    </xf>
    <xf borderId="33" fillId="15" fontId="4" numFmtId="0" xfId="0" applyAlignment="1" applyBorder="1" applyFont="1">
      <alignment readingOrder="0" vertical="center"/>
    </xf>
    <xf borderId="0" fillId="15" fontId="9" numFmtId="2" xfId="0" applyAlignment="1" applyFont="1" applyNumberFormat="1">
      <alignment horizontal="right" readingOrder="0" vertical="center"/>
    </xf>
    <xf borderId="0" fillId="12" fontId="9" numFmtId="0" xfId="0" applyAlignment="1" applyFont="1">
      <alignment horizontal="center" readingOrder="0" vertical="center"/>
    </xf>
    <xf borderId="0" fillId="18" fontId="9" numFmtId="2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shrinkToFit="0" wrapText="1"/>
    </xf>
    <xf borderId="27" fillId="0" fontId="4" numFmtId="2" xfId="0" applyAlignment="1" applyBorder="1" applyFont="1" applyNumberFormat="1">
      <alignment readingOrder="0" vertical="center"/>
    </xf>
    <xf borderId="27" fillId="0" fontId="4" numFmtId="0" xfId="0" applyAlignment="1" applyBorder="1" applyFont="1">
      <alignment readingOrder="0" shrinkToFit="0" wrapText="1"/>
    </xf>
    <xf borderId="33" fillId="0" fontId="21" numFmtId="0" xfId="0" applyAlignment="1" applyBorder="1" applyFont="1">
      <alignment readingOrder="0" shrinkToFit="0" wrapText="1"/>
    </xf>
    <xf borderId="0" fillId="0" fontId="9" numFmtId="2" xfId="0" applyAlignment="1" applyFont="1" applyNumberFormat="1">
      <alignment readingOrder="0" vertical="center"/>
    </xf>
    <xf borderId="33" fillId="0" fontId="9" numFmtId="2" xfId="0" applyAlignment="1" applyBorder="1" applyFont="1" applyNumberFormat="1">
      <alignment horizontal="center" readingOrder="0" vertical="center"/>
    </xf>
    <xf borderId="9" fillId="0" fontId="21" numFmtId="0" xfId="0" applyAlignment="1" applyBorder="1" applyFont="1">
      <alignment readingOrder="0" shrinkToFit="0" vertical="center" wrapText="1"/>
    </xf>
    <xf borderId="27" fillId="0" fontId="9" numFmtId="2" xfId="0" applyAlignment="1" applyBorder="1" applyFont="1" applyNumberFormat="1">
      <alignment horizontal="center" readingOrder="0" vertical="center"/>
    </xf>
    <xf borderId="0" fillId="18" fontId="9" numFmtId="0" xfId="0" applyAlignment="1" applyFont="1">
      <alignment horizontal="center" readingOrder="0" vertical="center"/>
    </xf>
    <xf borderId="34" fillId="0" fontId="4" numFmtId="0" xfId="0" applyBorder="1" applyFont="1"/>
    <xf borderId="35" fillId="0" fontId="4" numFmtId="0" xfId="0" applyBorder="1" applyFont="1"/>
    <xf borderId="35" fillId="16" fontId="8" numFmtId="2" xfId="0" applyBorder="1" applyFont="1" applyNumberFormat="1"/>
    <xf borderId="36" fillId="0" fontId="4" numFmtId="2" xfId="0" applyBorder="1" applyFont="1" applyNumberFormat="1"/>
    <xf borderId="35" fillId="0" fontId="4" numFmtId="2" xfId="0" applyBorder="1" applyFont="1" applyNumberFormat="1"/>
    <xf borderId="37" fillId="16" fontId="8" numFmtId="2" xfId="0" applyBorder="1" applyFont="1" applyNumberFormat="1"/>
    <xf borderId="35" fillId="0" fontId="8" numFmtId="2" xfId="0" applyBorder="1" applyFont="1" applyNumberFormat="1"/>
    <xf borderId="36" fillId="16" fontId="8" numFmtId="2" xfId="0" applyBorder="1" applyFont="1" applyNumberFormat="1"/>
    <xf borderId="38" fillId="0" fontId="4" numFmtId="0" xfId="0" applyBorder="1" applyFont="1"/>
    <xf borderId="39" fillId="0" fontId="4" numFmtId="0" xfId="0" applyAlignment="1" applyBorder="1" applyFont="1">
      <alignment readingOrder="0"/>
    </xf>
    <xf borderId="22" fillId="0" fontId="4" numFmtId="0" xfId="0" applyBorder="1" applyFont="1"/>
    <xf borderId="22" fillId="0" fontId="4" numFmtId="2" xfId="0" applyBorder="1" applyFont="1" applyNumberFormat="1"/>
    <xf borderId="38" fillId="0" fontId="4" numFmtId="2" xfId="0" applyBorder="1" applyFont="1" applyNumberFormat="1"/>
    <xf borderId="22" fillId="16" fontId="8" numFmtId="2" xfId="0" applyAlignment="1" applyBorder="1" applyFont="1" applyNumberFormat="1">
      <alignment horizontal="center"/>
    </xf>
    <xf borderId="22" fillId="0" fontId="8" numFmtId="2" xfId="0" applyBorder="1" applyFont="1" applyNumberFormat="1"/>
    <xf borderId="18" fillId="0" fontId="4" numFmtId="0" xfId="0" applyBorder="1" applyFont="1"/>
    <xf borderId="24" fillId="0" fontId="22" numFmtId="0" xfId="0" applyAlignment="1" applyBorder="1" applyFont="1">
      <alignment horizontal="left" readingOrder="0" shrinkToFit="0" wrapText="1"/>
    </xf>
    <xf borderId="24" fillId="0" fontId="22" numFmtId="0" xfId="0" applyAlignment="1" applyBorder="1" applyFont="1">
      <alignment horizontal="left" readingOrder="0"/>
    </xf>
    <xf borderId="25" fillId="0" fontId="22" numFmtId="0" xfId="0" applyAlignment="1" applyBorder="1" applyFont="1">
      <alignment horizontal="left" readingOrder="0"/>
    </xf>
    <xf borderId="28" fillId="0" fontId="22" numFmtId="2" xfId="0" applyAlignment="1" applyBorder="1" applyFont="1" applyNumberFormat="1">
      <alignment horizontal="left" readingOrder="0"/>
    </xf>
    <xf borderId="0" fillId="0" fontId="22" numFmtId="0" xfId="0" applyAlignment="1" applyFont="1">
      <alignment horizontal="left" readingOrder="0"/>
    </xf>
    <xf borderId="5" fillId="17" fontId="3" numFmtId="0" xfId="0" applyAlignment="1" applyBorder="1" applyFont="1">
      <alignment horizontal="left" readingOrder="0" shrinkToFit="0" wrapText="1"/>
    </xf>
    <xf borderId="25" fillId="0" fontId="22" numFmtId="2" xfId="0" applyAlignment="1" applyBorder="1" applyFont="1" applyNumberFormat="1">
      <alignment horizontal="left" readingOrder="0"/>
    </xf>
    <xf borderId="0" fillId="20" fontId="17" numFmtId="0" xfId="0" applyAlignment="1" applyFont="1">
      <alignment readingOrder="0" shrinkToFit="0" wrapText="1"/>
    </xf>
    <xf borderId="0" fillId="18" fontId="17" numFmtId="0" xfId="0" applyAlignment="1" applyFont="1">
      <alignment readingOrder="0"/>
    </xf>
    <xf borderId="0" fillId="12" fontId="17" numFmtId="0" xfId="0" applyAlignment="1" applyFont="1">
      <alignment readingOrder="0"/>
    </xf>
    <xf borderId="9" fillId="8" fontId="9" numFmtId="0" xfId="0" applyAlignment="1" applyBorder="1" applyFont="1">
      <alignment readingOrder="0"/>
    </xf>
    <xf borderId="13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readingOrder="0"/>
    </xf>
    <xf borderId="13" fillId="15" fontId="20" numFmtId="2" xfId="0" applyAlignment="1" applyBorder="1" applyFont="1" applyNumberFormat="1">
      <alignment horizontal="center" readingOrder="0" shrinkToFit="0" wrapText="1"/>
    </xf>
    <xf borderId="27" fillId="15" fontId="17" numFmtId="2" xfId="0" applyAlignment="1" applyBorder="1" applyFont="1" applyNumberFormat="1">
      <alignment readingOrder="0"/>
    </xf>
    <xf borderId="9" fillId="15" fontId="9" numFmtId="0" xfId="0" applyAlignment="1" applyBorder="1" applyFont="1">
      <alignment readingOrder="0"/>
    </xf>
    <xf borderId="6" fillId="0" fontId="17" numFmtId="2" xfId="0" applyAlignment="1" applyBorder="1" applyFont="1" applyNumberFormat="1">
      <alignment horizontal="center" readingOrder="0" vertical="center"/>
    </xf>
    <xf borderId="0" fillId="21" fontId="17" numFmtId="0" xfId="0" applyAlignment="1" applyFill="1" applyFont="1">
      <alignment horizontal="center" readingOrder="0" vertical="center"/>
    </xf>
    <xf borderId="27" fillId="0" fontId="17" numFmtId="2" xfId="0" applyAlignment="1" applyBorder="1" applyFont="1" applyNumberFormat="1">
      <alignment readingOrder="0" vertical="center"/>
    </xf>
    <xf borderId="33" fillId="21" fontId="23" numFmtId="0" xfId="0" applyAlignment="1" applyBorder="1" applyFont="1">
      <alignment readingOrder="0" shrinkToFit="0" wrapText="1"/>
    </xf>
    <xf borderId="9" fillId="17" fontId="9" numFmtId="0" xfId="0" applyAlignment="1" applyBorder="1" applyFont="1">
      <alignment readingOrder="0" vertical="center"/>
    </xf>
    <xf borderId="27" fillId="18" fontId="4" numFmtId="2" xfId="0" applyAlignment="1" applyBorder="1" applyFont="1" applyNumberFormat="1">
      <alignment readingOrder="0"/>
    </xf>
    <xf borderId="33" fillId="18" fontId="4" numFmtId="0" xfId="0" applyAlignment="1" applyBorder="1" applyFont="1">
      <alignment readingOrder="0"/>
    </xf>
    <xf borderId="27" fillId="19" fontId="4" numFmtId="0" xfId="0" applyAlignment="1" applyBorder="1" applyFont="1">
      <alignment readingOrder="0"/>
    </xf>
    <xf borderId="33" fillId="19" fontId="4" numFmtId="0" xfId="0" applyAlignment="1" applyBorder="1" applyFont="1">
      <alignment readingOrder="0" shrinkToFit="0" wrapText="1"/>
    </xf>
    <xf borderId="27" fillId="22" fontId="4" numFmtId="0" xfId="0" applyAlignment="1" applyBorder="1" applyFill="1" applyFont="1">
      <alignment readingOrder="0"/>
    </xf>
    <xf borderId="33" fillId="22" fontId="4" numFmtId="0" xfId="0" applyAlignment="1" applyBorder="1" applyFont="1">
      <alignment readingOrder="0" shrinkToFit="0" wrapText="1"/>
    </xf>
    <xf borderId="9" fillId="17" fontId="9" numFmtId="0" xfId="0" applyAlignment="1" applyBorder="1" applyFont="1">
      <alignment readingOrder="0"/>
    </xf>
    <xf borderId="27" fillId="12" fontId="4" numFmtId="2" xfId="0" applyAlignment="1" applyBorder="1" applyFont="1" applyNumberFormat="1">
      <alignment readingOrder="0"/>
    </xf>
    <xf borderId="33" fillId="12" fontId="4" numFmtId="0" xfId="0" applyAlignment="1" applyBorder="1" applyFont="1">
      <alignment readingOrder="0"/>
    </xf>
    <xf borderId="27" fillId="15" fontId="4" numFmtId="0" xfId="0" applyAlignment="1" applyBorder="1" applyFont="1">
      <alignment readingOrder="0"/>
    </xf>
    <xf borderId="33" fillId="15" fontId="4" numFmtId="0" xfId="0" applyAlignment="1" applyBorder="1" applyFont="1">
      <alignment readingOrder="0"/>
    </xf>
    <xf borderId="9" fillId="15" fontId="9" numFmtId="0" xfId="0" applyAlignment="1" applyBorder="1" applyFont="1">
      <alignment horizontal="right" readingOrder="0"/>
    </xf>
    <xf borderId="27" fillId="23" fontId="9" numFmtId="0" xfId="0" applyAlignment="1" applyBorder="1" applyFill="1" applyFont="1">
      <alignment horizontal="center" readingOrder="0" vertical="center"/>
    </xf>
    <xf borderId="0" fillId="23" fontId="9" numFmtId="0" xfId="0" applyAlignment="1" applyFont="1">
      <alignment horizontal="center" readingOrder="0" vertical="center"/>
    </xf>
    <xf borderId="6" fillId="23" fontId="17" numFmtId="0" xfId="0" applyAlignment="1" applyBorder="1" applyFont="1">
      <alignment horizontal="center" readingOrder="0" vertical="center"/>
    </xf>
    <xf borderId="33" fillId="23" fontId="21" numFmtId="0" xfId="0" applyAlignment="1" applyBorder="1" applyFont="1">
      <alignment readingOrder="0" shrinkToFit="0" wrapText="1"/>
    </xf>
    <xf borderId="9" fillId="0" fontId="9" numFmtId="0" xfId="0" applyAlignment="1" applyBorder="1" applyFont="1">
      <alignment readingOrder="0" vertical="center"/>
    </xf>
    <xf borderId="33" fillId="18" fontId="4" numFmtId="0" xfId="0" applyAlignment="1" applyBorder="1" applyFont="1">
      <alignment readingOrder="0" shrinkToFit="0" wrapText="1"/>
    </xf>
    <xf borderId="33" fillId="4" fontId="4" numFmtId="0" xfId="0" applyAlignment="1" applyBorder="1" applyFont="1">
      <alignment readingOrder="0" shrinkToFit="0" wrapText="1"/>
    </xf>
    <xf borderId="35" fillId="16" fontId="8" numFmtId="0" xfId="0" applyBorder="1" applyFont="1"/>
    <xf borderId="40" fillId="0" fontId="4" numFmtId="0" xfId="0" applyBorder="1" applyFont="1"/>
    <xf borderId="41" fillId="0" fontId="4" numFmtId="0" xfId="0" applyBorder="1" applyFont="1"/>
    <xf borderId="10" fillId="0" fontId="22" numFmtId="0" xfId="0" applyAlignment="1" applyBorder="1" applyFont="1">
      <alignment horizontal="left" readingOrder="0"/>
    </xf>
    <xf borderId="11" fillId="0" fontId="22" numFmtId="0" xfId="0" applyAlignment="1" applyBorder="1" applyFont="1">
      <alignment horizontal="left" readingOrder="0"/>
    </xf>
    <xf borderId="12" fillId="16" fontId="22" numFmtId="2" xfId="0" applyAlignment="1" applyBorder="1" applyFont="1" applyNumberFormat="1">
      <alignment horizontal="left" readingOrder="0"/>
    </xf>
    <xf borderId="11" fillId="0" fontId="9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/>
    </xf>
    <xf borderId="24" fillId="0" fontId="24" numFmtId="0" xfId="0" applyAlignment="1" applyBorder="1" applyFont="1">
      <alignment horizontal="center" readingOrder="0"/>
    </xf>
    <xf borderId="28" fillId="0" fontId="4" numFmtId="0" xfId="0" applyBorder="1" applyFont="1"/>
    <xf borderId="0" fillId="0" fontId="8" numFmtId="0" xfId="0" applyAlignment="1" applyFont="1">
      <alignment horizontal="center" readingOrder="0"/>
    </xf>
    <xf borderId="8" fillId="0" fontId="4" numFmtId="0" xfId="0" applyAlignment="1" applyBorder="1" applyFont="1">
      <alignment readingOrder="0"/>
    </xf>
    <xf borderId="10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readingOrder="0"/>
    </xf>
    <xf borderId="11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0" fillId="0" fontId="8" numFmtId="0" xfId="0" applyFont="1"/>
    <xf borderId="8" fillId="0" fontId="8" numFmtId="0" xfId="0" applyAlignment="1" applyBorder="1" applyFont="1">
      <alignment readingOrder="0" shrinkToFit="0" wrapText="1"/>
    </xf>
    <xf borderId="13" fillId="0" fontId="8" numFmtId="0" xfId="0" applyAlignment="1" applyBorder="1" applyFont="1">
      <alignment horizontal="center" readingOrder="0"/>
    </xf>
    <xf borderId="9" fillId="0" fontId="8" numFmtId="0" xfId="0" applyBorder="1" applyFont="1"/>
    <xf borderId="13" fillId="0" fontId="8" numFmtId="0" xfId="0" applyBorder="1" applyFont="1"/>
    <xf borderId="8" fillId="0" fontId="4" numFmtId="0" xfId="0" applyAlignment="1" applyBorder="1" applyFont="1">
      <alignment horizontal="right" readingOrder="0"/>
    </xf>
    <xf borderId="0" fillId="0" fontId="9" numFmtId="2" xfId="0" applyAlignment="1" applyFont="1" applyNumberFormat="1">
      <alignment horizontal="center" readingOrder="0" shrinkToFit="0" wrapText="1"/>
    </xf>
    <xf borderId="9" fillId="0" fontId="4" numFmtId="2" xfId="0" applyAlignment="1" applyBorder="1" applyFont="1" applyNumberFormat="1">
      <alignment readingOrder="0"/>
    </xf>
    <xf borderId="13" fillId="0" fontId="20" numFmtId="0" xfId="0" applyAlignment="1" applyBorder="1" applyFont="1">
      <alignment horizontal="center" readingOrder="0" shrinkToFit="0" wrapText="1"/>
    </xf>
    <xf borderId="13" fillId="0" fontId="9" numFmtId="2" xfId="0" applyAlignment="1" applyBorder="1" applyFont="1" applyNumberFormat="1">
      <alignment horizontal="center" readingOrder="0"/>
    </xf>
    <xf borderId="13" fillId="0" fontId="9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readingOrder="0"/>
    </xf>
    <xf borderId="18" fillId="0" fontId="4" numFmtId="0" xfId="0" applyAlignment="1" applyBorder="1" applyFont="1">
      <alignment horizontal="right" readingOrder="0"/>
    </xf>
    <xf borderId="20" fillId="0" fontId="4" numFmtId="0" xfId="0" applyBorder="1" applyFont="1"/>
    <xf borderId="7" fillId="0" fontId="4" numFmtId="2" xfId="0" applyBorder="1" applyFont="1" applyNumberFormat="1"/>
    <xf borderId="21" fillId="0" fontId="4" numFmtId="2" xfId="0" applyBorder="1" applyFont="1" applyNumberFormat="1"/>
    <xf borderId="29" fillId="0" fontId="8" numFmtId="0" xfId="0" applyAlignment="1" applyBorder="1" applyFont="1">
      <alignment readingOrder="0"/>
    </xf>
    <xf borderId="9" fillId="0" fontId="8" numFmtId="0" xfId="0" applyAlignment="1" applyBorder="1" applyFont="1">
      <alignment horizontal="center" readingOrder="0"/>
    </xf>
    <xf borderId="13" fillId="0" fontId="4" numFmtId="2" xfId="0" applyAlignment="1" applyBorder="1" applyFont="1" applyNumberFormat="1">
      <alignment readingOrder="0"/>
    </xf>
    <xf borderId="0" fillId="0" fontId="4" numFmtId="2" xfId="0" applyFont="1" applyNumberFormat="1"/>
    <xf borderId="9" fillId="0" fontId="4" numFmtId="2" xfId="0" applyBorder="1" applyFont="1" applyNumberFormat="1"/>
    <xf borderId="18" fillId="0" fontId="4" numFmtId="0" xfId="0" applyAlignment="1" applyBorder="1" applyFont="1">
      <alignment readingOrder="0"/>
    </xf>
    <xf borderId="20" fillId="0" fontId="4" numFmtId="2" xfId="0" applyBorder="1" applyFont="1" applyNumberFormat="1"/>
    <xf borderId="0" fillId="16" fontId="4" numFmtId="0" xfId="0" applyAlignment="1" applyFont="1">
      <alignment readingOrder="0"/>
    </xf>
    <xf borderId="0" fillId="16" fontId="4" numFmtId="0" xfId="0" applyAlignment="1" applyFont="1">
      <alignment horizontal="center" readingOrder="0"/>
    </xf>
    <xf borderId="0" fillId="0" fontId="4" numFmtId="0" xfId="0" applyAlignment="1" applyFont="1">
      <alignment readingOrder="0" vertical="center"/>
    </xf>
    <xf borderId="0" fillId="24" fontId="4" numFmtId="0" xfId="0" applyAlignment="1" applyFill="1" applyFont="1">
      <alignment readingOrder="0"/>
    </xf>
    <xf borderId="0" fillId="24" fontId="4" numFmtId="2" xfId="0" applyFont="1" applyNumberFormat="1"/>
    <xf borderId="0" fillId="25" fontId="4" numFmtId="0" xfId="0" applyAlignment="1" applyFill="1" applyFont="1">
      <alignment readingOrder="0"/>
    </xf>
    <xf borderId="0" fillId="25" fontId="4" numFmtId="2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13" numFmtId="0" xfId="0" applyAlignment="1" applyFont="1">
      <alignment horizontal="center" readingOrder="0" shrinkToFit="0" wrapText="1"/>
    </xf>
    <xf borderId="0" fillId="26" fontId="4" numFmtId="0" xfId="0" applyFill="1" applyFont="1"/>
    <xf borderId="0" fillId="0" fontId="8" numFmtId="0" xfId="0" applyAlignment="1" applyFont="1">
      <alignment readingOrder="0" shrinkToFit="0" wrapText="1"/>
    </xf>
    <xf borderId="0" fillId="21" fontId="8" numFmtId="2" xfId="0" applyAlignment="1" applyFont="1" applyNumberFormat="1">
      <alignment readingOrder="0"/>
    </xf>
    <xf borderId="0" fillId="21" fontId="8" numFmtId="0" xfId="0" applyAlignment="1" applyFont="1">
      <alignment readingOrder="0"/>
    </xf>
    <xf borderId="0" fillId="0" fontId="8" numFmtId="2" xfId="0" applyFont="1" applyNumberFormat="1"/>
    <xf borderId="0" fillId="9" fontId="5" numFmtId="0" xfId="0" applyAlignment="1" applyFont="1">
      <alignment horizontal="right" readingOrder="0" vertical="center"/>
    </xf>
    <xf borderId="0" fillId="27" fontId="4" numFmtId="2" xfId="0" applyFill="1" applyFont="1" applyNumberFormat="1"/>
    <xf borderId="0" fillId="28" fontId="4" numFmtId="0" xfId="0" applyAlignment="1" applyFill="1" applyFont="1">
      <alignment readingOrder="0"/>
    </xf>
    <xf borderId="0" fillId="28" fontId="4" numFmtId="0" xfId="0" applyFont="1"/>
    <xf borderId="0" fillId="21" fontId="4" numFmtId="0" xfId="0" applyAlignment="1" applyFont="1">
      <alignment readingOrder="0" shrinkToFit="0" wrapText="1"/>
    </xf>
    <xf borderId="0" fillId="0" fontId="25" numFmtId="0" xfId="0" applyAlignment="1" applyFont="1">
      <alignment horizontal="center" readingOrder="0"/>
    </xf>
    <xf borderId="0" fillId="29" fontId="4" numFmtId="0" xfId="0" applyFill="1" applyFont="1"/>
    <xf borderId="0" fillId="0" fontId="2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11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30" fontId="4" numFmtId="0" xfId="0" applyAlignment="1" applyFill="1" applyFont="1">
      <alignment readingOrder="0"/>
    </xf>
    <xf borderId="6" fillId="0" fontId="8" numFmtId="0" xfId="0" applyAlignment="1" applyBorder="1" applyFont="1">
      <alignment horizontal="center" readingOrder="0"/>
    </xf>
    <xf borderId="27" fillId="0" fontId="8" numFmtId="0" xfId="0" applyAlignment="1" applyBorder="1" applyFont="1">
      <alignment horizontal="center" readingOrder="0"/>
    </xf>
    <xf borderId="6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 shrinkToFit="0" wrapText="1"/>
    </xf>
    <xf borderId="9" fillId="0" fontId="4" numFmtId="0" xfId="0" applyAlignment="1" applyBorder="1" applyFont="1">
      <alignment readingOrder="0" shrinkToFit="0" wrapText="1"/>
    </xf>
    <xf borderId="0" fillId="0" fontId="26" numFmtId="0" xfId="0" applyAlignment="1" applyFont="1">
      <alignment readingOrder="0"/>
    </xf>
    <xf borderId="1" fillId="31" fontId="0" numFmtId="0" xfId="0" applyAlignment="1" applyBorder="1" applyFill="1" applyFont="1">
      <alignment shrinkToFit="0" vertical="center" wrapText="1"/>
    </xf>
    <xf borderId="4" fillId="32" fontId="0" numFmtId="0" xfId="0" applyAlignment="1" applyBorder="1" applyFill="1" applyFont="1">
      <alignment readingOrder="0" shrinkToFit="0" vertical="center" wrapText="1"/>
    </xf>
    <xf borderId="4" fillId="31" fontId="0" numFmtId="0" xfId="0" applyAlignment="1" applyBorder="1" applyFont="1">
      <alignment shrinkToFit="0" vertical="center" wrapText="1"/>
    </xf>
    <xf borderId="4" fillId="33" fontId="0" numFmtId="0" xfId="0" applyAlignment="1" applyBorder="1" applyFill="1" applyFont="1">
      <alignment shrinkToFit="0" vertical="center" wrapText="1"/>
    </xf>
    <xf borderId="4" fillId="34" fontId="0" numFmtId="0" xfId="0" applyAlignment="1" applyBorder="1" applyFill="1" applyFont="1">
      <alignment shrinkToFit="0" vertical="center" wrapText="1"/>
    </xf>
    <xf borderId="4" fillId="34" fontId="0" numFmtId="0" xfId="0" applyAlignment="1" applyBorder="1" applyFont="1">
      <alignment readingOrder="0" shrinkToFit="0" vertical="center" wrapText="1"/>
    </xf>
    <xf borderId="4" fillId="35" fontId="0" numFmtId="0" xfId="0" applyAlignment="1" applyBorder="1" applyFill="1" applyFont="1">
      <alignment readingOrder="0" shrinkToFit="0" vertical="center" wrapText="1"/>
    </xf>
    <xf borderId="4" fillId="36" fontId="0" numFmtId="0" xfId="0" applyAlignment="1" applyBorder="1" applyFill="1" applyFont="1">
      <alignment shrinkToFit="0" wrapText="0"/>
    </xf>
    <xf borderId="4" fillId="37" fontId="0" numFmtId="0" xfId="0" applyAlignment="1" applyBorder="1" applyFill="1" applyFont="1">
      <alignment shrinkToFit="0" wrapText="0"/>
    </xf>
    <xf borderId="0" fillId="0" fontId="0" numFmtId="0" xfId="0" applyAlignment="1" applyFont="1">
      <alignment horizontal="center" readingOrder="0" shrinkToFit="0" wrapText="1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33" fontId="0" numFmtId="0" xfId="0" applyAlignment="1" applyFont="1">
      <alignment readingOrder="0" shrinkToFit="0" wrapText="0"/>
    </xf>
    <xf borderId="0" fillId="0" fontId="0" numFmtId="166" xfId="0" applyAlignment="1" applyFont="1" applyNumberFormat="1">
      <alignment readingOrder="0" shrinkToFit="0" wrapText="0"/>
    </xf>
    <xf borderId="0" fillId="0" fontId="0" numFmtId="167" xfId="0" applyAlignment="1" applyFont="1" applyNumberFormat="1">
      <alignment readingOrder="0" shrinkToFit="0" wrapText="0"/>
    </xf>
    <xf borderId="0" fillId="0" fontId="0" numFmtId="2" xfId="0" applyAlignment="1" applyFont="1" applyNumberFormat="1">
      <alignment shrinkToFit="0" wrapText="0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horizontal="center" readingOrder="0" shrinkToFit="0" wrapText="0"/>
    </xf>
    <xf borderId="0" fillId="0" fontId="0" numFmtId="2" xfId="0" applyAlignment="1" applyFont="1" applyNumberFormat="1">
      <alignment shrinkToFit="0" wrapText="0"/>
    </xf>
    <xf borderId="0" fillId="0" fontId="0" numFmtId="168" xfId="0" applyAlignment="1" applyFont="1" applyNumberFormat="1">
      <alignment shrinkToFit="0" wrapText="0"/>
    </xf>
    <xf borderId="0" fillId="33" fontId="0" numFmtId="0" xfId="0" applyAlignment="1" applyFont="1">
      <alignment shrinkToFit="0" wrapText="0"/>
    </xf>
    <xf borderId="0" fillId="0" fontId="0" numFmtId="166" xfId="0" applyAlignment="1" applyFont="1" applyNumberFormat="1">
      <alignment shrinkToFit="0" wrapText="0"/>
    </xf>
    <xf borderId="0" fillId="0" fontId="0" numFmtId="167" xfId="0" applyAlignment="1" applyFont="1" applyNumberFormat="1">
      <alignment shrinkToFit="0" wrapText="0"/>
    </xf>
    <xf borderId="0" fillId="0" fontId="0" numFmtId="165" xfId="0" applyAlignment="1" applyFont="1" applyNumberFormat="1">
      <alignment readingOrder="0" shrinkToFit="0" wrapText="0"/>
    </xf>
    <xf borderId="0" fillId="0" fontId="27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readingOrder="0" shrinkToFit="0" wrapText="0"/>
    </xf>
    <xf borderId="0" fillId="0" fontId="0" numFmtId="0" xfId="0" applyAlignment="1" applyFont="1">
      <alignment readingOrder="0" shrinkToFit="0" wrapText="1"/>
    </xf>
    <xf borderId="0" fillId="38" fontId="28" numFmtId="2" xfId="0" applyAlignment="1" applyFill="1" applyFont="1" applyNumberFormat="1">
      <alignment readingOrder="0" shrinkToFit="0" wrapText="0"/>
    </xf>
    <xf borderId="0" fillId="38" fontId="28" numFmtId="2" xfId="0" applyAlignment="1" applyFont="1" applyNumberFormat="1">
      <alignment shrinkToFit="0" wrapText="0"/>
    </xf>
    <xf borderId="0" fillId="0" fontId="28" numFmtId="2" xfId="0" applyAlignment="1" applyFont="1" applyNumberFormat="1">
      <alignment readingOrder="0" shrinkToFit="0" wrapText="0"/>
    </xf>
    <xf borderId="0" fillId="0" fontId="28" numFmtId="2" xfId="0" applyAlignment="1" applyFont="1" applyNumberFormat="1">
      <alignment shrinkToFit="0" wrapText="0"/>
    </xf>
    <xf borderId="0" fillId="38" fontId="10" numFmtId="2" xfId="0" applyAlignment="1" applyFont="1" applyNumberFormat="1">
      <alignment readingOrder="0" shrinkToFit="0" wrapText="0"/>
    </xf>
    <xf borderId="0" fillId="0" fontId="10" numFmtId="2" xfId="0" applyAlignment="1" applyFont="1" applyNumberFormat="1">
      <alignment readingOrder="0" shrinkToFit="0" wrapText="0"/>
    </xf>
    <xf borderId="0" fillId="0" fontId="10" numFmtId="2" xfId="0" applyAlignment="1" applyFont="1" applyNumberFormat="1">
      <alignment shrinkToFit="0" wrapText="0"/>
    </xf>
    <xf borderId="0" fillId="38" fontId="10" numFmtId="2" xfId="0" applyAlignment="1" applyFont="1" applyNumberFormat="1">
      <alignment shrinkToFit="0" wrapText="0"/>
    </xf>
    <xf borderId="0" fillId="0" fontId="0" numFmtId="0" xfId="0" applyAlignment="1" applyFont="1">
      <alignment readingOrder="0" shrinkToFit="0" vertical="top" wrapText="1"/>
    </xf>
    <xf borderId="4" fillId="39" fontId="28" numFmtId="2" xfId="0" applyAlignment="1" applyBorder="1" applyFill="1" applyFont="1" applyNumberFormat="1">
      <alignment shrinkToFit="0" wrapText="0"/>
    </xf>
    <xf borderId="4" fillId="39" fontId="10" numFmtId="2" xfId="0" applyAlignment="1" applyBorder="1" applyFont="1" applyNumberFormat="1">
      <alignment shrinkToFit="0" wrapText="0"/>
    </xf>
    <xf borderId="4" fillId="39" fontId="0" numFmtId="2" xfId="0" applyAlignment="1" applyBorder="1" applyFont="1" applyNumberFormat="1">
      <alignment shrinkToFit="0" wrapText="0"/>
    </xf>
    <xf borderId="0" fillId="0" fontId="0" numFmtId="0" xfId="0" applyAlignment="1" applyFont="1">
      <alignment shrinkToFit="0" vertical="top" wrapText="0"/>
    </xf>
    <xf borderId="4" fillId="39" fontId="0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vertical="center" wrapText="1"/>
    </xf>
    <xf borderId="5" fillId="31" fontId="3" numFmtId="0" xfId="0" applyAlignment="1" applyBorder="1" applyFont="1">
      <alignment readingOrder="0" shrinkToFit="0" vertical="center" wrapText="1"/>
    </xf>
    <xf borderId="5" fillId="40" fontId="3" numFmtId="0" xfId="0" applyAlignment="1" applyBorder="1" applyFill="1" applyFont="1">
      <alignment readingOrder="0" shrinkToFit="0" vertical="center" wrapText="1"/>
    </xf>
    <xf borderId="5" fillId="41" fontId="3" numFmtId="0" xfId="0" applyAlignment="1" applyBorder="1" applyFill="1" applyFont="1">
      <alignment readingOrder="0" shrinkToFit="0" vertical="center" wrapText="1"/>
    </xf>
    <xf borderId="5" fillId="0" fontId="3" numFmtId="17" xfId="0" applyAlignment="1" applyBorder="1" applyFont="1" applyNumberFormat="1">
      <alignment shrinkToFit="0" wrapText="0"/>
    </xf>
    <xf borderId="5" fillId="31" fontId="0" numFmtId="2" xfId="0" applyAlignment="1" applyBorder="1" applyFont="1" applyNumberFormat="1">
      <alignment shrinkToFit="0" wrapText="0"/>
    </xf>
    <xf borderId="5" fillId="40" fontId="0" numFmtId="2" xfId="0" applyAlignment="1" applyBorder="1" applyFont="1" applyNumberFormat="1">
      <alignment shrinkToFit="0" wrapText="0"/>
    </xf>
    <xf borderId="5" fillId="41" fontId="0" numFmtId="2" xfId="0" applyAlignment="1" applyBorder="1" applyFont="1" applyNumberFormat="1">
      <alignment shrinkToFit="0" wrapText="0"/>
    </xf>
    <xf borderId="5" fillId="0" fontId="0" numFmtId="2" xfId="0" applyAlignment="1" applyBorder="1" applyFont="1" applyNumberFormat="1">
      <alignment shrinkToFit="0" wrapText="0"/>
    </xf>
    <xf borderId="5" fillId="0" fontId="0" numFmtId="0" xfId="0" applyAlignment="1" applyBorder="1" applyFont="1">
      <alignment shrinkToFit="0" wrapText="1"/>
    </xf>
    <xf borderId="5" fillId="42" fontId="0" numFmtId="2" xfId="0" applyAlignment="1" applyBorder="1" applyFill="1" applyFont="1" applyNumberFormat="1">
      <alignment shrinkToFit="0" wrapText="0"/>
    </xf>
    <xf borderId="5" fillId="17" fontId="0" numFmtId="2" xfId="0" applyAlignment="1" applyBorder="1" applyFont="1" applyNumberFormat="1">
      <alignment shrinkToFit="0" wrapText="0"/>
    </xf>
    <xf borderId="5" fillId="31" fontId="0" numFmtId="2" xfId="0" applyAlignment="1" applyBorder="1" applyFont="1" applyNumberFormat="1">
      <alignment readingOrder="0" shrinkToFit="0" wrapText="0"/>
    </xf>
    <xf borderId="5" fillId="6" fontId="0" numFmtId="2" xfId="0" applyAlignment="1" applyBorder="1" applyFont="1" applyNumberFormat="1">
      <alignment shrinkToFit="0" wrapText="0"/>
    </xf>
    <xf borderId="5" fillId="40" fontId="0" numFmtId="2" xfId="0" applyAlignment="1" applyBorder="1" applyFont="1" applyNumberFormat="1">
      <alignment readingOrder="0" shrinkToFit="0" wrapText="0"/>
    </xf>
    <xf borderId="5" fillId="41" fontId="0" numFmtId="2" xfId="0" applyAlignment="1" applyBorder="1" applyFont="1" applyNumberFormat="1">
      <alignment readingOrder="0" shrinkToFit="0" wrapText="0"/>
    </xf>
    <xf borderId="5" fillId="0" fontId="0" numFmtId="2" xfId="0" applyAlignment="1" applyBorder="1" applyFont="1" applyNumberFormat="1">
      <alignment readingOrder="0" shrinkToFit="0" wrapText="0"/>
    </xf>
    <xf borderId="9" fillId="0" fontId="8" numFmtId="169" xfId="0" applyAlignment="1" applyBorder="1" applyFont="1" applyNumberFormat="1">
      <alignment readingOrder="0"/>
    </xf>
    <xf borderId="5" fillId="0" fontId="4" numFmtId="2" xfId="0" applyAlignment="1" applyBorder="1" applyFont="1" applyNumberFormat="1">
      <alignment readingOrder="0"/>
    </xf>
    <xf borderId="5" fillId="0" fontId="0" numFmtId="0" xfId="0" applyAlignment="1" applyBorder="1" applyFont="1">
      <alignment readingOrder="0" shrinkToFit="0" wrapText="1"/>
    </xf>
    <xf borderId="0" fillId="0" fontId="0" numFmtId="16" xfId="0" applyAlignment="1" applyFont="1" applyNumberFormat="1">
      <alignment horizontal="center" vertical="bottom"/>
    </xf>
    <xf borderId="1" fillId="0" fontId="0" numFmtId="16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3" numFmtId="2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shrinkToFit="0" wrapText="1"/>
    </xf>
    <xf borderId="0" fillId="4" fontId="5" numFmtId="0" xfId="0" applyAlignment="1" applyFont="1">
      <alignment readingOrder="0" shrinkToFit="0" wrapText="1"/>
    </xf>
    <xf borderId="0" fillId="5" fontId="5" numFmtId="0" xfId="0" applyAlignment="1" applyFont="1">
      <alignment readingOrder="0" shrinkToFit="0" wrapText="1"/>
    </xf>
    <xf borderId="0" fillId="24" fontId="5" numFmtId="0" xfId="0" applyAlignment="1" applyFont="1">
      <alignment readingOrder="0" shrinkToFit="0" wrapText="1"/>
    </xf>
    <xf borderId="0" fillId="43" fontId="5" numFmtId="0" xfId="0" applyAlignment="1" applyFill="1" applyFont="1">
      <alignment shrinkToFit="0" wrapText="1"/>
    </xf>
    <xf borderId="0" fillId="0" fontId="29" numFmtId="0" xfId="0" applyAlignment="1" applyFont="1">
      <alignment readingOrder="0" shrinkToFit="0" wrapText="1"/>
    </xf>
    <xf borderId="3" fillId="2" fontId="3" numFmtId="2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1"/>
    </xf>
    <xf borderId="0" fillId="6" fontId="30" numFmtId="0" xfId="0" applyAlignment="1" applyFont="1">
      <alignment readingOrder="0" shrinkToFit="0" wrapText="1"/>
    </xf>
    <xf borderId="0" fillId="43" fontId="4" numFmtId="0" xfId="0" applyAlignment="1" applyFont="1">
      <alignment readingOrder="0"/>
    </xf>
    <xf borderId="0" fillId="43" fontId="2" numFmtId="2" xfId="0" applyAlignment="1" applyFont="1" applyNumberFormat="1">
      <alignment horizontal="center" readingOrder="0" vertical="bottom"/>
    </xf>
    <xf borderId="0" fillId="43" fontId="2" numFmtId="2" xfId="0" applyAlignment="1" applyFont="1" applyNumberFormat="1">
      <alignment vertical="bottom"/>
    </xf>
    <xf borderId="0" fillId="43" fontId="2" numFmtId="2" xfId="0" applyAlignment="1" applyFont="1" applyNumberFormat="1">
      <alignment horizontal="right" readingOrder="0" vertical="bottom"/>
    </xf>
    <xf borderId="0" fillId="7" fontId="4" numFmtId="0" xfId="0" applyAlignment="1" applyFont="1">
      <alignment horizontal="center" readingOrder="0"/>
    </xf>
    <xf borderId="0" fillId="2" fontId="2" numFmtId="16" xfId="0" applyAlignment="1" applyFont="1" applyNumberFormat="1">
      <alignment vertical="bottom"/>
    </xf>
    <xf borderId="0" fillId="0" fontId="13" numFmtId="0" xfId="0" applyAlignment="1" applyFont="1">
      <alignment horizontal="center" readingOrder="0" textRotation="90" vertical="center"/>
    </xf>
    <xf borderId="1" fillId="5" fontId="0" numFmtId="2" xfId="0" applyAlignment="1" applyBorder="1" applyFont="1" applyNumberFormat="1">
      <alignment readingOrder="0" shrinkToFit="0" vertical="center" wrapText="0"/>
    </xf>
    <xf borderId="0" fillId="0" fontId="31" numFmtId="0" xfId="0" applyAlignment="1" applyFont="1">
      <alignment horizontal="center" readingOrder="0" textRotation="90" vertical="center"/>
    </xf>
    <xf borderId="1" fillId="0" fontId="0" numFmtId="2" xfId="0" applyAlignment="1" applyBorder="1" applyFont="1" applyNumberFormat="1">
      <alignment readingOrder="0" shrinkToFit="0" vertical="center" wrapText="0"/>
    </xf>
    <xf borderId="0" fillId="0" fontId="2" numFmtId="2" xfId="0" applyAlignment="1" applyFont="1" applyNumberFormat="1">
      <alignment horizontal="left" readingOrder="0" vertical="bottom"/>
    </xf>
    <xf borderId="42" fillId="0" fontId="2" numFmtId="2" xfId="0" applyAlignment="1" applyBorder="1" applyFont="1" applyNumberFormat="1">
      <alignment horizontal="right" vertical="bottom"/>
    </xf>
    <xf borderId="2" fillId="0" fontId="2" numFmtId="2" xfId="0" applyAlignment="1" applyBorder="1" applyFont="1" applyNumberFormat="1">
      <alignment horizontal="right" vertical="bottom"/>
    </xf>
    <xf borderId="2" fillId="0" fontId="2" numFmtId="2" xfId="0" applyAlignment="1" applyBorder="1" applyFont="1" applyNumberFormat="1">
      <alignment vertical="bottom"/>
    </xf>
    <xf borderId="42" fillId="0" fontId="2" numFmtId="2" xfId="0" applyAlignment="1" applyBorder="1" applyFont="1" applyNumberFormat="1">
      <alignment vertical="bottom"/>
    </xf>
    <xf borderId="42" fillId="0" fontId="2" numFmtId="2" xfId="0" applyAlignment="1" applyBorder="1" applyFont="1" applyNumberFormat="1">
      <alignment readingOrder="0" vertical="bottom"/>
    </xf>
    <xf borderId="42" fillId="0" fontId="2" numFmtId="2" xfId="0" applyAlignment="1" applyBorder="1" applyFont="1" applyNumberFormat="1">
      <alignment horizontal="right" readingOrder="0" vertical="bottom"/>
    </xf>
    <xf borderId="1" fillId="5" fontId="0" numFmtId="2" xfId="0" applyAlignment="1" applyBorder="1" applyFont="1" applyNumberFormat="1">
      <alignment readingOrder="0" shrinkToFit="0" wrapText="0"/>
    </xf>
    <xf borderId="43" fillId="0" fontId="2" numFmtId="2" xfId="0" applyAlignment="1" applyBorder="1" applyFont="1" applyNumberFormat="1">
      <alignment horizontal="right" vertical="bottom"/>
    </xf>
    <xf borderId="43" fillId="0" fontId="2" numFmtId="0" xfId="0" applyAlignment="1" applyBorder="1" applyFont="1">
      <alignment vertical="bottom"/>
    </xf>
    <xf borderId="0" fillId="4" fontId="2" numFmtId="2" xfId="0" applyAlignment="1" applyFont="1" applyNumberFormat="1">
      <alignment horizontal="right" vertical="bottom"/>
    </xf>
    <xf borderId="0" fillId="0" fontId="9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43" fillId="0" fontId="2" numFmtId="2" xfId="0" applyAlignment="1" applyBorder="1" applyFont="1" applyNumberFormat="1">
      <alignment horizontal="right" readingOrder="0" vertical="bottom"/>
    </xf>
    <xf borderId="43" fillId="0" fontId="2" numFmtId="0" xfId="0" applyAlignment="1" applyBorder="1" applyFont="1">
      <alignment readingOrder="0" vertical="bottom"/>
    </xf>
    <xf borderId="0" fillId="4" fontId="2" numFmtId="2" xfId="0" applyAlignment="1" applyFont="1" applyNumberFormat="1">
      <alignment horizontal="right" readingOrder="0" vertical="bottom"/>
    </xf>
    <xf borderId="43" fillId="0" fontId="2" numFmtId="2" xfId="0" applyAlignment="1" applyBorder="1" applyFont="1" applyNumberFormat="1">
      <alignment vertical="bottom"/>
    </xf>
    <xf borderId="42" fillId="0" fontId="2" numFmtId="2" xfId="0" applyAlignment="1" applyBorder="1" applyFont="1" applyNumberFormat="1">
      <alignment horizontal="center" readingOrder="0" vertical="bottom"/>
    </xf>
    <xf borderId="42" fillId="0" fontId="4" numFmtId="0" xfId="0" applyBorder="1" applyFont="1"/>
    <xf borderId="1" fillId="0" fontId="0" numFmtId="2" xfId="0" applyAlignment="1" applyBorder="1" applyFont="1" applyNumberFormat="1">
      <alignment readingOrder="0" shrinkToFit="0" wrapText="0"/>
    </xf>
    <xf borderId="2" fillId="0" fontId="2" numFmtId="2" xfId="0" applyAlignment="1" applyBorder="1" applyFont="1" applyNumberFormat="1">
      <alignment readingOrder="0" vertical="bottom"/>
    </xf>
    <xf borderId="0" fillId="0" fontId="30" numFmtId="0" xfId="0" applyAlignment="1" applyFont="1">
      <alignment readingOrder="0" shrinkToFit="0" wrapText="1"/>
    </xf>
    <xf borderId="2" fillId="0" fontId="2" numFmtId="2" xfId="0" applyAlignment="1" applyBorder="1" applyFont="1" applyNumberFormat="1">
      <alignment horizontal="right" readingOrder="0" vertical="bottom"/>
    </xf>
    <xf borderId="0" fillId="8" fontId="2" numFmtId="0" xfId="0" applyAlignment="1" applyFont="1">
      <alignment horizontal="center" vertical="bottom"/>
    </xf>
    <xf borderId="0" fillId="9" fontId="2" numFmtId="0" xfId="0" applyAlignment="1" applyFont="1">
      <alignment vertical="bottom"/>
    </xf>
    <xf borderId="0" fillId="9" fontId="2" numFmtId="2" xfId="0" applyAlignment="1" applyFont="1" applyNumberFormat="1">
      <alignment horizontal="right" vertical="bottom"/>
    </xf>
    <xf borderId="0" fillId="44" fontId="32" numFmtId="0" xfId="0" applyAlignment="1" applyFill="1" applyFont="1">
      <alignment horizontal="center" readingOrder="0"/>
    </xf>
    <xf borderId="0" fillId="43" fontId="5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0" fillId="0" fontId="20" numFmtId="0" xfId="0" applyAlignment="1" applyFont="1">
      <alignment shrinkToFit="0" wrapText="1"/>
    </xf>
    <xf borderId="11" fillId="0" fontId="4" numFmtId="0" xfId="0" applyAlignment="1" applyBorder="1" applyFont="1">
      <alignment readingOrder="0"/>
    </xf>
    <xf borderId="11" fillId="0" fontId="4" numFmtId="164" xfId="0" applyAlignment="1" applyBorder="1" applyFont="1" applyNumberFormat="1">
      <alignment readingOrder="0"/>
    </xf>
    <xf borderId="0" fillId="0" fontId="4" numFmtId="0" xfId="0" applyAlignment="1" applyFont="1">
      <alignment horizontal="right" readingOrder="0"/>
    </xf>
    <xf borderId="24" fillId="0" fontId="4" numFmtId="0" xfId="0" applyAlignment="1" applyBorder="1" applyFont="1">
      <alignment horizontal="right" readingOrder="0"/>
    </xf>
    <xf borderId="0" fillId="0" fontId="4" numFmtId="0" xfId="0" applyAlignment="1" applyFont="1">
      <alignment horizontal="right"/>
    </xf>
    <xf borderId="0" fillId="4" fontId="4" numFmtId="0" xfId="0" applyAlignment="1" applyFont="1">
      <alignment readingOrder="0"/>
    </xf>
    <xf borderId="0" fillId="43" fontId="0" numFmtId="0" xfId="0" applyAlignment="1" applyFont="1">
      <alignment shrinkToFit="0" wrapText="1"/>
    </xf>
    <xf borderId="0" fillId="0" fontId="33" numFmtId="0" xfId="0" applyAlignment="1" applyFont="1">
      <alignment horizontal="center" readingOrder="0" shrinkToFit="0" wrapText="0"/>
    </xf>
    <xf borderId="0" fillId="4" fontId="8" numFmtId="2" xfId="0" applyAlignment="1" applyFont="1" applyNumberFormat="1">
      <alignment readingOrder="0" shrinkToFit="0" vertical="bottom" wrapText="1"/>
    </xf>
    <xf borderId="0" fillId="43" fontId="4" numFmtId="0" xfId="0" applyAlignment="1" applyFont="1">
      <alignment readingOrder="0" shrinkToFit="0" wrapText="1"/>
    </xf>
    <xf borderId="0" fillId="45" fontId="4" numFmtId="0" xfId="0" applyAlignment="1" applyFill="1" applyFont="1">
      <alignment readingOrder="0"/>
    </xf>
    <xf borderId="0" fillId="45" fontId="4" numFmtId="0" xfId="0" applyAlignment="1" applyFont="1">
      <alignment readingOrder="0" shrinkToFit="0" wrapText="1"/>
    </xf>
    <xf borderId="0" fillId="17" fontId="9" numFmtId="0" xfId="0" applyAlignment="1" applyFont="1">
      <alignment horizontal="center" readingOrder="0" vertical="center"/>
    </xf>
    <xf borderId="0" fillId="17" fontId="17" numFmtId="0" xfId="0" applyAlignment="1" applyFont="1">
      <alignment horizontal="center" readingOrder="0" vertical="center"/>
    </xf>
    <xf borderId="0" fillId="17" fontId="9" numFmtId="2" xfId="0" applyAlignment="1" applyFont="1" applyNumberFormat="1">
      <alignment horizontal="center" readingOrder="0" vertical="center"/>
    </xf>
    <xf borderId="1" fillId="5" fontId="0" numFmtId="2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right" readingOrder="0" shrinkToFit="0" wrapText="1"/>
    </xf>
    <xf borderId="4" fillId="4" fontId="3" numFmtId="2" xfId="0" applyAlignment="1" applyBorder="1" applyFont="1" applyNumberFormat="1">
      <alignment horizontal="right" readingOrder="0" shrinkToFit="0" wrapText="0"/>
    </xf>
    <xf borderId="1" fillId="5" fontId="3" numFmtId="2" xfId="0" applyAlignment="1" applyBorder="1" applyFont="1" applyNumberFormat="1">
      <alignment horizontal="right" readingOrder="0" shrinkToFit="0" wrapText="0"/>
    </xf>
    <xf borderId="1" fillId="0" fontId="0" numFmtId="2" xfId="0" applyAlignment="1" applyBorder="1" applyFont="1" applyNumberFormat="1">
      <alignment horizontal="right" readingOrder="0" shrinkToFit="0" wrapText="0"/>
    </xf>
    <xf borderId="0" fillId="0" fontId="5" numFmtId="0" xfId="0" applyAlignment="1" applyFont="1">
      <alignment horizontal="center" readingOrder="0" shrinkToFit="0" wrapText="1"/>
    </xf>
    <xf borderId="0" fillId="0" fontId="4" numFmtId="2" xfId="0" applyAlignment="1" applyFont="1" applyNumberFormat="1">
      <alignment horizontal="center" readingOrder="0"/>
    </xf>
    <xf borderId="4" fillId="5" fontId="0" numFmtId="2" xfId="0" applyAlignment="1" applyBorder="1" applyFont="1" applyNumberFormat="1">
      <alignment readingOrder="0" shrinkToFit="0" wrapText="0"/>
    </xf>
    <xf borderId="0" fillId="6" fontId="8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24" fontId="4" numFmtId="2" xfId="0" applyAlignment="1" applyFont="1" applyNumberFormat="1">
      <alignment readingOrder="0"/>
    </xf>
    <xf borderId="0" fillId="0" fontId="4" numFmtId="0" xfId="0" applyAlignment="1" applyFont="1">
      <alignment horizontal="left" readingOrder="0" shrinkToFit="0" wrapText="1"/>
    </xf>
    <xf borderId="5" fillId="4" fontId="8" numFmtId="0" xfId="0" applyAlignment="1" applyBorder="1" applyFont="1">
      <alignment readingOrder="0" shrinkToFit="0" vertical="bottom" wrapText="1"/>
    </xf>
    <xf borderId="0" fillId="0" fontId="0" numFmtId="0" xfId="0" applyAlignment="1" applyFont="1">
      <alignment readingOrder="0" shrinkToFit="0" wrapText="1"/>
    </xf>
    <xf borderId="0" fillId="43" fontId="0" numFmtId="0" xfId="0" applyAlignment="1" applyFont="1">
      <alignment readingOrder="0" shrinkToFit="0" wrapText="1"/>
    </xf>
    <xf borderId="0" fillId="6" fontId="13" numFmtId="0" xfId="0" applyAlignment="1" applyFont="1">
      <alignment readingOrder="0" shrinkToFit="0" wrapText="1"/>
    </xf>
    <xf borderId="0" fillId="0" fontId="3" numFmtId="2" xfId="0" applyAlignment="1" applyFont="1" applyNumberFormat="1">
      <alignment horizontal="center" readingOrder="0" shrinkToFit="0" wrapText="1"/>
    </xf>
    <xf borderId="0" fillId="0" fontId="3" numFmtId="2" xfId="0" applyAlignment="1" applyFont="1" applyNumberFormat="1">
      <alignment horizontal="center" readingOrder="0" shrinkToFit="0" vertical="center" wrapText="1"/>
    </xf>
    <xf borderId="0" fillId="0" fontId="3" numFmtId="2" xfId="0" applyAlignment="1" applyFont="1" applyNumberFormat="1">
      <alignment readingOrder="0" shrinkToFit="0" wrapText="0"/>
    </xf>
    <xf borderId="0" fillId="0" fontId="8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horizontal="left" readingOrder="0" vertical="center"/>
    </xf>
    <xf borderId="0" fillId="0" fontId="2" numFmtId="2" xfId="0" applyAlignment="1" applyFont="1" applyNumberFormat="1">
      <alignment horizontal="right" readingOrder="0" vertical="center"/>
    </xf>
    <xf borderId="0" fillId="0" fontId="2" numFmtId="2" xfId="0" applyAlignment="1" applyFont="1" applyNumberFormat="1">
      <alignment horizontal="right" vertical="center"/>
    </xf>
    <xf borderId="0" fillId="0" fontId="2" numFmtId="2" xfId="0" applyAlignment="1" applyFont="1" applyNumberFormat="1">
      <alignment horizontal="left" vertical="center"/>
    </xf>
    <xf borderId="0" fillId="0" fontId="2" numFmtId="2" xfId="0" applyAlignment="1" applyFont="1" applyNumberFormat="1">
      <alignment horizontal="left" readingOrder="0" vertical="center"/>
    </xf>
    <xf borderId="0" fillId="0" fontId="4" numFmtId="0" xfId="0" applyAlignment="1" applyFont="1">
      <alignment horizontal="left" vertical="center"/>
    </xf>
    <xf borderId="4" fillId="5" fontId="0" numFmtId="2" xfId="0" applyAlignment="1" applyBorder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6" fontId="34" numFmtId="0" xfId="0" applyAlignment="1" applyFont="1">
      <alignment horizontal="center" readingOrder="0"/>
    </xf>
    <xf borderId="0" fillId="10" fontId="4" numFmtId="0" xfId="0" applyAlignment="1" applyFont="1">
      <alignment readingOrder="0"/>
    </xf>
    <xf borderId="3" fillId="2" fontId="2" numFmtId="0" xfId="0" applyAlignment="1" applyBorder="1" applyFont="1">
      <alignment readingOrder="0" vertical="bottom"/>
    </xf>
    <xf borderId="0" fillId="21" fontId="4" numFmtId="0" xfId="0" applyAlignment="1" applyFont="1">
      <alignment readingOrder="0"/>
    </xf>
    <xf borderId="0" fillId="12" fontId="4" numFmtId="0" xfId="0" applyAlignment="1" applyFont="1">
      <alignment readingOrder="0"/>
    </xf>
    <xf borderId="0" fillId="23" fontId="4" numFmtId="2" xfId="0" applyAlignment="1" applyFont="1" applyNumberFormat="1">
      <alignment readingOrder="0"/>
    </xf>
    <xf borderId="0" fillId="23" fontId="4" numFmtId="0" xfId="0" applyAlignment="1" applyFont="1">
      <alignment readingOrder="0"/>
    </xf>
    <xf borderId="0" fillId="19" fontId="4" numFmtId="0" xfId="0" applyAlignment="1" applyFont="1">
      <alignment readingOrder="0"/>
    </xf>
    <xf borderId="0" fillId="0" fontId="4" numFmtId="2" xfId="0" applyAlignment="1" applyFont="1" applyNumberFormat="1">
      <alignment readingOrder="0" vertical="center"/>
    </xf>
    <xf borderId="0" fillId="23" fontId="4" numFmtId="2" xfId="0" applyAlignment="1" applyFont="1" applyNumberFormat="1">
      <alignment readingOrder="0" vertical="center"/>
    </xf>
    <xf borderId="0" fillId="23" fontId="4" numFmtId="0" xfId="0" applyAlignment="1" applyFont="1">
      <alignment readingOrder="0" vertical="center"/>
    </xf>
    <xf borderId="0" fillId="5" fontId="8" numFmtId="0" xfId="0" applyAlignment="1" applyFont="1">
      <alignment readingOrder="0" shrinkToFit="0" vertical="bottom" wrapText="1"/>
    </xf>
    <xf borderId="0" fillId="5" fontId="4" numFmtId="0" xfId="0" applyAlignment="1" applyFont="1">
      <alignment readingOrder="0" shrinkToFit="0" vertical="center" wrapText="1"/>
    </xf>
    <xf borderId="0" fillId="0" fontId="4" numFmtId="2" xfId="0" applyAlignment="1" applyFont="1" applyNumberFormat="1">
      <alignment horizontal="right" readingOrder="0"/>
    </xf>
    <xf borderId="0" fillId="5" fontId="4" numFmtId="0" xfId="0" applyAlignment="1" applyFont="1">
      <alignment readingOrder="0"/>
    </xf>
    <xf borderId="0" fillId="0" fontId="4" numFmtId="2" xfId="0" applyAlignment="1" applyFont="1" applyNumberFormat="1">
      <alignment horizontal="right"/>
    </xf>
    <xf borderId="0" fillId="5" fontId="4" numFmtId="2" xfId="0" applyAlignment="1" applyFont="1" applyNumberFormat="1">
      <alignment readingOrder="0" shrinkToFit="0" vertical="center" wrapText="1"/>
    </xf>
    <xf borderId="0" fillId="16" fontId="4" numFmtId="0" xfId="0" applyFont="1"/>
    <xf borderId="0" fillId="19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/>
    </xf>
    <xf borderId="0" fillId="0" fontId="0" numFmtId="0" xfId="0" applyAlignment="1" applyFont="1">
      <alignment readingOrder="0" shrinkToFit="0" vertical="bottom" wrapText="1"/>
    </xf>
    <xf borderId="0" fillId="5" fontId="8" numFmtId="2" xfId="0" applyAlignment="1" applyFont="1" applyNumberFormat="1">
      <alignment readingOrder="0" shrinkToFit="0" vertical="bottom" wrapText="1"/>
    </xf>
    <xf borderId="0" fillId="18" fontId="4" numFmtId="0" xfId="0" applyAlignment="1" applyFont="1">
      <alignment readingOrder="0"/>
    </xf>
    <xf borderId="44" fillId="16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autoroure-eco.fr/" TargetMode="External"/><Relationship Id="rId2" Type="http://schemas.openxmlformats.org/officeDocument/2006/relationships/hyperlink" Target="http://cyclezero.fr/" TargetMode="External"/><Relationship Id="rId3" Type="http://schemas.openxmlformats.org/officeDocument/2006/relationships/hyperlink" Target="http://luggageforward.com/" TargetMode="External"/><Relationship Id="rId4" Type="http://schemas.openxmlformats.org/officeDocument/2006/relationships/hyperlink" Target="http://parcel2go.com/" TargetMode="External"/><Relationship Id="rId5" Type="http://schemas.openxmlformats.org/officeDocument/2006/relationships/hyperlink" Target="http://sendmybag.com/" TargetMode="External"/><Relationship Id="rId6" Type="http://schemas.openxmlformats.org/officeDocument/2006/relationships/hyperlink" Target="http://yoojo.fr/" TargetMode="External"/><Relationship Id="rId7" Type="http://schemas.openxmlformats.org/officeDocument/2006/relationships/hyperlink" Target="http://taskrabbit.fr/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0"/>
    <col customWidth="1" min="2" max="2" width="12.57"/>
    <col customWidth="1" min="3" max="3" width="9.43"/>
    <col customWidth="1" min="4" max="4" width="9.71"/>
    <col customWidth="1" min="5" max="5" width="11.14"/>
    <col customWidth="1" min="6" max="6" width="10.43"/>
    <col customWidth="1" min="7" max="7" width="11.86"/>
    <col customWidth="1" min="8" max="8" width="14.57"/>
    <col customWidth="1" min="9" max="9" width="14.71"/>
    <col customWidth="1" min="10" max="10" width="15.43"/>
    <col customWidth="1" min="11" max="11" width="16.43"/>
    <col customWidth="1" min="13" max="13" width="12.71"/>
    <col customWidth="1" min="14" max="14" width="11.29"/>
    <col customWidth="1" min="15" max="15" width="10.43"/>
    <col customWidth="1" min="16" max="16" width="9.71"/>
    <col customWidth="1" min="17" max="17" width="14.71"/>
  </cols>
  <sheetData>
    <row r="1">
      <c r="A1" s="1" t="s">
        <v>0</v>
      </c>
    </row>
    <row r="3">
      <c r="A3" s="2"/>
      <c r="B3" s="3"/>
      <c r="C3" s="4"/>
      <c r="D3" s="4"/>
      <c r="E3" s="5"/>
      <c r="F3" s="6"/>
      <c r="G3" s="7"/>
      <c r="K3" s="8"/>
      <c r="N3" s="9"/>
      <c r="O3" s="10"/>
      <c r="P3" s="11"/>
      <c r="Q3" s="10" t="s">
        <v>1</v>
      </c>
    </row>
    <row r="4">
      <c r="A4" s="12"/>
      <c r="B4" s="13" t="s">
        <v>2</v>
      </c>
      <c r="C4" s="14"/>
      <c r="D4" s="14"/>
      <c r="E4" s="15"/>
      <c r="F4" s="16"/>
      <c r="G4" s="17" t="str">
        <f>#REF!+#REF!+#REF!+#REF!+G3</f>
        <v>#REF!</v>
      </c>
      <c r="H4" s="18"/>
      <c r="I4" s="19"/>
      <c r="J4" s="20"/>
      <c r="K4" s="21"/>
      <c r="L4" s="22"/>
      <c r="M4" s="23"/>
      <c r="N4" s="24"/>
      <c r="O4" s="25"/>
      <c r="P4" s="26"/>
      <c r="Q4" s="27">
        <v>1560.88</v>
      </c>
    </row>
    <row r="5">
      <c r="B5" s="28">
        <v>45628.0</v>
      </c>
      <c r="C5" s="29">
        <v>7.3</v>
      </c>
      <c r="D5" s="29">
        <v>17.0</v>
      </c>
      <c r="E5" s="30" t="s">
        <v>3</v>
      </c>
      <c r="F5" s="30" t="s">
        <v>4</v>
      </c>
      <c r="G5" s="29">
        <v>7.75</v>
      </c>
      <c r="O5" s="31"/>
    </row>
    <row r="6">
      <c r="B6" s="28">
        <v>45629.0</v>
      </c>
      <c r="C6" s="29">
        <v>7.3</v>
      </c>
      <c r="D6" s="29">
        <v>17.0</v>
      </c>
      <c r="E6" s="30" t="s">
        <v>3</v>
      </c>
      <c r="F6" s="30" t="s">
        <v>4</v>
      </c>
      <c r="G6" s="29">
        <v>7.75</v>
      </c>
    </row>
    <row r="7">
      <c r="B7" s="28">
        <v>45630.0</v>
      </c>
      <c r="C7" s="29">
        <v>7.3</v>
      </c>
      <c r="D7" s="29">
        <v>17.0</v>
      </c>
      <c r="E7" s="30" t="s">
        <v>3</v>
      </c>
      <c r="F7" s="30" t="s">
        <v>4</v>
      </c>
      <c r="G7" s="29">
        <v>7.75</v>
      </c>
    </row>
    <row r="8">
      <c r="B8" s="28">
        <v>45631.0</v>
      </c>
      <c r="C8" s="29">
        <v>7.3</v>
      </c>
      <c r="D8" s="29">
        <v>17.0</v>
      </c>
      <c r="E8" s="30" t="s">
        <v>3</v>
      </c>
      <c r="F8" s="30" t="s">
        <v>4</v>
      </c>
      <c r="G8" s="29">
        <v>7.75</v>
      </c>
    </row>
    <row r="9">
      <c r="B9" s="28">
        <v>45632.0</v>
      </c>
      <c r="C9" s="29">
        <v>7.3</v>
      </c>
      <c r="D9" s="29">
        <v>11.3</v>
      </c>
      <c r="E9" s="32" t="s">
        <v>5</v>
      </c>
      <c r="F9" s="32" t="s">
        <v>6</v>
      </c>
      <c r="G9" s="29">
        <v>4.0</v>
      </c>
    </row>
    <row r="10">
      <c r="A10" s="2"/>
      <c r="B10" s="3" t="s">
        <v>7</v>
      </c>
      <c r="C10" s="14"/>
      <c r="D10" s="14"/>
      <c r="E10" s="15"/>
      <c r="F10" s="6"/>
      <c r="G10" s="7">
        <f>G5+G6+G7+G8+G9</f>
        <v>35</v>
      </c>
    </row>
    <row r="11">
      <c r="B11" s="28">
        <v>45635.0</v>
      </c>
      <c r="C11" s="29">
        <v>7.3</v>
      </c>
      <c r="D11" s="29">
        <v>17.0</v>
      </c>
      <c r="E11" s="30" t="s">
        <v>3</v>
      </c>
      <c r="F11" s="30" t="s">
        <v>4</v>
      </c>
      <c r="G11" s="29">
        <v>7.75</v>
      </c>
    </row>
    <row r="12">
      <c r="B12" s="28">
        <v>45636.0</v>
      </c>
      <c r="C12" s="29">
        <v>7.3</v>
      </c>
      <c r="D12" s="29">
        <v>17.0</v>
      </c>
      <c r="E12" s="30" t="s">
        <v>3</v>
      </c>
      <c r="F12" s="30" t="s">
        <v>4</v>
      </c>
      <c r="G12" s="29">
        <v>7.75</v>
      </c>
    </row>
    <row r="13">
      <c r="B13" s="28">
        <v>45637.0</v>
      </c>
      <c r="C13" s="29">
        <v>7.3</v>
      </c>
      <c r="D13" s="29">
        <v>17.0</v>
      </c>
      <c r="E13" s="30" t="s">
        <v>3</v>
      </c>
      <c r="F13" s="30" t="s">
        <v>4</v>
      </c>
      <c r="G13" s="29">
        <v>7.75</v>
      </c>
    </row>
    <row r="14">
      <c r="B14" s="28">
        <v>45638.0</v>
      </c>
      <c r="C14" s="29">
        <v>7.3</v>
      </c>
      <c r="D14" s="29">
        <v>17.0</v>
      </c>
      <c r="E14" s="30" t="s">
        <v>3</v>
      </c>
      <c r="F14" s="30" t="s">
        <v>4</v>
      </c>
      <c r="G14" s="29">
        <v>7.75</v>
      </c>
    </row>
    <row r="15">
      <c r="B15" s="28">
        <v>45639.0</v>
      </c>
      <c r="C15" s="29">
        <v>7.3</v>
      </c>
      <c r="D15" s="29">
        <v>11.3</v>
      </c>
      <c r="E15" s="32" t="s">
        <v>5</v>
      </c>
      <c r="F15" s="32" t="s">
        <v>6</v>
      </c>
      <c r="G15" s="29">
        <v>4.0</v>
      </c>
    </row>
    <row r="16">
      <c r="A16" s="2"/>
      <c r="B16" s="3" t="s">
        <v>7</v>
      </c>
      <c r="C16" s="14"/>
      <c r="D16" s="14"/>
      <c r="E16" s="15"/>
      <c r="F16" s="6"/>
      <c r="G16" s="7">
        <f>G11+G12+G13+G14+G15</f>
        <v>35</v>
      </c>
    </row>
    <row r="17">
      <c r="B17" s="28">
        <v>45642.0</v>
      </c>
      <c r="C17" s="29">
        <v>7.3</v>
      </c>
      <c r="D17" s="29">
        <v>17.0</v>
      </c>
      <c r="E17" s="30" t="s">
        <v>3</v>
      </c>
      <c r="F17" s="30" t="s">
        <v>4</v>
      </c>
      <c r="G17" s="29">
        <v>7.75</v>
      </c>
    </row>
    <row r="18">
      <c r="B18" s="28">
        <v>45643.0</v>
      </c>
      <c r="C18" s="29">
        <v>7.3</v>
      </c>
      <c r="D18" s="29">
        <v>17.0</v>
      </c>
      <c r="E18" s="30" t="s">
        <v>3</v>
      </c>
      <c r="F18" s="30" t="s">
        <v>4</v>
      </c>
      <c r="G18" s="29">
        <v>7.75</v>
      </c>
    </row>
    <row r="19">
      <c r="B19" s="28">
        <v>45644.0</v>
      </c>
      <c r="C19" s="29">
        <v>7.3</v>
      </c>
      <c r="D19" s="29">
        <v>17.0</v>
      </c>
      <c r="E19" s="30" t="s">
        <v>3</v>
      </c>
      <c r="F19" s="30" t="s">
        <v>4</v>
      </c>
      <c r="G19" s="29">
        <v>7.75</v>
      </c>
    </row>
    <row r="20">
      <c r="B20" s="28">
        <v>45645.0</v>
      </c>
      <c r="C20" s="29">
        <v>7.3</v>
      </c>
      <c r="D20" s="29">
        <v>17.0</v>
      </c>
      <c r="E20" s="30" t="s">
        <v>3</v>
      </c>
      <c r="F20" s="30" t="s">
        <v>4</v>
      </c>
      <c r="G20" s="29">
        <v>7.75</v>
      </c>
    </row>
    <row r="21">
      <c r="B21" s="28">
        <v>45646.0</v>
      </c>
      <c r="C21" s="29">
        <v>7.3</v>
      </c>
      <c r="D21" s="29">
        <v>11.3</v>
      </c>
      <c r="E21" s="32" t="s">
        <v>5</v>
      </c>
      <c r="F21" s="32" t="s">
        <v>6</v>
      </c>
      <c r="G21" s="29">
        <v>4.0</v>
      </c>
    </row>
    <row r="22">
      <c r="A22" s="2"/>
      <c r="B22" s="3" t="s">
        <v>7</v>
      </c>
      <c r="C22" s="14"/>
      <c r="D22" s="14"/>
      <c r="E22" s="15"/>
      <c r="F22" s="6"/>
      <c r="G22" s="7">
        <f>G17+G18+G19+G20+G21</f>
        <v>35</v>
      </c>
    </row>
    <row r="23">
      <c r="B23" s="33" t="s">
        <v>8</v>
      </c>
      <c r="N23" s="9" t="s">
        <v>9</v>
      </c>
      <c r="O23" s="10" t="s">
        <v>10</v>
      </c>
      <c r="P23" s="11" t="s">
        <v>11</v>
      </c>
      <c r="Q23" s="10" t="s">
        <v>1</v>
      </c>
    </row>
    <row r="24">
      <c r="A24" s="12"/>
      <c r="B24" s="13" t="s">
        <v>2</v>
      </c>
      <c r="C24" s="14"/>
      <c r="D24" s="14"/>
      <c r="E24" s="15"/>
      <c r="F24" s="16"/>
      <c r="G24" s="17">
        <f>G1+G7+G13+G19+G23</f>
        <v>23.25</v>
      </c>
      <c r="H24" s="18"/>
      <c r="I24" s="19">
        <v>0.0</v>
      </c>
      <c r="J24" s="20"/>
      <c r="K24" s="21" t="s">
        <v>12</v>
      </c>
      <c r="L24" s="22" t="s">
        <v>13</v>
      </c>
      <c r="M24" s="23" t="s">
        <v>14</v>
      </c>
      <c r="N24" s="24">
        <v>1939.94</v>
      </c>
      <c r="O24" s="25">
        <v>1428.79</v>
      </c>
      <c r="P24" s="26">
        <v>1500.04</v>
      </c>
      <c r="Q24" s="27">
        <v>1588.72</v>
      </c>
    </row>
    <row r="25">
      <c r="B25" s="28"/>
      <c r="C25" s="29"/>
      <c r="D25" s="29"/>
      <c r="E25" s="30"/>
      <c r="F25" s="30"/>
      <c r="G25" s="29"/>
      <c r="O25" s="31">
        <f>P24-O24</f>
        <v>71.25</v>
      </c>
    </row>
    <row r="27">
      <c r="A27" s="1">
        <v>2025.0</v>
      </c>
    </row>
    <row r="28">
      <c r="B28" s="28">
        <v>45663.0</v>
      </c>
      <c r="C28" s="29">
        <v>7.3</v>
      </c>
      <c r="D28" s="29">
        <v>17.0</v>
      </c>
      <c r="E28" s="30" t="s">
        <v>3</v>
      </c>
      <c r="F28" s="30" t="s">
        <v>4</v>
      </c>
      <c r="G28" s="29">
        <v>7.75</v>
      </c>
    </row>
    <row r="29">
      <c r="B29" s="28">
        <v>45664.0</v>
      </c>
      <c r="C29" s="29">
        <v>7.3</v>
      </c>
      <c r="D29" s="29">
        <v>17.0</v>
      </c>
      <c r="E29" s="30" t="s">
        <v>3</v>
      </c>
      <c r="F29" s="30" t="s">
        <v>4</v>
      </c>
      <c r="G29" s="29">
        <v>7.75</v>
      </c>
    </row>
    <row r="30">
      <c r="B30" s="28">
        <v>45665.0</v>
      </c>
      <c r="C30" s="29">
        <v>7.3</v>
      </c>
      <c r="D30" s="29">
        <v>17.0</v>
      </c>
      <c r="E30" s="30" t="s">
        <v>3</v>
      </c>
      <c r="F30" s="30" t="s">
        <v>4</v>
      </c>
      <c r="G30" s="29">
        <v>7.75</v>
      </c>
    </row>
    <row r="31">
      <c r="B31" s="28">
        <v>45666.0</v>
      </c>
      <c r="C31" s="29">
        <v>7.3</v>
      </c>
      <c r="D31" s="29">
        <v>17.0</v>
      </c>
      <c r="E31" s="30" t="s">
        <v>3</v>
      </c>
      <c r="F31" s="30" t="s">
        <v>4</v>
      </c>
      <c r="G31" s="29">
        <v>7.75</v>
      </c>
    </row>
    <row r="32">
      <c r="B32" s="28">
        <v>45667.0</v>
      </c>
      <c r="C32" s="29">
        <v>7.3</v>
      </c>
      <c r="D32" s="29">
        <v>11.3</v>
      </c>
      <c r="E32" s="32" t="s">
        <v>5</v>
      </c>
      <c r="F32" s="32" t="s">
        <v>6</v>
      </c>
      <c r="G32" s="29">
        <v>4.0</v>
      </c>
    </row>
    <row r="33">
      <c r="A33" s="2"/>
      <c r="B33" s="3" t="s">
        <v>7</v>
      </c>
      <c r="C33" s="14"/>
      <c r="D33" s="14"/>
      <c r="E33" s="15"/>
      <c r="F33" s="6"/>
      <c r="G33" s="7">
        <f>G28+G29+G30+G31+G32</f>
        <v>35</v>
      </c>
    </row>
    <row r="34">
      <c r="B34" s="28">
        <v>45670.0</v>
      </c>
      <c r="C34" s="29">
        <v>7.3</v>
      </c>
      <c r="D34" s="29">
        <v>17.0</v>
      </c>
      <c r="E34" s="30" t="s">
        <v>3</v>
      </c>
      <c r="F34" s="30" t="s">
        <v>4</v>
      </c>
      <c r="G34" s="29">
        <v>7.75</v>
      </c>
    </row>
    <row r="35">
      <c r="B35" s="28">
        <v>45671.0</v>
      </c>
      <c r="C35" s="29">
        <v>7.3</v>
      </c>
      <c r="D35" s="29">
        <v>17.0</v>
      </c>
      <c r="E35" s="30" t="s">
        <v>3</v>
      </c>
      <c r="F35" s="30" t="s">
        <v>4</v>
      </c>
      <c r="G35" s="29">
        <v>7.75</v>
      </c>
    </row>
    <row r="36">
      <c r="B36" s="28">
        <v>45672.0</v>
      </c>
      <c r="C36" s="29">
        <v>7.3</v>
      </c>
      <c r="D36" s="29">
        <v>17.0</v>
      </c>
      <c r="E36" s="30" t="s">
        <v>3</v>
      </c>
      <c r="F36" s="30" t="s">
        <v>4</v>
      </c>
      <c r="G36" s="29">
        <v>7.75</v>
      </c>
    </row>
    <row r="37">
      <c r="B37" s="28">
        <v>45673.0</v>
      </c>
      <c r="C37" s="29">
        <v>7.3</v>
      </c>
      <c r="D37" s="29">
        <v>17.0</v>
      </c>
      <c r="E37" s="30" t="s">
        <v>3</v>
      </c>
      <c r="F37" s="30" t="s">
        <v>4</v>
      </c>
      <c r="G37" s="29">
        <v>7.75</v>
      </c>
    </row>
    <row r="38">
      <c r="B38" s="28">
        <v>45674.0</v>
      </c>
      <c r="C38" s="29">
        <v>7.3</v>
      </c>
      <c r="D38" s="29">
        <v>11.3</v>
      </c>
      <c r="E38" s="32" t="s">
        <v>5</v>
      </c>
      <c r="F38" s="32" t="s">
        <v>6</v>
      </c>
      <c r="G38" s="29">
        <v>4.0</v>
      </c>
    </row>
    <row r="39">
      <c r="A39" s="2"/>
      <c r="B39" s="3" t="s">
        <v>7</v>
      </c>
      <c r="C39" s="14"/>
      <c r="D39" s="14"/>
      <c r="E39" s="15"/>
      <c r="F39" s="6"/>
      <c r="G39" s="7">
        <f>G34+G35+G36+G37+G38</f>
        <v>35</v>
      </c>
    </row>
    <row r="40">
      <c r="B40" s="28">
        <v>45677.0</v>
      </c>
      <c r="C40" s="29">
        <v>7.3</v>
      </c>
      <c r="D40" s="29">
        <v>17.0</v>
      </c>
      <c r="E40" s="30" t="s">
        <v>3</v>
      </c>
      <c r="F40" s="30" t="s">
        <v>4</v>
      </c>
      <c r="G40" s="29">
        <v>7.75</v>
      </c>
    </row>
    <row r="41">
      <c r="B41" s="28">
        <v>45678.0</v>
      </c>
      <c r="C41" s="29">
        <v>7.3</v>
      </c>
      <c r="D41" s="29">
        <v>17.0</v>
      </c>
      <c r="E41" s="30" t="s">
        <v>3</v>
      </c>
      <c r="F41" s="30" t="s">
        <v>4</v>
      </c>
      <c r="G41" s="29">
        <v>7.75</v>
      </c>
    </row>
    <row r="42">
      <c r="B42" s="28">
        <v>45679.0</v>
      </c>
      <c r="C42" s="29">
        <v>7.3</v>
      </c>
      <c r="D42" s="29">
        <v>17.0</v>
      </c>
      <c r="E42" s="30" t="s">
        <v>3</v>
      </c>
      <c r="F42" s="30" t="s">
        <v>4</v>
      </c>
      <c r="G42" s="29">
        <v>7.75</v>
      </c>
    </row>
    <row r="43">
      <c r="B43" s="28">
        <v>45680.0</v>
      </c>
      <c r="C43" s="29">
        <v>7.3</v>
      </c>
      <c r="D43" s="29">
        <v>17.0</v>
      </c>
      <c r="E43" s="30" t="s">
        <v>3</v>
      </c>
      <c r="F43" s="30" t="s">
        <v>4</v>
      </c>
      <c r="G43" s="29">
        <v>7.75</v>
      </c>
    </row>
    <row r="44">
      <c r="B44" s="28">
        <v>45681.0</v>
      </c>
      <c r="C44" s="29">
        <v>7.3</v>
      </c>
      <c r="D44" s="29">
        <v>11.3</v>
      </c>
      <c r="E44" s="32" t="s">
        <v>5</v>
      </c>
      <c r="F44" s="32" t="s">
        <v>6</v>
      </c>
      <c r="G44" s="29">
        <v>4.0</v>
      </c>
    </row>
    <row r="45">
      <c r="A45" s="2"/>
      <c r="B45" s="3" t="s">
        <v>7</v>
      </c>
      <c r="C45" s="14"/>
      <c r="D45" s="14"/>
      <c r="E45" s="15"/>
      <c r="F45" s="6"/>
      <c r="G45" s="7">
        <f>G40+G41+G42+G43+G44</f>
        <v>35</v>
      </c>
    </row>
    <row r="46">
      <c r="B46" s="28">
        <v>45684.0</v>
      </c>
      <c r="C46" s="29">
        <v>7.3</v>
      </c>
      <c r="D46" s="29">
        <v>17.0</v>
      </c>
      <c r="E46" s="30" t="s">
        <v>3</v>
      </c>
      <c r="F46" s="30" t="s">
        <v>4</v>
      </c>
      <c r="G46" s="29">
        <v>7.75</v>
      </c>
    </row>
    <row r="47">
      <c r="B47" s="28">
        <v>45685.0</v>
      </c>
      <c r="C47" s="29">
        <v>7.3</v>
      </c>
      <c r="D47" s="29">
        <v>17.0</v>
      </c>
      <c r="E47" s="30" t="s">
        <v>3</v>
      </c>
      <c r="F47" s="30" t="s">
        <v>4</v>
      </c>
      <c r="G47" s="29">
        <v>7.75</v>
      </c>
    </row>
    <row r="48">
      <c r="B48" s="28">
        <v>45686.0</v>
      </c>
      <c r="C48" s="29">
        <v>7.3</v>
      </c>
      <c r="D48" s="29">
        <v>17.0</v>
      </c>
      <c r="E48" s="30" t="s">
        <v>3</v>
      </c>
      <c r="F48" s="30" t="s">
        <v>4</v>
      </c>
      <c r="G48" s="29">
        <v>7.75</v>
      </c>
    </row>
    <row r="49">
      <c r="B49" s="28">
        <v>45687.0</v>
      </c>
      <c r="C49" s="29">
        <v>7.3</v>
      </c>
      <c r="D49" s="29">
        <v>17.0</v>
      </c>
      <c r="E49" s="30" t="s">
        <v>3</v>
      </c>
      <c r="F49" s="30" t="s">
        <v>4</v>
      </c>
      <c r="G49" s="29">
        <v>7.75</v>
      </c>
    </row>
    <row r="50">
      <c r="B50" s="28">
        <v>45688.0</v>
      </c>
      <c r="C50" s="34" t="s">
        <v>15</v>
      </c>
      <c r="I50" s="35">
        <v>-4.0</v>
      </c>
      <c r="L50" s="36" t="s">
        <v>16</v>
      </c>
      <c r="M50" s="37"/>
    </row>
    <row r="51">
      <c r="A51" s="2"/>
      <c r="B51" s="3" t="s">
        <v>7</v>
      </c>
      <c r="C51" s="14"/>
      <c r="D51" s="14"/>
      <c r="E51" s="15"/>
      <c r="F51" s="6"/>
      <c r="G51" s="7">
        <f>G46+G47+G48+G49+G50</f>
        <v>31</v>
      </c>
      <c r="K51" s="8"/>
      <c r="N51" s="9" t="s">
        <v>9</v>
      </c>
      <c r="O51" s="10" t="s">
        <v>10</v>
      </c>
      <c r="P51" s="11" t="s">
        <v>11</v>
      </c>
      <c r="Q51" s="10" t="s">
        <v>1</v>
      </c>
    </row>
    <row r="52">
      <c r="A52" s="12"/>
      <c r="B52" s="13" t="s">
        <v>2</v>
      </c>
      <c r="C52" s="14"/>
      <c r="D52" s="14"/>
      <c r="E52" s="15"/>
      <c r="F52" s="16"/>
      <c r="G52" s="17">
        <f>G29+G35+G41+G47+G51</f>
        <v>62</v>
      </c>
      <c r="H52" s="18"/>
      <c r="I52" s="19">
        <f>I50</f>
        <v>-4</v>
      </c>
      <c r="J52" s="20">
        <f>I52</f>
        <v>-4</v>
      </c>
      <c r="K52" s="21" t="s">
        <v>17</v>
      </c>
      <c r="L52" s="22" t="s">
        <v>13</v>
      </c>
      <c r="M52" s="23" t="s">
        <v>14</v>
      </c>
      <c r="N52" s="24">
        <v>1917.31</v>
      </c>
      <c r="O52" s="25">
        <v>1424.26</v>
      </c>
      <c r="P52" s="26">
        <v>1481.56</v>
      </c>
      <c r="Q52" s="27">
        <v>1570.12</v>
      </c>
    </row>
    <row r="53">
      <c r="B53" s="28">
        <v>45691.0</v>
      </c>
      <c r="C53" s="29">
        <v>7.3</v>
      </c>
      <c r="D53" s="29">
        <v>17.0</v>
      </c>
      <c r="E53" s="30" t="s">
        <v>3</v>
      </c>
      <c r="F53" s="30" t="s">
        <v>4</v>
      </c>
      <c r="G53" s="29">
        <v>7.75</v>
      </c>
      <c r="O53" s="38">
        <f>P52-O52</f>
        <v>57.3</v>
      </c>
    </row>
    <row r="54">
      <c r="B54" s="28">
        <v>45692.0</v>
      </c>
      <c r="C54" s="29">
        <v>7.3</v>
      </c>
      <c r="D54" s="29">
        <v>17.0</v>
      </c>
      <c r="E54" s="30" t="s">
        <v>3</v>
      </c>
      <c r="F54" s="30" t="s">
        <v>4</v>
      </c>
      <c r="G54" s="29">
        <v>7.75</v>
      </c>
    </row>
    <row r="55">
      <c r="B55" s="28">
        <v>45693.0</v>
      </c>
      <c r="C55" s="29">
        <v>7.3</v>
      </c>
      <c r="D55" s="29">
        <v>17.0</v>
      </c>
      <c r="E55" s="30" t="s">
        <v>3</v>
      </c>
      <c r="F55" s="30" t="s">
        <v>4</v>
      </c>
      <c r="G55" s="29">
        <v>7.75</v>
      </c>
    </row>
    <row r="56">
      <c r="B56" s="28">
        <v>45694.0</v>
      </c>
      <c r="C56" s="29">
        <v>7.3</v>
      </c>
      <c r="D56" s="29">
        <v>17.0</v>
      </c>
      <c r="E56" s="30" t="s">
        <v>3</v>
      </c>
      <c r="F56" s="30" t="s">
        <v>4</v>
      </c>
      <c r="G56" s="29">
        <v>7.75</v>
      </c>
    </row>
    <row r="57">
      <c r="B57" s="28">
        <v>45695.0</v>
      </c>
      <c r="C57" s="29">
        <v>7.3</v>
      </c>
      <c r="D57" s="29">
        <v>11.3</v>
      </c>
      <c r="E57" s="32" t="s">
        <v>5</v>
      </c>
      <c r="F57" s="32" t="s">
        <v>6</v>
      </c>
      <c r="G57" s="29">
        <v>4.0</v>
      </c>
    </row>
    <row r="58">
      <c r="A58" s="2"/>
      <c r="B58" s="3" t="s">
        <v>7</v>
      </c>
      <c r="C58" s="14"/>
      <c r="D58" s="14"/>
      <c r="E58" s="15"/>
      <c r="F58" s="6"/>
      <c r="G58" s="7">
        <f>G53+G54+G55+G56+G57</f>
        <v>35</v>
      </c>
    </row>
    <row r="59">
      <c r="B59" s="28">
        <v>45698.0</v>
      </c>
      <c r="C59" s="29">
        <v>7.3</v>
      </c>
      <c r="D59" s="29">
        <v>17.0</v>
      </c>
      <c r="E59" s="30" t="s">
        <v>3</v>
      </c>
      <c r="F59" s="30" t="s">
        <v>4</v>
      </c>
      <c r="G59" s="29">
        <v>7.75</v>
      </c>
    </row>
    <row r="60">
      <c r="B60" s="28">
        <v>45699.0</v>
      </c>
      <c r="C60" s="29">
        <v>7.3</v>
      </c>
      <c r="D60" s="29">
        <v>17.0</v>
      </c>
      <c r="E60" s="30" t="s">
        <v>3</v>
      </c>
      <c r="F60" s="30" t="s">
        <v>4</v>
      </c>
      <c r="G60" s="29">
        <v>7.75</v>
      </c>
    </row>
    <row r="61">
      <c r="B61" s="28">
        <v>45700.0</v>
      </c>
      <c r="C61" s="29">
        <v>7.3</v>
      </c>
      <c r="D61" s="29">
        <v>17.0</v>
      </c>
      <c r="E61" s="30" t="s">
        <v>3</v>
      </c>
      <c r="F61" s="30" t="s">
        <v>4</v>
      </c>
      <c r="G61" s="29">
        <v>7.75</v>
      </c>
    </row>
    <row r="62">
      <c r="B62" s="28">
        <v>45701.0</v>
      </c>
      <c r="C62" s="29">
        <v>7.3</v>
      </c>
      <c r="D62" s="29">
        <v>17.0</v>
      </c>
      <c r="E62" s="30" t="s">
        <v>3</v>
      </c>
      <c r="F62" s="30" t="s">
        <v>4</v>
      </c>
      <c r="G62" s="29">
        <v>7.75</v>
      </c>
    </row>
    <row r="63">
      <c r="B63" s="28">
        <v>45702.0</v>
      </c>
      <c r="C63" s="34" t="s">
        <v>18</v>
      </c>
    </row>
    <row r="64">
      <c r="A64" s="2"/>
      <c r="B64" s="3" t="s">
        <v>7</v>
      </c>
      <c r="C64" s="14"/>
      <c r="D64" s="14"/>
      <c r="E64" s="15"/>
      <c r="F64" s="6"/>
      <c r="G64" s="7">
        <f>G59+G60+G61+G62+G63</f>
        <v>31</v>
      </c>
    </row>
    <row r="65">
      <c r="B65" s="28">
        <v>45705.0</v>
      </c>
      <c r="C65" s="34" t="s">
        <v>18</v>
      </c>
      <c r="H65" s="34"/>
      <c r="I65" s="34"/>
    </row>
    <row r="66">
      <c r="B66" s="28">
        <v>45706.0</v>
      </c>
      <c r="C66" s="34" t="s">
        <v>18</v>
      </c>
    </row>
    <row r="67">
      <c r="B67" s="28">
        <v>45707.0</v>
      </c>
      <c r="C67" s="34" t="s">
        <v>18</v>
      </c>
    </row>
    <row r="68">
      <c r="B68" s="28">
        <v>45708.0</v>
      </c>
      <c r="C68" s="34" t="s">
        <v>18</v>
      </c>
    </row>
    <row r="69">
      <c r="B69" s="28">
        <v>45709.0</v>
      </c>
      <c r="C69" s="34" t="s">
        <v>18</v>
      </c>
    </row>
    <row r="70">
      <c r="A70" s="2"/>
      <c r="B70" s="3" t="s">
        <v>7</v>
      </c>
      <c r="C70" s="14"/>
      <c r="D70" s="14"/>
      <c r="E70" s="15"/>
      <c r="F70" s="6"/>
      <c r="G70" s="7">
        <f>G65+G66+G67+G68+G69</f>
        <v>0</v>
      </c>
    </row>
    <row r="71">
      <c r="B71" s="28">
        <v>45712.0</v>
      </c>
      <c r="C71" s="29">
        <v>7.3</v>
      </c>
      <c r="D71" s="29">
        <v>17.0</v>
      </c>
      <c r="E71" s="30" t="s">
        <v>3</v>
      </c>
      <c r="F71" s="30" t="s">
        <v>4</v>
      </c>
      <c r="G71" s="29">
        <v>7.75</v>
      </c>
    </row>
    <row r="72">
      <c r="B72" s="28">
        <v>45713.0</v>
      </c>
      <c r="C72" s="29">
        <v>7.3</v>
      </c>
      <c r="D72" s="29">
        <v>17.0</v>
      </c>
      <c r="E72" s="30" t="s">
        <v>3</v>
      </c>
      <c r="F72" s="30" t="s">
        <v>4</v>
      </c>
      <c r="G72" s="29">
        <v>7.75</v>
      </c>
    </row>
    <row r="73">
      <c r="B73" s="28">
        <v>45714.0</v>
      </c>
      <c r="C73" s="29">
        <v>7.3</v>
      </c>
      <c r="D73" s="29">
        <v>17.0</v>
      </c>
      <c r="E73" s="30" t="s">
        <v>3</v>
      </c>
      <c r="F73" s="30" t="s">
        <v>4</v>
      </c>
      <c r="G73" s="29">
        <v>7.75</v>
      </c>
    </row>
    <row r="74">
      <c r="B74" s="28">
        <v>45715.0</v>
      </c>
      <c r="C74" s="29">
        <v>7.3</v>
      </c>
      <c r="D74" s="29">
        <v>17.0</v>
      </c>
      <c r="E74" s="30" t="s">
        <v>3</v>
      </c>
      <c r="F74" s="30" t="s">
        <v>4</v>
      </c>
      <c r="G74" s="29">
        <v>7.75</v>
      </c>
    </row>
    <row r="75">
      <c r="B75" s="28">
        <v>45716.0</v>
      </c>
      <c r="C75" s="29">
        <v>7.3</v>
      </c>
      <c r="D75" s="29">
        <v>11.3</v>
      </c>
      <c r="E75" s="32" t="s">
        <v>5</v>
      </c>
      <c r="F75" s="32" t="s">
        <v>6</v>
      </c>
      <c r="G75" s="29">
        <v>4.0</v>
      </c>
    </row>
    <row r="76">
      <c r="A76" s="2"/>
      <c r="B76" s="3" t="s">
        <v>7</v>
      </c>
      <c r="C76" s="14"/>
      <c r="D76" s="14"/>
      <c r="E76" s="15"/>
      <c r="F76" s="6"/>
      <c r="G76" s="7">
        <f>G71+G72+G73+G74+G75</f>
        <v>35</v>
      </c>
      <c r="K76" s="8"/>
      <c r="N76" s="9" t="s">
        <v>9</v>
      </c>
      <c r="O76" s="10" t="s">
        <v>10</v>
      </c>
      <c r="P76" s="11" t="s">
        <v>11</v>
      </c>
      <c r="Q76" s="10" t="s">
        <v>1</v>
      </c>
    </row>
    <row r="77">
      <c r="A77" s="12"/>
      <c r="B77" s="13" t="s">
        <v>2</v>
      </c>
      <c r="C77" s="14"/>
      <c r="D77" s="14"/>
      <c r="E77" s="15"/>
      <c r="F77" s="16"/>
      <c r="G77" s="17">
        <f>G54+G60+G66+G72+G76</f>
        <v>58.25</v>
      </c>
      <c r="H77" s="18"/>
      <c r="I77" s="19" t="str">
        <f>I75</f>
        <v/>
      </c>
      <c r="J77" s="20" t="str">
        <f>I77</f>
        <v/>
      </c>
      <c r="K77" s="21" t="s">
        <v>17</v>
      </c>
      <c r="L77" s="22" t="s">
        <v>19</v>
      </c>
      <c r="M77" s="23" t="s">
        <v>14</v>
      </c>
      <c r="N77" s="24">
        <v>1375.04</v>
      </c>
      <c r="O77" s="25">
        <v>976.31</v>
      </c>
      <c r="P77" s="26">
        <v>1052.31</v>
      </c>
      <c r="Q77" s="27">
        <v>1125.41</v>
      </c>
    </row>
    <row r="78">
      <c r="B78" s="28">
        <v>45719.0</v>
      </c>
      <c r="C78" s="29">
        <v>7.3</v>
      </c>
      <c r="D78" s="29">
        <v>17.0</v>
      </c>
      <c r="E78" s="30" t="s">
        <v>3</v>
      </c>
      <c r="F78" s="30" t="s">
        <v>4</v>
      </c>
      <c r="G78" s="29">
        <v>7.75</v>
      </c>
      <c r="O78" s="38">
        <f>P77-O77</f>
        <v>76</v>
      </c>
    </row>
    <row r="79">
      <c r="B79" s="28">
        <v>45720.0</v>
      </c>
      <c r="C79" s="29">
        <v>7.3</v>
      </c>
      <c r="D79" s="29">
        <v>17.0</v>
      </c>
      <c r="E79" s="30" t="s">
        <v>3</v>
      </c>
      <c r="F79" s="30" t="s">
        <v>4</v>
      </c>
      <c r="G79" s="29">
        <v>7.75</v>
      </c>
    </row>
    <row r="80">
      <c r="B80" s="28">
        <v>45721.0</v>
      </c>
      <c r="C80" s="29">
        <v>7.3</v>
      </c>
      <c r="D80" s="29">
        <v>17.0</v>
      </c>
      <c r="E80" s="30" t="s">
        <v>3</v>
      </c>
      <c r="F80" s="30" t="s">
        <v>4</v>
      </c>
      <c r="G80" s="29">
        <v>7.75</v>
      </c>
    </row>
    <row r="81">
      <c r="B81" s="28">
        <v>45722.0</v>
      </c>
      <c r="C81" s="29">
        <v>7.3</v>
      </c>
      <c r="D81" s="29">
        <v>17.0</v>
      </c>
      <c r="E81" s="30" t="s">
        <v>3</v>
      </c>
      <c r="F81" s="30" t="s">
        <v>4</v>
      </c>
      <c r="G81" s="29">
        <v>7.75</v>
      </c>
    </row>
    <row r="82">
      <c r="B82" s="28">
        <v>45723.0</v>
      </c>
      <c r="C82" s="29">
        <v>7.3</v>
      </c>
      <c r="D82" s="29">
        <v>11.3</v>
      </c>
      <c r="E82" s="32" t="s">
        <v>5</v>
      </c>
      <c r="F82" s="32" t="s">
        <v>6</v>
      </c>
      <c r="G82" s="29">
        <v>4.0</v>
      </c>
    </row>
    <row r="83">
      <c r="A83" s="2"/>
      <c r="B83" s="3" t="s">
        <v>7</v>
      </c>
      <c r="C83" s="14"/>
      <c r="D83" s="14"/>
      <c r="E83" s="15"/>
      <c r="F83" s="6"/>
      <c r="G83" s="7">
        <f>G78+G79+G80+G81+G82</f>
        <v>35</v>
      </c>
    </row>
    <row r="84">
      <c r="B84" s="28">
        <v>45726.0</v>
      </c>
      <c r="C84" s="29">
        <v>7.3</v>
      </c>
      <c r="D84" s="29">
        <v>17.0</v>
      </c>
      <c r="E84" s="30" t="s">
        <v>3</v>
      </c>
      <c r="F84" s="30" t="s">
        <v>4</v>
      </c>
      <c r="G84" s="29">
        <v>7.75</v>
      </c>
    </row>
    <row r="85">
      <c r="B85" s="28">
        <v>45727.0</v>
      </c>
      <c r="C85" s="29">
        <v>7.3</v>
      </c>
      <c r="D85" s="29">
        <v>17.0</v>
      </c>
      <c r="E85" s="30" t="s">
        <v>3</v>
      </c>
      <c r="F85" s="30" t="s">
        <v>4</v>
      </c>
      <c r="G85" s="29">
        <v>7.75</v>
      </c>
    </row>
    <row r="86">
      <c r="B86" s="28">
        <v>45728.0</v>
      </c>
      <c r="C86" s="29">
        <v>7.3</v>
      </c>
      <c r="D86" s="29">
        <v>17.0</v>
      </c>
      <c r="E86" s="30" t="s">
        <v>3</v>
      </c>
      <c r="F86" s="30" t="s">
        <v>4</v>
      </c>
      <c r="G86" s="29">
        <v>7.75</v>
      </c>
    </row>
    <row r="87">
      <c r="B87" s="28">
        <v>45729.0</v>
      </c>
      <c r="C87" s="29">
        <v>7.3</v>
      </c>
      <c r="D87" s="29">
        <v>17.0</v>
      </c>
      <c r="E87" s="30" t="s">
        <v>3</v>
      </c>
      <c r="F87" s="30" t="s">
        <v>4</v>
      </c>
      <c r="G87" s="29">
        <v>7.75</v>
      </c>
    </row>
    <row r="88">
      <c r="B88" s="28">
        <v>45730.0</v>
      </c>
      <c r="C88" s="29">
        <v>7.3</v>
      </c>
      <c r="D88" s="29">
        <v>11.3</v>
      </c>
      <c r="E88" s="32" t="s">
        <v>5</v>
      </c>
      <c r="F88" s="32" t="s">
        <v>6</v>
      </c>
      <c r="G88" s="29">
        <v>4.0</v>
      </c>
    </row>
    <row r="89">
      <c r="A89" s="2"/>
      <c r="B89" s="3" t="s">
        <v>7</v>
      </c>
      <c r="C89" s="14"/>
      <c r="D89" s="14"/>
      <c r="E89" s="15"/>
      <c r="F89" s="6"/>
      <c r="G89" s="7">
        <f>G84+G85+G86+G87+G88</f>
        <v>35</v>
      </c>
    </row>
    <row r="90">
      <c r="B90" s="28">
        <v>45733.0</v>
      </c>
      <c r="C90" s="29">
        <v>7.3</v>
      </c>
      <c r="D90" s="29">
        <v>17.0</v>
      </c>
      <c r="E90" s="30" t="s">
        <v>3</v>
      </c>
      <c r="F90" s="30" t="s">
        <v>4</v>
      </c>
      <c r="G90" s="29">
        <v>7.75</v>
      </c>
    </row>
    <row r="91">
      <c r="B91" s="28">
        <v>45734.0</v>
      </c>
      <c r="C91" s="29">
        <v>7.3</v>
      </c>
      <c r="D91" s="29">
        <v>17.0</v>
      </c>
      <c r="E91" s="30" t="s">
        <v>3</v>
      </c>
      <c r="F91" s="30" t="s">
        <v>4</v>
      </c>
      <c r="G91" s="29">
        <v>7.75</v>
      </c>
    </row>
    <row r="92">
      <c r="B92" s="28">
        <v>45735.0</v>
      </c>
      <c r="C92" s="29">
        <v>7.3</v>
      </c>
      <c r="D92" s="29">
        <v>17.0</v>
      </c>
      <c r="E92" s="30" t="s">
        <v>3</v>
      </c>
      <c r="F92" s="30" t="s">
        <v>4</v>
      </c>
      <c r="G92" s="29">
        <v>7.75</v>
      </c>
    </row>
    <row r="93">
      <c r="B93" s="28">
        <v>45736.0</v>
      </c>
      <c r="C93" s="29">
        <v>7.3</v>
      </c>
      <c r="D93" s="29">
        <v>17.0</v>
      </c>
      <c r="E93" s="30" t="s">
        <v>3</v>
      </c>
      <c r="F93" s="30" t="s">
        <v>4</v>
      </c>
      <c r="G93" s="29">
        <v>7.75</v>
      </c>
    </row>
    <row r="94">
      <c r="B94" s="28">
        <v>45737.0</v>
      </c>
      <c r="C94" s="29">
        <v>7.3</v>
      </c>
      <c r="D94" s="29">
        <v>11.3</v>
      </c>
      <c r="E94" s="32" t="s">
        <v>5</v>
      </c>
      <c r="F94" s="32" t="s">
        <v>6</v>
      </c>
      <c r="G94" s="29">
        <v>4.0</v>
      </c>
    </row>
    <row r="95">
      <c r="A95" s="2"/>
      <c r="B95" s="3" t="s">
        <v>7</v>
      </c>
      <c r="C95" s="14"/>
      <c r="D95" s="14"/>
      <c r="E95" s="15"/>
      <c r="F95" s="6"/>
      <c r="G95" s="7">
        <f>G90+G91+G92+G93+G94</f>
        <v>35</v>
      </c>
    </row>
    <row r="96">
      <c r="B96" s="28">
        <v>45740.0</v>
      </c>
      <c r="C96" s="29">
        <v>7.3</v>
      </c>
      <c r="D96" s="29">
        <v>17.0</v>
      </c>
      <c r="E96" s="30" t="s">
        <v>3</v>
      </c>
      <c r="F96" s="30" t="s">
        <v>4</v>
      </c>
      <c r="G96" s="29">
        <v>7.75</v>
      </c>
    </row>
    <row r="97">
      <c r="B97" s="28">
        <v>45741.0</v>
      </c>
      <c r="C97" s="29">
        <v>7.3</v>
      </c>
      <c r="D97" s="29">
        <v>17.0</v>
      </c>
      <c r="E97" s="30" t="s">
        <v>3</v>
      </c>
      <c r="F97" s="30" t="s">
        <v>4</v>
      </c>
      <c r="G97" s="29">
        <v>7.75</v>
      </c>
    </row>
    <row r="98">
      <c r="B98" s="28">
        <v>45742.0</v>
      </c>
      <c r="C98" s="29">
        <v>7.3</v>
      </c>
      <c r="D98" s="29">
        <v>17.0</v>
      </c>
      <c r="E98" s="30" t="s">
        <v>3</v>
      </c>
      <c r="F98" s="30" t="s">
        <v>4</v>
      </c>
      <c r="G98" s="29">
        <v>7.75</v>
      </c>
    </row>
    <row r="99">
      <c r="B99" s="28">
        <v>45743.0</v>
      </c>
      <c r="C99" s="29">
        <v>7.3</v>
      </c>
      <c r="D99" s="29">
        <v>17.0</v>
      </c>
      <c r="E99" s="30" t="s">
        <v>3</v>
      </c>
      <c r="F99" s="30" t="s">
        <v>4</v>
      </c>
      <c r="G99" s="29">
        <v>7.75</v>
      </c>
    </row>
    <row r="100">
      <c r="B100" s="28">
        <v>45744.0</v>
      </c>
      <c r="C100" s="29">
        <v>7.3</v>
      </c>
      <c r="D100" s="29">
        <v>11.3</v>
      </c>
      <c r="E100" s="32" t="s">
        <v>5</v>
      </c>
      <c r="F100" s="32" t="s">
        <v>6</v>
      </c>
      <c r="G100" s="29">
        <v>4.0</v>
      </c>
    </row>
    <row r="101">
      <c r="A101" s="2"/>
      <c r="B101" s="3" t="s">
        <v>7</v>
      </c>
      <c r="C101" s="14"/>
      <c r="D101" s="14"/>
      <c r="E101" s="15"/>
      <c r="F101" s="6"/>
      <c r="G101" s="7">
        <f>G94+G95+G96+G97+G98</f>
        <v>62.25</v>
      </c>
      <c r="K101" s="8"/>
      <c r="N101" s="9"/>
      <c r="O101" s="10"/>
      <c r="P101" s="11"/>
      <c r="Q101" s="10"/>
    </row>
    <row r="102">
      <c r="B102" s="28">
        <v>45747.0</v>
      </c>
      <c r="C102" s="29">
        <v>7.3</v>
      </c>
      <c r="D102" s="29">
        <v>17.0</v>
      </c>
      <c r="E102" s="30" t="s">
        <v>3</v>
      </c>
      <c r="F102" s="30" t="s">
        <v>4</v>
      </c>
      <c r="G102" s="29">
        <v>7.75</v>
      </c>
      <c r="K102" s="8"/>
      <c r="N102" s="9"/>
      <c r="O102" s="10"/>
      <c r="P102" s="11"/>
      <c r="Q102" s="10"/>
    </row>
    <row r="103">
      <c r="A103" s="2"/>
      <c r="B103" s="3" t="s">
        <v>7</v>
      </c>
      <c r="C103" s="14"/>
      <c r="D103" s="14"/>
      <c r="E103" s="15"/>
      <c r="F103" s="6"/>
      <c r="G103" s="7">
        <f>G96+G97+G98+G99+G100</f>
        <v>35</v>
      </c>
      <c r="K103" s="8"/>
      <c r="N103" s="9" t="s">
        <v>9</v>
      </c>
      <c r="O103" s="10" t="s">
        <v>10</v>
      </c>
      <c r="P103" s="11" t="s">
        <v>11</v>
      </c>
      <c r="Q103" s="10" t="s">
        <v>1</v>
      </c>
    </row>
    <row r="104">
      <c r="A104" s="12"/>
      <c r="B104" s="13" t="s">
        <v>2</v>
      </c>
      <c r="C104" s="14"/>
      <c r="D104" s="14"/>
      <c r="E104" s="15"/>
      <c r="F104" s="16"/>
      <c r="G104" s="17">
        <f>G79+G85+G91+G97+G103</f>
        <v>66</v>
      </c>
      <c r="H104" s="18"/>
      <c r="I104" s="19" t="str">
        <f>I100</f>
        <v/>
      </c>
      <c r="J104" s="20" t="str">
        <f>I104</f>
        <v/>
      </c>
      <c r="K104" s="21" t="s">
        <v>17</v>
      </c>
      <c r="L104" s="22" t="s">
        <v>13</v>
      </c>
      <c r="M104" s="23" t="s">
        <v>14</v>
      </c>
      <c r="N104" s="24">
        <v>2258.54</v>
      </c>
      <c r="O104" s="25">
        <v>1694.69</v>
      </c>
      <c r="P104" s="26">
        <v>1751.69</v>
      </c>
      <c r="Q104" s="27">
        <v>1849.97</v>
      </c>
    </row>
    <row r="105">
      <c r="B105" s="28">
        <v>45748.0</v>
      </c>
      <c r="C105" s="29">
        <v>7.3</v>
      </c>
      <c r="D105" s="29">
        <v>17.0</v>
      </c>
      <c r="E105" s="30" t="s">
        <v>3</v>
      </c>
      <c r="F105" s="30" t="s">
        <v>4</v>
      </c>
      <c r="G105" s="29">
        <v>7.75</v>
      </c>
      <c r="O105" s="38">
        <f>P104-O104</f>
        <v>57</v>
      </c>
    </row>
    <row r="106">
      <c r="B106" s="28">
        <v>45749.0</v>
      </c>
      <c r="C106" s="29">
        <v>7.3</v>
      </c>
      <c r="D106" s="29">
        <v>17.0</v>
      </c>
      <c r="E106" s="30" t="s">
        <v>3</v>
      </c>
      <c r="F106" s="30" t="s">
        <v>4</v>
      </c>
      <c r="G106" s="29">
        <v>7.75</v>
      </c>
    </row>
    <row r="107">
      <c r="B107" s="28">
        <v>45750.0</v>
      </c>
      <c r="C107" s="29">
        <v>7.3</v>
      </c>
      <c r="D107" s="29">
        <v>17.0</v>
      </c>
      <c r="E107" s="30" t="s">
        <v>3</v>
      </c>
      <c r="F107" s="30" t="s">
        <v>4</v>
      </c>
      <c r="G107" s="29">
        <v>7.75</v>
      </c>
    </row>
    <row r="108">
      <c r="B108" s="28">
        <v>45751.0</v>
      </c>
      <c r="C108" s="29">
        <v>7.3</v>
      </c>
      <c r="D108" s="29">
        <v>11.3</v>
      </c>
      <c r="E108" s="32" t="s">
        <v>5</v>
      </c>
      <c r="F108" s="32" t="s">
        <v>6</v>
      </c>
      <c r="G108" s="29">
        <v>4.0</v>
      </c>
    </row>
    <row r="109">
      <c r="A109" s="2"/>
      <c r="B109" s="3" t="s">
        <v>7</v>
      </c>
      <c r="C109" s="14"/>
      <c r="D109" s="14"/>
      <c r="E109" s="15"/>
      <c r="F109" s="6"/>
      <c r="G109" s="7">
        <f>G105+G106+G107+G108</f>
        <v>27.25</v>
      </c>
    </row>
    <row r="110">
      <c r="B110" s="28">
        <v>45754.0</v>
      </c>
      <c r="C110" s="29">
        <v>7.3</v>
      </c>
      <c r="D110" s="29">
        <v>17.0</v>
      </c>
      <c r="E110" s="30" t="s">
        <v>3</v>
      </c>
      <c r="F110" s="30" t="s">
        <v>4</v>
      </c>
      <c r="G110" s="29">
        <v>7.75</v>
      </c>
    </row>
    <row r="111">
      <c r="B111" s="28">
        <v>45755.0</v>
      </c>
      <c r="C111" s="29">
        <v>7.3</v>
      </c>
      <c r="D111" s="29">
        <v>17.0</v>
      </c>
      <c r="E111" s="30" t="s">
        <v>3</v>
      </c>
      <c r="F111" s="30" t="s">
        <v>4</v>
      </c>
      <c r="G111" s="29">
        <v>7.75</v>
      </c>
    </row>
    <row r="112">
      <c r="B112" s="28">
        <v>45756.0</v>
      </c>
      <c r="C112" s="29">
        <v>7.3</v>
      </c>
      <c r="D112" s="29">
        <v>17.0</v>
      </c>
      <c r="E112" s="30" t="s">
        <v>3</v>
      </c>
      <c r="F112" s="30" t="s">
        <v>4</v>
      </c>
      <c r="G112" s="29">
        <v>7.75</v>
      </c>
    </row>
    <row r="113">
      <c r="B113" s="28">
        <v>45757.0</v>
      </c>
      <c r="C113" s="29">
        <v>7.3</v>
      </c>
      <c r="D113" s="29">
        <v>17.0</v>
      </c>
      <c r="E113" s="30" t="s">
        <v>3</v>
      </c>
      <c r="F113" s="30" t="s">
        <v>4</v>
      </c>
      <c r="G113" s="29">
        <v>7.75</v>
      </c>
    </row>
    <row r="114">
      <c r="B114" s="28">
        <v>45758.0</v>
      </c>
      <c r="C114" s="29">
        <v>7.3</v>
      </c>
      <c r="D114" s="29">
        <v>11.3</v>
      </c>
      <c r="E114" s="32" t="s">
        <v>5</v>
      </c>
      <c r="F114" s="32" t="s">
        <v>6</v>
      </c>
      <c r="G114" s="29">
        <v>4.0</v>
      </c>
    </row>
    <row r="115">
      <c r="A115" s="2"/>
      <c r="B115" s="3" t="s">
        <v>7</v>
      </c>
      <c r="C115" s="14"/>
      <c r="D115" s="14"/>
      <c r="E115" s="15"/>
      <c r="F115" s="6"/>
      <c r="G115" s="7">
        <f>G110+G111+G112+G113+G114</f>
        <v>35</v>
      </c>
    </row>
    <row r="116">
      <c r="B116" s="28">
        <v>45761.0</v>
      </c>
      <c r="C116" s="29">
        <v>7.3</v>
      </c>
      <c r="D116" s="29">
        <v>17.0</v>
      </c>
      <c r="E116" s="30" t="s">
        <v>3</v>
      </c>
      <c r="F116" s="30" t="s">
        <v>4</v>
      </c>
      <c r="G116" s="29">
        <v>7.75</v>
      </c>
    </row>
    <row r="117">
      <c r="B117" s="28">
        <v>45762.0</v>
      </c>
      <c r="C117" s="29">
        <v>7.3</v>
      </c>
      <c r="D117" s="29">
        <v>17.0</v>
      </c>
      <c r="E117" s="30" t="s">
        <v>3</v>
      </c>
      <c r="F117" s="30" t="s">
        <v>4</v>
      </c>
      <c r="G117" s="29">
        <v>7.75</v>
      </c>
    </row>
    <row r="118">
      <c r="B118" s="28">
        <v>45763.0</v>
      </c>
      <c r="C118" s="29">
        <v>7.3</v>
      </c>
      <c r="D118" s="29">
        <v>17.0</v>
      </c>
      <c r="E118" s="30" t="s">
        <v>3</v>
      </c>
      <c r="F118" s="30" t="s">
        <v>4</v>
      </c>
      <c r="G118" s="29">
        <v>7.75</v>
      </c>
    </row>
    <row r="119">
      <c r="B119" s="28">
        <v>45764.0</v>
      </c>
      <c r="C119" s="29">
        <v>7.3</v>
      </c>
      <c r="D119" s="29">
        <v>17.0</v>
      </c>
      <c r="E119" s="30" t="s">
        <v>3</v>
      </c>
      <c r="F119" s="30" t="s">
        <v>4</v>
      </c>
      <c r="G119" s="29">
        <v>7.75</v>
      </c>
    </row>
    <row r="120">
      <c r="B120" s="28">
        <v>45765.0</v>
      </c>
      <c r="C120" s="29">
        <v>7.3</v>
      </c>
      <c r="D120" s="39">
        <v>12.15</v>
      </c>
      <c r="E120" s="32" t="s">
        <v>5</v>
      </c>
      <c r="F120" s="40" t="s">
        <v>20</v>
      </c>
      <c r="G120" s="39">
        <v>4.75</v>
      </c>
      <c r="H120" s="41">
        <v>0.75</v>
      </c>
    </row>
    <row r="121">
      <c r="A121" s="2"/>
      <c r="B121" s="3" t="s">
        <v>7</v>
      </c>
      <c r="C121" s="14"/>
      <c r="D121" s="14"/>
      <c r="E121" s="15"/>
      <c r="F121" s="6"/>
      <c r="G121" s="7">
        <f>G116+G117+G118+G119+G120</f>
        <v>35.75</v>
      </c>
    </row>
    <row r="122">
      <c r="B122" s="28">
        <v>45768.0</v>
      </c>
      <c r="C122" s="29">
        <v>7.3</v>
      </c>
      <c r="D122" s="29">
        <v>17.0</v>
      </c>
      <c r="E122" s="30" t="s">
        <v>21</v>
      </c>
      <c r="F122" s="30" t="s">
        <v>22</v>
      </c>
      <c r="G122" s="29">
        <v>8.75</v>
      </c>
      <c r="H122" s="41">
        <v>1.0</v>
      </c>
    </row>
    <row r="123">
      <c r="B123" s="28">
        <v>45769.0</v>
      </c>
      <c r="C123" s="29">
        <v>7.3</v>
      </c>
      <c r="D123" s="29">
        <v>17.0</v>
      </c>
      <c r="E123" s="30" t="s">
        <v>21</v>
      </c>
      <c r="F123" s="30" t="s">
        <v>22</v>
      </c>
      <c r="G123" s="29">
        <v>8.75</v>
      </c>
      <c r="H123" s="41">
        <v>1.0</v>
      </c>
    </row>
    <row r="124">
      <c r="B124" s="28">
        <v>45770.0</v>
      </c>
      <c r="C124" s="29">
        <v>7.3</v>
      </c>
      <c r="D124" s="29">
        <v>17.0</v>
      </c>
      <c r="E124" s="30" t="s">
        <v>21</v>
      </c>
      <c r="F124" s="30" t="s">
        <v>22</v>
      </c>
      <c r="G124" s="29">
        <v>8.75</v>
      </c>
      <c r="H124" s="41">
        <v>1.0</v>
      </c>
    </row>
    <row r="125">
      <c r="B125" s="28">
        <v>45771.0</v>
      </c>
      <c r="C125" s="29">
        <v>7.3</v>
      </c>
      <c r="D125" s="29">
        <v>17.0</v>
      </c>
      <c r="E125" s="30" t="s">
        <v>21</v>
      </c>
      <c r="F125" s="30" t="s">
        <v>22</v>
      </c>
      <c r="G125" s="29">
        <v>8.75</v>
      </c>
      <c r="H125" s="41">
        <v>1.0</v>
      </c>
    </row>
    <row r="126">
      <c r="B126" s="28">
        <v>45772.0</v>
      </c>
      <c r="C126" s="29">
        <v>7.3</v>
      </c>
      <c r="D126" s="39">
        <v>16.0</v>
      </c>
      <c r="E126" s="30" t="s">
        <v>21</v>
      </c>
      <c r="F126" s="42" t="s">
        <v>4</v>
      </c>
      <c r="G126" s="39">
        <v>7.75</v>
      </c>
      <c r="H126" s="41">
        <v>3.75</v>
      </c>
    </row>
    <row r="127">
      <c r="A127" s="2"/>
      <c r="B127" s="3" t="s">
        <v>7</v>
      </c>
      <c r="C127" s="14"/>
      <c r="D127" s="14"/>
      <c r="E127" s="15"/>
      <c r="F127" s="6"/>
      <c r="G127" s="7">
        <f>G122+G123+G124+G125+G126</f>
        <v>42.75</v>
      </c>
    </row>
    <row r="128">
      <c r="B128" s="28">
        <v>45775.0</v>
      </c>
      <c r="C128" s="29">
        <v>7.3</v>
      </c>
      <c r="D128" s="29">
        <v>17.0</v>
      </c>
      <c r="E128" s="30" t="s">
        <v>21</v>
      </c>
      <c r="F128" s="30" t="s">
        <v>22</v>
      </c>
      <c r="G128" s="29">
        <v>8.75</v>
      </c>
      <c r="H128" s="41">
        <v>1.0</v>
      </c>
    </row>
    <row r="129">
      <c r="B129" s="28">
        <v>45776.0</v>
      </c>
      <c r="C129" s="29">
        <v>7.3</v>
      </c>
      <c r="D129" s="29">
        <v>17.0</v>
      </c>
      <c r="E129" s="30" t="s">
        <v>21</v>
      </c>
      <c r="F129" s="30" t="s">
        <v>22</v>
      </c>
      <c r="G129" s="29">
        <v>8.75</v>
      </c>
      <c r="H129" s="41">
        <v>1.0</v>
      </c>
    </row>
    <row r="130">
      <c r="B130" s="28">
        <v>45777.0</v>
      </c>
      <c r="C130" s="29">
        <v>7.3</v>
      </c>
      <c r="D130" s="29">
        <v>17.0</v>
      </c>
      <c r="E130" s="30" t="s">
        <v>21</v>
      </c>
      <c r="F130" s="30" t="s">
        <v>22</v>
      </c>
      <c r="G130" s="29">
        <v>8.75</v>
      </c>
      <c r="H130" s="41">
        <v>1.0</v>
      </c>
    </row>
    <row r="131">
      <c r="A131" s="2"/>
      <c r="B131" s="3" t="s">
        <v>7</v>
      </c>
      <c r="C131" s="14"/>
      <c r="D131" s="14"/>
      <c r="E131" s="15"/>
      <c r="F131" s="6"/>
      <c r="G131" s="7">
        <f>G128+G129+G130</f>
        <v>26.25</v>
      </c>
      <c r="K131" s="8"/>
      <c r="N131" s="9" t="s">
        <v>9</v>
      </c>
      <c r="O131" s="10" t="s">
        <v>10</v>
      </c>
      <c r="P131" s="11" t="s">
        <v>11</v>
      </c>
      <c r="Q131" s="10" t="s">
        <v>1</v>
      </c>
    </row>
    <row r="132">
      <c r="A132" s="12"/>
      <c r="B132" s="13" t="s">
        <v>2</v>
      </c>
      <c r="C132" s="14"/>
      <c r="D132" s="14"/>
      <c r="E132" s="15"/>
      <c r="F132" s="16"/>
      <c r="G132" s="17">
        <f>G109+G115+G121+G127+G131</f>
        <v>167</v>
      </c>
      <c r="H132" s="18">
        <f>H120+H122+H123+H124+H125+H126+H128+H129+H130</f>
        <v>11.5</v>
      </c>
      <c r="I132" s="19">
        <v>0.0</v>
      </c>
      <c r="J132" s="20">
        <f>H132-I132</f>
        <v>11.5</v>
      </c>
      <c r="K132" s="21" t="s">
        <v>23</v>
      </c>
      <c r="L132" s="22" t="s">
        <v>13</v>
      </c>
      <c r="M132" s="23" t="s">
        <v>14</v>
      </c>
      <c r="N132" s="24">
        <v>1934.58</v>
      </c>
      <c r="O132" s="25">
        <v>1407.58</v>
      </c>
      <c r="P132" s="26">
        <v>1488.33</v>
      </c>
      <c r="Q132" s="27">
        <v>1577.56</v>
      </c>
    </row>
    <row r="133">
      <c r="B133" s="28">
        <v>45778.0</v>
      </c>
      <c r="C133" s="43" t="s">
        <v>24</v>
      </c>
      <c r="F133" s="44" t="s">
        <v>4</v>
      </c>
      <c r="G133" s="45">
        <v>7.75</v>
      </c>
      <c r="O133" s="38">
        <f>P132-O132</f>
        <v>80.75</v>
      </c>
    </row>
    <row r="134">
      <c r="B134" s="28">
        <v>45779.0</v>
      </c>
      <c r="C134" s="46" t="s">
        <v>15</v>
      </c>
      <c r="I134" s="35">
        <v>4.0</v>
      </c>
    </row>
    <row r="135">
      <c r="A135" s="2"/>
      <c r="B135" s="3" t="s">
        <v>7</v>
      </c>
      <c r="C135" s="14"/>
      <c r="D135" s="14"/>
      <c r="E135" s="15"/>
      <c r="F135" s="6"/>
      <c r="G135" s="7">
        <f>G133</f>
        <v>7.75</v>
      </c>
    </row>
    <row r="136">
      <c r="B136" s="28">
        <v>45782.0</v>
      </c>
      <c r="C136" s="29">
        <v>7.3</v>
      </c>
      <c r="D136" s="29">
        <v>17.0</v>
      </c>
      <c r="E136" s="30" t="s">
        <v>21</v>
      </c>
      <c r="F136" s="30" t="s">
        <v>22</v>
      </c>
      <c r="G136" s="29">
        <v>8.75</v>
      </c>
      <c r="H136" s="41">
        <v>1.0</v>
      </c>
    </row>
    <row r="137">
      <c r="B137" s="28">
        <v>45783.0</v>
      </c>
      <c r="C137" s="29">
        <v>7.3</v>
      </c>
      <c r="D137" s="29">
        <v>17.0</v>
      </c>
      <c r="E137" s="30" t="s">
        <v>21</v>
      </c>
      <c r="F137" s="30" t="s">
        <v>22</v>
      </c>
      <c r="G137" s="29">
        <v>8.75</v>
      </c>
      <c r="H137" s="41">
        <v>1.0</v>
      </c>
    </row>
    <row r="138">
      <c r="B138" s="28">
        <v>45784.0</v>
      </c>
      <c r="C138" s="29">
        <v>7.3</v>
      </c>
      <c r="D138" s="29">
        <v>17.0</v>
      </c>
      <c r="E138" s="30" t="s">
        <v>21</v>
      </c>
      <c r="F138" s="30" t="s">
        <v>22</v>
      </c>
      <c r="G138" s="29">
        <v>8.75</v>
      </c>
      <c r="H138" s="41">
        <v>1.0</v>
      </c>
    </row>
    <row r="139">
      <c r="B139" s="28">
        <v>45785.0</v>
      </c>
      <c r="C139" s="43" t="s">
        <v>24</v>
      </c>
      <c r="F139" s="44" t="s">
        <v>4</v>
      </c>
      <c r="G139" s="45">
        <v>7.75</v>
      </c>
    </row>
    <row r="140">
      <c r="B140" s="28">
        <v>45786.0</v>
      </c>
      <c r="C140" s="46" t="s">
        <v>15</v>
      </c>
      <c r="I140" s="35">
        <v>4.0</v>
      </c>
    </row>
    <row r="141">
      <c r="A141" s="2"/>
      <c r="B141" s="3" t="s">
        <v>7</v>
      </c>
      <c r="C141" s="14"/>
      <c r="D141" s="14"/>
      <c r="E141" s="15"/>
      <c r="F141" s="6"/>
      <c r="G141" s="7">
        <f>G136+G137+G138+G139</f>
        <v>34</v>
      </c>
    </row>
    <row r="142">
      <c r="B142" s="28">
        <v>45789.0</v>
      </c>
      <c r="C142" s="29">
        <v>7.3</v>
      </c>
      <c r="D142" s="29">
        <v>17.0</v>
      </c>
      <c r="E142" s="30" t="s">
        <v>21</v>
      </c>
      <c r="F142" s="30" t="s">
        <v>22</v>
      </c>
      <c r="G142" s="29">
        <v>8.75</v>
      </c>
      <c r="H142" s="41">
        <v>1.0</v>
      </c>
    </row>
    <row r="143">
      <c r="B143" s="28">
        <v>45790.0</v>
      </c>
      <c r="C143" s="29">
        <v>7.3</v>
      </c>
      <c r="D143" s="29">
        <v>17.0</v>
      </c>
      <c r="E143" s="30" t="s">
        <v>21</v>
      </c>
      <c r="F143" s="30" t="s">
        <v>22</v>
      </c>
      <c r="G143" s="29">
        <v>8.75</v>
      </c>
      <c r="H143" s="41">
        <v>1.0</v>
      </c>
    </row>
    <row r="144">
      <c r="B144" s="28">
        <v>45791.0</v>
      </c>
      <c r="C144" s="29">
        <v>7.3</v>
      </c>
      <c r="D144" s="29">
        <v>17.0</v>
      </c>
      <c r="E144" s="30" t="s">
        <v>21</v>
      </c>
      <c r="F144" s="30" t="s">
        <v>22</v>
      </c>
      <c r="G144" s="29">
        <v>8.75</v>
      </c>
      <c r="H144" s="41">
        <v>1.0</v>
      </c>
    </row>
    <row r="145">
      <c r="B145" s="28">
        <v>45792.0</v>
      </c>
      <c r="C145" s="29">
        <v>7.3</v>
      </c>
      <c r="D145" s="29">
        <v>17.0</v>
      </c>
      <c r="E145" s="30" t="s">
        <v>21</v>
      </c>
      <c r="F145" s="30" t="s">
        <v>22</v>
      </c>
      <c r="G145" s="29">
        <v>8.75</v>
      </c>
      <c r="H145" s="41">
        <v>1.0</v>
      </c>
    </row>
    <row r="146">
      <c r="B146" s="28">
        <v>45793.0</v>
      </c>
      <c r="C146" s="29">
        <v>7.3</v>
      </c>
      <c r="D146" s="39">
        <v>16.0</v>
      </c>
      <c r="E146" s="30" t="s">
        <v>21</v>
      </c>
      <c r="F146" s="42" t="s">
        <v>4</v>
      </c>
      <c r="G146" s="39">
        <v>7.75</v>
      </c>
      <c r="H146" s="41">
        <v>4.0</v>
      </c>
    </row>
    <row r="147">
      <c r="A147" s="2"/>
      <c r="B147" s="3" t="s">
        <v>7</v>
      </c>
      <c r="C147" s="14"/>
      <c r="D147" s="14"/>
      <c r="E147" s="15"/>
      <c r="F147" s="6"/>
      <c r="G147" s="7"/>
    </row>
    <row r="148">
      <c r="B148" s="28">
        <v>45796.0</v>
      </c>
      <c r="C148" s="29">
        <v>7.3</v>
      </c>
      <c r="D148" s="29">
        <v>17.0</v>
      </c>
      <c r="E148" s="30" t="s">
        <v>21</v>
      </c>
      <c r="F148" s="30" t="s">
        <v>22</v>
      </c>
      <c r="G148" s="29">
        <v>8.75</v>
      </c>
      <c r="H148" s="41">
        <v>1.0</v>
      </c>
    </row>
    <row r="149">
      <c r="B149" s="28">
        <v>45797.0</v>
      </c>
      <c r="C149" s="29">
        <v>7.3</v>
      </c>
      <c r="D149" s="29">
        <v>17.0</v>
      </c>
      <c r="E149" s="30" t="s">
        <v>21</v>
      </c>
      <c r="F149" s="30" t="s">
        <v>22</v>
      </c>
      <c r="G149" s="29">
        <v>8.75</v>
      </c>
      <c r="H149" s="41">
        <v>1.0</v>
      </c>
    </row>
    <row r="150">
      <c r="B150" s="28">
        <v>45798.0</v>
      </c>
      <c r="C150" s="29">
        <v>7.3</v>
      </c>
      <c r="D150" s="29">
        <v>17.0</v>
      </c>
      <c r="E150" s="30" t="s">
        <v>21</v>
      </c>
      <c r="F150" s="30" t="s">
        <v>22</v>
      </c>
      <c r="G150" s="29">
        <v>8.75</v>
      </c>
      <c r="H150" s="41">
        <v>1.0</v>
      </c>
    </row>
    <row r="151">
      <c r="B151" s="28">
        <v>45799.0</v>
      </c>
      <c r="C151" s="29">
        <v>7.3</v>
      </c>
      <c r="D151" s="29">
        <v>17.0</v>
      </c>
      <c r="E151" s="30" t="s">
        <v>21</v>
      </c>
      <c r="F151" s="30" t="s">
        <v>22</v>
      </c>
      <c r="G151" s="29">
        <v>8.75</v>
      </c>
      <c r="H151" s="41">
        <v>1.0</v>
      </c>
    </row>
    <row r="152">
      <c r="B152" s="28">
        <v>45800.0</v>
      </c>
      <c r="C152" s="29">
        <v>7.3</v>
      </c>
      <c r="D152" s="39">
        <v>11.3</v>
      </c>
      <c r="E152" s="30"/>
      <c r="F152" s="42" t="s">
        <v>6</v>
      </c>
      <c r="G152" s="39">
        <v>4.0</v>
      </c>
      <c r="H152" s="47"/>
    </row>
    <row r="153">
      <c r="A153" s="2"/>
      <c r="B153" s="3" t="s">
        <v>7</v>
      </c>
      <c r="C153" s="14"/>
      <c r="D153" s="14"/>
      <c r="E153" s="15"/>
      <c r="F153" s="6"/>
      <c r="G153" s="7"/>
    </row>
    <row r="154">
      <c r="B154" s="28">
        <v>45803.0</v>
      </c>
      <c r="C154" s="29">
        <v>7.3</v>
      </c>
      <c r="D154" s="29">
        <v>17.0</v>
      </c>
      <c r="E154" s="30" t="s">
        <v>21</v>
      </c>
      <c r="F154" s="42" t="s">
        <v>4</v>
      </c>
      <c r="G154" s="39">
        <v>7.75</v>
      </c>
      <c r="H154" s="47"/>
    </row>
    <row r="155">
      <c r="B155" s="28">
        <v>45804.0</v>
      </c>
      <c r="C155" s="29">
        <v>7.3</v>
      </c>
      <c r="D155" s="29">
        <v>17.0</v>
      </c>
      <c r="E155" s="30" t="s">
        <v>21</v>
      </c>
      <c r="F155" s="42" t="s">
        <v>4</v>
      </c>
      <c r="G155" s="39">
        <v>7.75</v>
      </c>
      <c r="H155" s="47"/>
    </row>
    <row r="156">
      <c r="B156" s="28">
        <v>45805.0</v>
      </c>
      <c r="C156" s="29">
        <v>7.3</v>
      </c>
      <c r="D156" s="29">
        <v>17.0</v>
      </c>
      <c r="E156" s="30" t="s">
        <v>21</v>
      </c>
      <c r="F156" s="42" t="s">
        <v>4</v>
      </c>
      <c r="G156" s="39">
        <v>7.75</v>
      </c>
      <c r="H156" s="47"/>
    </row>
    <row r="157">
      <c r="B157" s="28">
        <v>45806.0</v>
      </c>
      <c r="C157" s="43" t="s">
        <v>24</v>
      </c>
      <c r="F157" s="44" t="s">
        <v>4</v>
      </c>
      <c r="G157" s="45">
        <v>7.75</v>
      </c>
    </row>
    <row r="158">
      <c r="B158" s="28">
        <v>45807.0</v>
      </c>
      <c r="C158" s="29">
        <v>7.3</v>
      </c>
      <c r="D158" s="39"/>
      <c r="E158" s="30" t="s">
        <v>21</v>
      </c>
      <c r="F158" s="42"/>
      <c r="G158" s="39"/>
      <c r="H158" s="47"/>
    </row>
    <row r="159">
      <c r="A159" s="2"/>
      <c r="B159" s="3" t="s">
        <v>7</v>
      </c>
      <c r="C159" s="14"/>
      <c r="D159" s="14"/>
      <c r="E159" s="15"/>
      <c r="F159" s="6"/>
      <c r="G159" s="7"/>
      <c r="K159" s="8"/>
      <c r="N159" s="9" t="s">
        <v>9</v>
      </c>
      <c r="O159" s="10" t="s">
        <v>10</v>
      </c>
      <c r="P159" s="11" t="s">
        <v>11</v>
      </c>
      <c r="Q159" s="10" t="s">
        <v>1</v>
      </c>
    </row>
    <row r="160">
      <c r="A160" s="12"/>
      <c r="B160" s="13" t="s">
        <v>2</v>
      </c>
      <c r="C160" s="14"/>
      <c r="D160" s="14"/>
      <c r="E160" s="15"/>
      <c r="F160" s="16"/>
      <c r="G160" s="17">
        <f>G135+G141+G147+G147+G153+G159</f>
        <v>41.75</v>
      </c>
      <c r="H160" s="18">
        <f>H136+H137+H138+H142+H143+H144+H145+H146+H148+H149+H150+H151+H152+H154+++H155+H156+H158</f>
        <v>15</v>
      </c>
      <c r="I160" s="19">
        <v>8.0</v>
      </c>
      <c r="J160" s="20">
        <f>H160-I160</f>
        <v>7</v>
      </c>
      <c r="K160" s="21" t="s">
        <v>25</v>
      </c>
      <c r="L160" s="22" t="s">
        <v>26</v>
      </c>
      <c r="M160" s="23" t="s">
        <v>14</v>
      </c>
      <c r="N160" s="48">
        <v>1934.58</v>
      </c>
      <c r="O160" s="49">
        <v>1406.55</v>
      </c>
      <c r="P160" s="50">
        <v>1492.05</v>
      </c>
      <c r="Q160" s="27">
        <v>1581.18</v>
      </c>
    </row>
    <row r="161">
      <c r="B161" s="28">
        <v>45810.0</v>
      </c>
      <c r="C161" s="29">
        <v>7.3</v>
      </c>
      <c r="D161" s="29">
        <v>17.0</v>
      </c>
      <c r="E161" s="30" t="s">
        <v>3</v>
      </c>
      <c r="F161" s="30" t="s">
        <v>4</v>
      </c>
      <c r="G161" s="29">
        <v>7.75</v>
      </c>
      <c r="O161" s="38">
        <f>P160-O160</f>
        <v>85.5</v>
      </c>
    </row>
    <row r="162">
      <c r="B162" s="28">
        <v>45811.0</v>
      </c>
      <c r="C162" s="29">
        <v>7.3</v>
      </c>
      <c r="D162" s="29">
        <v>17.0</v>
      </c>
      <c r="E162" s="30" t="s">
        <v>3</v>
      </c>
      <c r="F162" s="30" t="s">
        <v>4</v>
      </c>
      <c r="G162" s="29">
        <v>7.75</v>
      </c>
    </row>
    <row r="163">
      <c r="B163" s="28">
        <v>45812.0</v>
      </c>
      <c r="C163" s="29">
        <v>7.3</v>
      </c>
      <c r="D163" s="29">
        <v>17.0</v>
      </c>
      <c r="E163" s="30" t="s">
        <v>3</v>
      </c>
      <c r="F163" s="30" t="s">
        <v>4</v>
      </c>
      <c r="G163" s="29">
        <v>7.75</v>
      </c>
    </row>
    <row r="164">
      <c r="B164" s="28">
        <v>45813.0</v>
      </c>
      <c r="C164" s="29">
        <v>7.3</v>
      </c>
      <c r="D164" s="29">
        <v>17.0</v>
      </c>
      <c r="E164" s="30" t="s">
        <v>3</v>
      </c>
      <c r="F164" s="30" t="s">
        <v>4</v>
      </c>
      <c r="G164" s="29">
        <v>7.75</v>
      </c>
    </row>
    <row r="165">
      <c r="B165" s="28">
        <v>45814.0</v>
      </c>
      <c r="C165" s="29">
        <v>7.3</v>
      </c>
      <c r="D165" s="29">
        <v>11.3</v>
      </c>
      <c r="E165" s="32" t="s">
        <v>5</v>
      </c>
      <c r="F165" s="32" t="s">
        <v>6</v>
      </c>
      <c r="G165" s="29">
        <v>4.0</v>
      </c>
    </row>
    <row r="166">
      <c r="A166" s="2"/>
      <c r="B166" s="3" t="s">
        <v>7</v>
      </c>
      <c r="C166" s="14"/>
      <c r="D166" s="14"/>
      <c r="E166" s="15"/>
      <c r="F166" s="6"/>
      <c r="G166" s="7"/>
    </row>
    <row r="167">
      <c r="B167" s="28">
        <v>45817.0</v>
      </c>
      <c r="C167" s="29">
        <v>7.3</v>
      </c>
      <c r="D167" s="39">
        <v>16.15</v>
      </c>
      <c r="E167" s="30" t="s">
        <v>3</v>
      </c>
      <c r="F167" s="42" t="s">
        <v>27</v>
      </c>
      <c r="G167" s="39">
        <v>7.0</v>
      </c>
      <c r="L167" s="36" t="s">
        <v>28</v>
      </c>
    </row>
    <row r="168">
      <c r="B168" s="28">
        <v>45818.0</v>
      </c>
      <c r="C168" s="29">
        <v>7.3</v>
      </c>
      <c r="D168" s="29">
        <v>17.0</v>
      </c>
      <c r="E168" s="30" t="s">
        <v>3</v>
      </c>
      <c r="F168" s="30" t="s">
        <v>4</v>
      </c>
      <c r="G168" s="29">
        <v>7.75</v>
      </c>
    </row>
    <row r="169">
      <c r="B169" s="28">
        <v>45819.0</v>
      </c>
      <c r="C169" s="29">
        <v>7.3</v>
      </c>
      <c r="D169" s="29">
        <v>17.0</v>
      </c>
      <c r="E169" s="30" t="s">
        <v>3</v>
      </c>
      <c r="F169" s="30" t="s">
        <v>4</v>
      </c>
      <c r="G169" s="29">
        <v>7.75</v>
      </c>
    </row>
    <row r="170">
      <c r="B170" s="28">
        <v>45820.0</v>
      </c>
      <c r="C170" s="29">
        <v>7.3</v>
      </c>
      <c r="D170" s="29">
        <v>17.0</v>
      </c>
      <c r="E170" s="30" t="s">
        <v>3</v>
      </c>
      <c r="F170" s="30" t="s">
        <v>4</v>
      </c>
      <c r="G170" s="29">
        <v>7.75</v>
      </c>
    </row>
    <row r="171">
      <c r="B171" s="28">
        <v>45821.0</v>
      </c>
      <c r="C171" s="29">
        <v>7.3</v>
      </c>
      <c r="D171" s="29">
        <v>11.3</v>
      </c>
      <c r="E171" s="32" t="s">
        <v>5</v>
      </c>
      <c r="F171" s="32" t="s">
        <v>6</v>
      </c>
      <c r="G171" s="29">
        <v>4.0</v>
      </c>
    </row>
    <row r="172">
      <c r="A172" s="2"/>
      <c r="B172" s="3" t="s">
        <v>7</v>
      </c>
      <c r="C172" s="14"/>
      <c r="D172" s="14"/>
      <c r="E172" s="15"/>
      <c r="F172" s="6"/>
      <c r="G172" s="7"/>
    </row>
    <row r="173">
      <c r="B173" s="28">
        <v>45824.0</v>
      </c>
      <c r="C173" s="29">
        <v>7.3</v>
      </c>
      <c r="D173" s="29">
        <v>17.0</v>
      </c>
      <c r="E173" s="30" t="s">
        <v>3</v>
      </c>
      <c r="F173" s="30" t="s">
        <v>4</v>
      </c>
      <c r="G173" s="29">
        <v>7.75</v>
      </c>
    </row>
    <row r="174">
      <c r="B174" s="28">
        <v>45825.0</v>
      </c>
      <c r="C174" s="29">
        <v>7.3</v>
      </c>
      <c r="D174" s="29">
        <v>17.0</v>
      </c>
      <c r="E174" s="30" t="s">
        <v>3</v>
      </c>
      <c r="F174" s="30" t="s">
        <v>4</v>
      </c>
      <c r="G174" s="29">
        <v>7.75</v>
      </c>
    </row>
    <row r="175">
      <c r="B175" s="28">
        <v>45826.0</v>
      </c>
      <c r="C175" s="29">
        <v>7.3</v>
      </c>
      <c r="D175" s="29">
        <v>17.0</v>
      </c>
      <c r="E175" s="30" t="s">
        <v>3</v>
      </c>
      <c r="F175" s="30" t="s">
        <v>4</v>
      </c>
      <c r="G175" s="29">
        <v>7.75</v>
      </c>
    </row>
    <row r="176">
      <c r="B176" s="28">
        <v>45827.0</v>
      </c>
      <c r="C176" s="29">
        <v>7.3</v>
      </c>
      <c r="D176" s="29">
        <v>17.0</v>
      </c>
      <c r="E176" s="30" t="s">
        <v>3</v>
      </c>
      <c r="F176" s="30" t="s">
        <v>4</v>
      </c>
      <c r="G176" s="29">
        <v>7.75</v>
      </c>
    </row>
    <row r="177">
      <c r="B177" s="28">
        <v>45828.0</v>
      </c>
      <c r="C177" s="29">
        <v>7.3</v>
      </c>
      <c r="D177" s="29">
        <v>11.3</v>
      </c>
      <c r="E177" s="32" t="s">
        <v>5</v>
      </c>
      <c r="F177" s="32" t="s">
        <v>6</v>
      </c>
      <c r="G177" s="29">
        <v>4.0</v>
      </c>
    </row>
    <row r="178">
      <c r="A178" s="2"/>
      <c r="B178" s="3" t="s">
        <v>7</v>
      </c>
      <c r="C178" s="14"/>
      <c r="D178" s="14"/>
      <c r="E178" s="15"/>
      <c r="F178" s="6"/>
      <c r="G178" s="7"/>
    </row>
    <row r="179">
      <c r="B179" s="28">
        <v>45831.0</v>
      </c>
      <c r="C179" s="29">
        <v>7.3</v>
      </c>
      <c r="D179" s="29">
        <v>17.0</v>
      </c>
      <c r="E179" s="30" t="s">
        <v>3</v>
      </c>
      <c r="F179" s="30" t="s">
        <v>4</v>
      </c>
      <c r="G179" s="29">
        <v>7.75</v>
      </c>
    </row>
    <row r="180">
      <c r="B180" s="28">
        <v>45832.0</v>
      </c>
      <c r="C180" s="29">
        <v>7.3</v>
      </c>
      <c r="D180" s="29">
        <v>17.0</v>
      </c>
      <c r="E180" s="30" t="s">
        <v>3</v>
      </c>
      <c r="F180" s="30" t="s">
        <v>4</v>
      </c>
      <c r="G180" s="29">
        <v>7.75</v>
      </c>
    </row>
    <row r="181">
      <c r="B181" s="28">
        <v>45833.0</v>
      </c>
      <c r="C181" s="29">
        <v>7.3</v>
      </c>
      <c r="D181" s="29">
        <v>17.0</v>
      </c>
      <c r="E181" s="30" t="s">
        <v>3</v>
      </c>
      <c r="F181" s="30" t="s">
        <v>4</v>
      </c>
      <c r="G181" s="29">
        <v>7.75</v>
      </c>
    </row>
    <row r="182">
      <c r="B182" s="28">
        <v>45834.0</v>
      </c>
      <c r="C182" s="29">
        <v>7.3</v>
      </c>
      <c r="D182" s="29">
        <v>17.0</v>
      </c>
      <c r="E182" s="30" t="s">
        <v>3</v>
      </c>
      <c r="F182" s="30" t="s">
        <v>4</v>
      </c>
      <c r="G182" s="29">
        <v>7.75</v>
      </c>
    </row>
    <row r="183">
      <c r="B183" s="28">
        <v>45835.0</v>
      </c>
      <c r="C183" s="29">
        <v>7.3</v>
      </c>
      <c r="D183" s="29">
        <v>11.3</v>
      </c>
      <c r="E183" s="32" t="s">
        <v>5</v>
      </c>
      <c r="F183" s="32" t="s">
        <v>6</v>
      </c>
      <c r="G183" s="29">
        <v>4.0</v>
      </c>
    </row>
    <row r="184">
      <c r="A184" s="2"/>
      <c r="B184" s="3" t="s">
        <v>7</v>
      </c>
      <c r="C184" s="14"/>
      <c r="D184" s="14"/>
      <c r="E184" s="15"/>
      <c r="F184" s="6"/>
      <c r="G184" s="7"/>
    </row>
    <row r="185">
      <c r="B185" s="28">
        <v>45838.0</v>
      </c>
      <c r="C185" s="29">
        <v>7.3</v>
      </c>
      <c r="D185" s="29">
        <v>17.0</v>
      </c>
      <c r="E185" s="30" t="s">
        <v>3</v>
      </c>
      <c r="F185" s="30" t="s">
        <v>4</v>
      </c>
      <c r="G185" s="29">
        <v>7.75</v>
      </c>
    </row>
    <row r="186">
      <c r="A186" s="2"/>
      <c r="B186" s="3" t="s">
        <v>7</v>
      </c>
      <c r="C186" s="14"/>
      <c r="D186" s="14"/>
      <c r="E186" s="15"/>
      <c r="F186" s="6"/>
      <c r="G186" s="7"/>
      <c r="K186" s="8"/>
      <c r="N186" s="9" t="s">
        <v>9</v>
      </c>
      <c r="O186" s="10" t="s">
        <v>10</v>
      </c>
      <c r="P186" s="11" t="s">
        <v>11</v>
      </c>
      <c r="Q186" s="10" t="s">
        <v>1</v>
      </c>
    </row>
    <row r="187">
      <c r="A187" s="12"/>
      <c r="B187" s="13" t="s">
        <v>2</v>
      </c>
      <c r="C187" s="14"/>
      <c r="D187" s="14"/>
      <c r="E187" s="15"/>
      <c r="F187" s="16"/>
      <c r="G187" s="17">
        <f>G162+G168+G174+G174+G180+G186</f>
        <v>38.75</v>
      </c>
      <c r="H187" s="18"/>
      <c r="I187" s="19" t="str">
        <f>I183</f>
        <v/>
      </c>
      <c r="J187" s="20" t="str">
        <f>I187</f>
        <v/>
      </c>
      <c r="K187" s="21" t="s">
        <v>29</v>
      </c>
      <c r="L187" s="22" t="s">
        <v>30</v>
      </c>
      <c r="M187" s="23" t="s">
        <v>14</v>
      </c>
      <c r="N187" s="24">
        <v>2010.31</v>
      </c>
      <c r="O187" s="25">
        <v>1489.2</v>
      </c>
      <c r="P187" s="26">
        <v>1560.45</v>
      </c>
      <c r="Q187" s="27">
        <v>1581.07</v>
      </c>
    </row>
    <row r="188">
      <c r="B188" s="28">
        <v>45839.0</v>
      </c>
      <c r="C188" s="29">
        <v>7.3</v>
      </c>
      <c r="D188" s="29">
        <v>17.0</v>
      </c>
      <c r="E188" s="30" t="s">
        <v>3</v>
      </c>
      <c r="F188" s="30" t="s">
        <v>4</v>
      </c>
      <c r="G188" s="29">
        <v>7.75</v>
      </c>
      <c r="O188" s="38">
        <f>P187-O187</f>
        <v>71.25</v>
      </c>
    </row>
    <row r="189">
      <c r="B189" s="28">
        <v>45840.0</v>
      </c>
      <c r="C189" s="29">
        <v>7.3</v>
      </c>
      <c r="D189" s="29">
        <v>17.0</v>
      </c>
      <c r="E189" s="30" t="s">
        <v>3</v>
      </c>
      <c r="F189" s="30" t="s">
        <v>4</v>
      </c>
      <c r="G189" s="29">
        <v>7.75</v>
      </c>
    </row>
    <row r="190">
      <c r="B190" s="28">
        <v>45841.0</v>
      </c>
      <c r="C190" s="29">
        <v>7.3</v>
      </c>
      <c r="D190" s="29">
        <v>17.0</v>
      </c>
      <c r="E190" s="30" t="s">
        <v>3</v>
      </c>
      <c r="F190" s="30" t="s">
        <v>4</v>
      </c>
      <c r="G190" s="29">
        <v>7.75</v>
      </c>
    </row>
    <row r="191">
      <c r="B191" s="28">
        <v>45842.0</v>
      </c>
      <c r="C191" s="29">
        <v>7.3</v>
      </c>
      <c r="D191" s="29">
        <v>11.3</v>
      </c>
      <c r="E191" s="32" t="s">
        <v>5</v>
      </c>
      <c r="F191" s="32" t="s">
        <v>6</v>
      </c>
      <c r="G191" s="29">
        <v>4.0</v>
      </c>
    </row>
    <row r="192">
      <c r="A192" s="2"/>
      <c r="B192" s="3" t="s">
        <v>7</v>
      </c>
      <c r="C192" s="14"/>
      <c r="D192" s="14"/>
      <c r="E192" s="15"/>
      <c r="F192" s="6"/>
      <c r="G192" s="7"/>
    </row>
    <row r="193">
      <c r="B193" s="28">
        <v>45845.0</v>
      </c>
      <c r="C193" s="29">
        <v>7.3</v>
      </c>
      <c r="D193" s="29">
        <v>17.0</v>
      </c>
      <c r="E193" s="30" t="s">
        <v>3</v>
      </c>
      <c r="F193" s="30" t="s">
        <v>4</v>
      </c>
      <c r="G193" s="29">
        <v>7.75</v>
      </c>
    </row>
    <row r="194">
      <c r="B194" s="28">
        <v>45846.0</v>
      </c>
      <c r="C194" s="29">
        <v>7.3</v>
      </c>
      <c r="D194" s="29">
        <v>17.0</v>
      </c>
      <c r="E194" s="30" t="s">
        <v>3</v>
      </c>
      <c r="F194" s="30" t="s">
        <v>4</v>
      </c>
      <c r="G194" s="29">
        <v>7.75</v>
      </c>
    </row>
    <row r="195">
      <c r="B195" s="28">
        <v>45847.0</v>
      </c>
      <c r="C195" s="29">
        <v>7.3</v>
      </c>
      <c r="D195" s="29">
        <v>17.0</v>
      </c>
      <c r="E195" s="30" t="s">
        <v>3</v>
      </c>
      <c r="F195" s="30" t="s">
        <v>4</v>
      </c>
      <c r="G195" s="29">
        <v>7.75</v>
      </c>
    </row>
    <row r="196">
      <c r="B196" s="28">
        <v>45848.0</v>
      </c>
      <c r="C196" s="29">
        <v>7.3</v>
      </c>
      <c r="D196" s="29">
        <v>17.0</v>
      </c>
      <c r="E196" s="30" t="s">
        <v>3</v>
      </c>
      <c r="F196" s="30" t="s">
        <v>4</v>
      </c>
      <c r="G196" s="29">
        <v>7.75</v>
      </c>
    </row>
    <row r="197">
      <c r="B197" s="28">
        <v>45849.0</v>
      </c>
      <c r="C197" s="29">
        <v>7.3</v>
      </c>
      <c r="D197" s="29">
        <v>11.3</v>
      </c>
      <c r="E197" s="32" t="s">
        <v>5</v>
      </c>
      <c r="F197" s="32" t="s">
        <v>6</v>
      </c>
      <c r="G197" s="29">
        <v>4.0</v>
      </c>
    </row>
    <row r="198">
      <c r="A198" s="2"/>
      <c r="B198" s="3" t="s">
        <v>7</v>
      </c>
      <c r="C198" s="14"/>
      <c r="D198" s="14"/>
      <c r="E198" s="15"/>
      <c r="F198" s="6"/>
      <c r="G198" s="7"/>
    </row>
    <row r="199">
      <c r="B199" s="28">
        <v>45852.0</v>
      </c>
      <c r="C199" s="43" t="s">
        <v>24</v>
      </c>
      <c r="F199" s="44" t="s">
        <v>4</v>
      </c>
      <c r="G199" s="45">
        <v>7.75</v>
      </c>
    </row>
    <row r="200">
      <c r="B200" s="28">
        <v>45853.0</v>
      </c>
      <c r="C200" s="29">
        <v>7.3</v>
      </c>
      <c r="D200" s="29">
        <v>17.0</v>
      </c>
      <c r="E200" s="30" t="s">
        <v>3</v>
      </c>
      <c r="F200" s="30" t="s">
        <v>4</v>
      </c>
      <c r="G200" s="29">
        <v>7.75</v>
      </c>
    </row>
    <row r="201">
      <c r="B201" s="28">
        <v>45854.0</v>
      </c>
      <c r="C201" s="29">
        <v>7.3</v>
      </c>
      <c r="D201" s="29">
        <v>17.0</v>
      </c>
      <c r="E201" s="30" t="s">
        <v>3</v>
      </c>
      <c r="F201" s="30" t="s">
        <v>4</v>
      </c>
      <c r="G201" s="29">
        <v>7.75</v>
      </c>
    </row>
    <row r="202">
      <c r="B202" s="28">
        <v>45855.0</v>
      </c>
      <c r="C202" s="29">
        <v>7.3</v>
      </c>
      <c r="D202" s="29">
        <v>17.0</v>
      </c>
      <c r="E202" s="30" t="s">
        <v>3</v>
      </c>
      <c r="F202" s="30" t="s">
        <v>4</v>
      </c>
      <c r="G202" s="29">
        <v>7.75</v>
      </c>
    </row>
    <row r="203">
      <c r="B203" s="28">
        <v>45856.0</v>
      </c>
      <c r="C203" s="29">
        <v>7.3</v>
      </c>
      <c r="D203" s="39">
        <v>8.3</v>
      </c>
      <c r="E203" s="32" t="s">
        <v>5</v>
      </c>
      <c r="F203" s="40" t="s">
        <v>31</v>
      </c>
      <c r="G203" s="39">
        <v>1.0</v>
      </c>
      <c r="I203" s="51">
        <v>3.0</v>
      </c>
      <c r="L203" s="51" t="s">
        <v>32</v>
      </c>
    </row>
    <row r="204">
      <c r="A204" s="2"/>
      <c r="B204" s="3" t="s">
        <v>7</v>
      </c>
      <c r="C204" s="14"/>
      <c r="D204" s="14"/>
      <c r="E204" s="15"/>
      <c r="F204" s="6"/>
      <c r="G204" s="7"/>
    </row>
    <row r="205">
      <c r="B205" s="28">
        <v>45859.0</v>
      </c>
      <c r="C205" s="29">
        <v>7.3</v>
      </c>
      <c r="D205" s="29">
        <v>17.0</v>
      </c>
      <c r="E205" s="30" t="s">
        <v>3</v>
      </c>
      <c r="F205" s="30" t="s">
        <v>4</v>
      </c>
      <c r="G205" s="29">
        <v>7.75</v>
      </c>
    </row>
    <row r="206">
      <c r="B206" s="28">
        <v>45860.0</v>
      </c>
      <c r="C206" s="29">
        <v>7.3</v>
      </c>
      <c r="D206" s="29">
        <v>17.0</v>
      </c>
      <c r="E206" s="30" t="s">
        <v>3</v>
      </c>
      <c r="F206" s="30" t="s">
        <v>4</v>
      </c>
      <c r="G206" s="29">
        <v>7.75</v>
      </c>
    </row>
    <row r="207">
      <c r="B207" s="28">
        <v>45861.0</v>
      </c>
      <c r="C207" s="29">
        <v>7.3</v>
      </c>
      <c r="D207" s="29">
        <v>17.0</v>
      </c>
      <c r="E207" s="30" t="s">
        <v>3</v>
      </c>
      <c r="F207" s="30" t="s">
        <v>4</v>
      </c>
      <c r="G207" s="29">
        <v>7.75</v>
      </c>
    </row>
    <row r="208">
      <c r="B208" s="28">
        <v>45862.0</v>
      </c>
      <c r="C208" s="29">
        <v>7.3</v>
      </c>
      <c r="D208" s="29">
        <v>17.0</v>
      </c>
      <c r="E208" s="30" t="s">
        <v>3</v>
      </c>
      <c r="F208" s="30" t="s">
        <v>4</v>
      </c>
      <c r="G208" s="29">
        <v>7.75</v>
      </c>
    </row>
    <row r="209">
      <c r="B209" s="28">
        <v>45863.0</v>
      </c>
      <c r="C209" s="29">
        <v>7.3</v>
      </c>
      <c r="D209" s="29">
        <v>11.3</v>
      </c>
      <c r="E209" s="32" t="s">
        <v>5</v>
      </c>
      <c r="F209" s="32" t="s">
        <v>6</v>
      </c>
      <c r="G209" s="29">
        <v>4.0</v>
      </c>
    </row>
    <row r="210">
      <c r="A210" s="2"/>
      <c r="B210" s="3" t="s">
        <v>7</v>
      </c>
      <c r="C210" s="14"/>
      <c r="D210" s="14"/>
      <c r="E210" s="15"/>
      <c r="F210" s="6"/>
      <c r="G210" s="7"/>
    </row>
    <row r="211">
      <c r="B211" s="28">
        <v>45866.0</v>
      </c>
      <c r="C211" s="29">
        <v>7.3</v>
      </c>
      <c r="D211" s="29">
        <v>17.0</v>
      </c>
      <c r="E211" s="30" t="s">
        <v>3</v>
      </c>
      <c r="F211" s="30" t="s">
        <v>4</v>
      </c>
      <c r="G211" s="29">
        <v>7.75</v>
      </c>
    </row>
    <row r="212">
      <c r="B212" s="28">
        <v>45867.0</v>
      </c>
      <c r="C212" s="29">
        <v>7.3</v>
      </c>
      <c r="D212" s="29">
        <v>17.0</v>
      </c>
      <c r="E212" s="30" t="s">
        <v>3</v>
      </c>
      <c r="F212" s="30" t="s">
        <v>4</v>
      </c>
      <c r="G212" s="29">
        <v>7.75</v>
      </c>
    </row>
    <row r="213">
      <c r="B213" s="28">
        <v>45868.0</v>
      </c>
      <c r="C213" s="29">
        <v>7.3</v>
      </c>
      <c r="D213" s="29">
        <v>17.0</v>
      </c>
      <c r="E213" s="30" t="s">
        <v>3</v>
      </c>
      <c r="F213" s="30" t="s">
        <v>4</v>
      </c>
      <c r="G213" s="29">
        <v>7.75</v>
      </c>
    </row>
    <row r="214">
      <c r="B214" s="28">
        <v>45869.0</v>
      </c>
      <c r="C214" s="29">
        <v>7.3</v>
      </c>
      <c r="D214" s="29">
        <v>17.0</v>
      </c>
      <c r="E214" s="30" t="s">
        <v>3</v>
      </c>
      <c r="F214" s="30" t="s">
        <v>4</v>
      </c>
      <c r="G214" s="29">
        <v>7.75</v>
      </c>
    </row>
    <row r="215">
      <c r="A215" s="2"/>
      <c r="B215" s="3" t="s">
        <v>7</v>
      </c>
      <c r="C215" s="14"/>
      <c r="D215" s="14"/>
      <c r="E215" s="15"/>
      <c r="F215" s="6"/>
      <c r="G215" s="7"/>
      <c r="K215" s="8"/>
      <c r="N215" s="9" t="s">
        <v>9</v>
      </c>
      <c r="O215" s="10" t="s">
        <v>10</v>
      </c>
      <c r="P215" s="11" t="s">
        <v>11</v>
      </c>
      <c r="Q215" s="10" t="s">
        <v>1</v>
      </c>
    </row>
    <row r="216">
      <c r="A216" s="12"/>
      <c r="B216" s="13" t="s">
        <v>2</v>
      </c>
      <c r="C216" s="14"/>
      <c r="D216" s="14"/>
      <c r="E216" s="15"/>
      <c r="F216" s="16"/>
      <c r="G216" s="17">
        <f>G191+G197+G203+G203+G209+G215</f>
        <v>14</v>
      </c>
      <c r="H216" s="18"/>
      <c r="I216" s="19">
        <v>3.0</v>
      </c>
      <c r="J216" s="20">
        <f>I216</f>
        <v>3</v>
      </c>
      <c r="K216" s="21" t="s">
        <v>33</v>
      </c>
      <c r="L216" s="22" t="s">
        <v>13</v>
      </c>
      <c r="M216" s="23" t="s">
        <v>14</v>
      </c>
      <c r="N216" s="24">
        <v>1934.58</v>
      </c>
      <c r="O216" s="25">
        <v>1411.3</v>
      </c>
      <c r="P216" s="26">
        <v>1492.05</v>
      </c>
      <c r="Q216" s="27">
        <v>1581.18</v>
      </c>
    </row>
    <row r="217">
      <c r="B217" s="28">
        <v>45870.0</v>
      </c>
      <c r="C217" s="29">
        <v>7.3</v>
      </c>
      <c r="D217" s="29">
        <v>11.3</v>
      </c>
      <c r="E217" s="32" t="s">
        <v>5</v>
      </c>
      <c r="F217" s="32" t="s">
        <v>6</v>
      </c>
      <c r="G217" s="29">
        <v>4.0</v>
      </c>
      <c r="O217" s="38">
        <f>P216-O216</f>
        <v>80.75</v>
      </c>
    </row>
    <row r="218">
      <c r="A218" s="2"/>
      <c r="B218" s="3" t="s">
        <v>7</v>
      </c>
      <c r="C218" s="14"/>
      <c r="D218" s="14"/>
      <c r="E218" s="15"/>
      <c r="F218" s="6"/>
      <c r="G218" s="7"/>
    </row>
    <row r="219">
      <c r="B219" s="33" t="s">
        <v>34</v>
      </c>
    </row>
    <row r="221">
      <c r="B221" s="28">
        <v>45894.0</v>
      </c>
      <c r="C221" s="29">
        <v>7.3</v>
      </c>
      <c r="D221" s="29">
        <v>17.0</v>
      </c>
      <c r="E221" s="30" t="s">
        <v>3</v>
      </c>
      <c r="F221" s="30" t="s">
        <v>4</v>
      </c>
      <c r="G221" s="29">
        <v>7.75</v>
      </c>
    </row>
    <row r="222">
      <c r="B222" s="28">
        <v>45895.0</v>
      </c>
      <c r="C222" s="29">
        <v>7.3</v>
      </c>
      <c r="D222" s="29">
        <v>17.0</v>
      </c>
      <c r="E222" s="30" t="s">
        <v>3</v>
      </c>
      <c r="F222" s="30" t="s">
        <v>4</v>
      </c>
      <c r="G222" s="29">
        <v>7.75</v>
      </c>
    </row>
    <row r="223">
      <c r="B223" s="28">
        <v>45896.0</v>
      </c>
      <c r="C223" s="29">
        <v>7.3</v>
      </c>
      <c r="D223" s="29">
        <v>17.0</v>
      </c>
      <c r="E223" s="30" t="s">
        <v>3</v>
      </c>
      <c r="F223" s="30" t="s">
        <v>4</v>
      </c>
      <c r="G223" s="29">
        <v>7.75</v>
      </c>
    </row>
    <row r="224">
      <c r="B224" s="28">
        <v>45897.0</v>
      </c>
      <c r="C224" s="29">
        <v>7.3</v>
      </c>
      <c r="D224" s="29">
        <v>17.0</v>
      </c>
      <c r="E224" s="30" t="s">
        <v>3</v>
      </c>
      <c r="F224" s="30" t="s">
        <v>4</v>
      </c>
      <c r="G224" s="29">
        <v>7.75</v>
      </c>
    </row>
    <row r="225">
      <c r="B225" s="28">
        <v>45898.0</v>
      </c>
      <c r="C225" s="29">
        <v>7.3</v>
      </c>
      <c r="D225" s="29">
        <v>11.3</v>
      </c>
      <c r="E225" s="32" t="s">
        <v>5</v>
      </c>
      <c r="F225" s="32" t="s">
        <v>6</v>
      </c>
      <c r="G225" s="29">
        <v>4.0</v>
      </c>
    </row>
    <row r="226">
      <c r="A226" s="2"/>
      <c r="B226" s="3" t="s">
        <v>7</v>
      </c>
      <c r="C226" s="14"/>
      <c r="D226" s="14"/>
      <c r="E226" s="15"/>
      <c r="F226" s="6"/>
      <c r="G226" s="7"/>
      <c r="K226" s="8"/>
      <c r="N226" s="9" t="s">
        <v>9</v>
      </c>
      <c r="O226" s="10" t="s">
        <v>10</v>
      </c>
      <c r="P226" s="11" t="s">
        <v>11</v>
      </c>
      <c r="Q226" s="10" t="s">
        <v>1</v>
      </c>
    </row>
    <row r="227">
      <c r="A227" s="12"/>
      <c r="B227" s="13" t="s">
        <v>2</v>
      </c>
      <c r="C227" s="14"/>
      <c r="D227" s="14"/>
      <c r="E227" s="15"/>
      <c r="F227" s="16"/>
      <c r="G227" s="17">
        <f>G202+G208+G214+G214+G220+G226</f>
        <v>31</v>
      </c>
      <c r="H227" s="18"/>
      <c r="I227" s="19" t="str">
        <f>I223</f>
        <v/>
      </c>
      <c r="J227" s="20" t="str">
        <f>I227</f>
        <v/>
      </c>
      <c r="K227" s="21"/>
      <c r="L227" s="22" t="s">
        <v>13</v>
      </c>
      <c r="M227" s="23" t="s">
        <v>14</v>
      </c>
      <c r="N227" s="24">
        <v>1934.58</v>
      </c>
      <c r="O227" s="25">
        <v>1406.55</v>
      </c>
      <c r="P227" s="26">
        <v>1492.05</v>
      </c>
      <c r="Q227" s="27">
        <v>1581.18</v>
      </c>
    </row>
    <row r="228">
      <c r="B228" s="28">
        <v>45901.0</v>
      </c>
      <c r="C228" s="29">
        <v>7.3</v>
      </c>
      <c r="D228" s="29">
        <v>17.0</v>
      </c>
      <c r="E228" s="30" t="s">
        <v>3</v>
      </c>
      <c r="F228" s="30" t="s">
        <v>4</v>
      </c>
      <c r="G228" s="29">
        <v>7.75</v>
      </c>
      <c r="O228" s="38">
        <f>P227-O227</f>
        <v>85.5</v>
      </c>
    </row>
    <row r="229">
      <c r="B229" s="28">
        <v>45902.0</v>
      </c>
      <c r="C229" s="29">
        <v>7.3</v>
      </c>
      <c r="D229" s="29">
        <v>17.0</v>
      </c>
      <c r="E229" s="30" t="s">
        <v>3</v>
      </c>
      <c r="F229" s="30" t="s">
        <v>4</v>
      </c>
      <c r="G229" s="29">
        <v>7.75</v>
      </c>
    </row>
    <row r="230">
      <c r="B230" s="28">
        <v>45903.0</v>
      </c>
      <c r="C230" s="29">
        <v>7.3</v>
      </c>
      <c r="D230" s="29">
        <v>17.0</v>
      </c>
      <c r="E230" s="30" t="s">
        <v>3</v>
      </c>
      <c r="F230" s="30" t="s">
        <v>4</v>
      </c>
      <c r="G230" s="29">
        <v>7.75</v>
      </c>
    </row>
    <row r="231">
      <c r="B231" s="28">
        <v>45904.0</v>
      </c>
      <c r="C231" s="29">
        <v>7.3</v>
      </c>
      <c r="D231" s="29">
        <v>17.0</v>
      </c>
      <c r="E231" s="30" t="s">
        <v>3</v>
      </c>
      <c r="F231" s="30" t="s">
        <v>4</v>
      </c>
      <c r="G231" s="29">
        <v>7.75</v>
      </c>
    </row>
    <row r="232">
      <c r="B232" s="28">
        <v>45905.0</v>
      </c>
      <c r="C232" s="29">
        <v>7.3</v>
      </c>
      <c r="D232" s="29">
        <v>11.3</v>
      </c>
      <c r="E232" s="32" t="s">
        <v>5</v>
      </c>
      <c r="F232" s="32" t="s">
        <v>6</v>
      </c>
      <c r="G232" s="29">
        <v>4.0</v>
      </c>
    </row>
    <row r="233">
      <c r="A233" s="2"/>
      <c r="B233" s="3" t="s">
        <v>7</v>
      </c>
      <c r="C233" s="14"/>
      <c r="D233" s="14"/>
      <c r="E233" s="15"/>
      <c r="F233" s="6"/>
      <c r="G233" s="7"/>
    </row>
    <row r="234">
      <c r="B234" s="28">
        <v>45908.0</v>
      </c>
      <c r="C234" s="29">
        <v>7.3</v>
      </c>
      <c r="D234" s="29">
        <v>17.0</v>
      </c>
      <c r="E234" s="30" t="s">
        <v>3</v>
      </c>
      <c r="F234" s="30" t="s">
        <v>4</v>
      </c>
      <c r="G234" s="29">
        <v>7.75</v>
      </c>
    </row>
    <row r="235">
      <c r="B235" s="28">
        <v>45909.0</v>
      </c>
      <c r="C235" s="29">
        <v>7.3</v>
      </c>
      <c r="D235" s="29">
        <v>17.0</v>
      </c>
      <c r="E235" s="30" t="s">
        <v>3</v>
      </c>
      <c r="F235" s="30" t="s">
        <v>4</v>
      </c>
      <c r="G235" s="29">
        <v>7.75</v>
      </c>
    </row>
    <row r="236">
      <c r="B236" s="28">
        <v>45910.0</v>
      </c>
      <c r="C236" s="29">
        <v>7.3</v>
      </c>
      <c r="D236" s="29">
        <v>17.0</v>
      </c>
      <c r="E236" s="30" t="s">
        <v>3</v>
      </c>
      <c r="F236" s="30" t="s">
        <v>4</v>
      </c>
      <c r="G236" s="29">
        <v>7.75</v>
      </c>
    </row>
    <row r="237">
      <c r="B237" s="28">
        <v>45911.0</v>
      </c>
      <c r="C237" s="29">
        <v>7.3</v>
      </c>
      <c r="D237" s="29">
        <v>17.0</v>
      </c>
      <c r="E237" s="30" t="s">
        <v>3</v>
      </c>
      <c r="F237" s="30" t="s">
        <v>4</v>
      </c>
      <c r="G237" s="29">
        <v>7.75</v>
      </c>
    </row>
    <row r="238">
      <c r="B238" s="28">
        <v>45912.0</v>
      </c>
      <c r="C238" s="29">
        <v>7.3</v>
      </c>
      <c r="D238" s="29">
        <v>11.3</v>
      </c>
      <c r="E238" s="32" t="s">
        <v>5</v>
      </c>
      <c r="F238" s="32" t="s">
        <v>6</v>
      </c>
      <c r="G238" s="29">
        <v>4.0</v>
      </c>
    </row>
    <row r="239">
      <c r="A239" s="2"/>
      <c r="B239" s="3" t="s">
        <v>7</v>
      </c>
      <c r="C239" s="14"/>
      <c r="D239" s="14"/>
      <c r="E239" s="15"/>
      <c r="F239" s="6"/>
      <c r="G239" s="7"/>
    </row>
    <row r="240">
      <c r="B240" s="28">
        <v>45915.0</v>
      </c>
      <c r="C240" s="29">
        <v>7.3</v>
      </c>
      <c r="D240" s="29">
        <v>17.0</v>
      </c>
      <c r="E240" s="30" t="s">
        <v>3</v>
      </c>
      <c r="F240" s="30" t="s">
        <v>4</v>
      </c>
      <c r="G240" s="29">
        <v>7.75</v>
      </c>
    </row>
    <row r="241">
      <c r="B241" s="28">
        <v>45916.0</v>
      </c>
      <c r="C241" s="29">
        <v>7.3</v>
      </c>
      <c r="D241" s="29">
        <v>17.0</v>
      </c>
      <c r="E241" s="30" t="s">
        <v>3</v>
      </c>
      <c r="F241" s="30" t="s">
        <v>4</v>
      </c>
      <c r="G241" s="29">
        <v>7.75</v>
      </c>
    </row>
    <row r="242">
      <c r="B242" s="28">
        <v>45917.0</v>
      </c>
      <c r="C242" s="29">
        <v>7.3</v>
      </c>
      <c r="D242" s="29">
        <v>17.0</v>
      </c>
      <c r="E242" s="30" t="s">
        <v>3</v>
      </c>
      <c r="F242" s="30" t="s">
        <v>4</v>
      </c>
      <c r="G242" s="29">
        <v>7.75</v>
      </c>
    </row>
    <row r="243">
      <c r="B243" s="28">
        <v>45918.0</v>
      </c>
      <c r="C243" s="29">
        <v>7.3</v>
      </c>
      <c r="D243" s="29">
        <v>17.0</v>
      </c>
      <c r="E243" s="30" t="s">
        <v>3</v>
      </c>
      <c r="F243" s="30" t="s">
        <v>4</v>
      </c>
      <c r="G243" s="29">
        <v>7.75</v>
      </c>
    </row>
    <row r="244">
      <c r="B244" s="28">
        <v>45919.0</v>
      </c>
      <c r="C244" s="29">
        <v>7.3</v>
      </c>
      <c r="D244" s="29">
        <v>11.3</v>
      </c>
      <c r="E244" s="32" t="s">
        <v>5</v>
      </c>
      <c r="F244" s="32" t="s">
        <v>6</v>
      </c>
      <c r="G244" s="29">
        <v>4.0</v>
      </c>
    </row>
    <row r="245">
      <c r="A245" s="2"/>
      <c r="B245" s="3" t="s">
        <v>7</v>
      </c>
      <c r="C245" s="14"/>
      <c r="D245" s="14"/>
      <c r="E245" s="15"/>
      <c r="F245" s="6"/>
      <c r="G245" s="7"/>
    </row>
    <row r="246">
      <c r="B246" s="28">
        <v>45922.0</v>
      </c>
      <c r="C246" s="29">
        <v>7.3</v>
      </c>
      <c r="D246" s="29">
        <v>17.0</v>
      </c>
      <c r="E246" s="30" t="s">
        <v>3</v>
      </c>
      <c r="F246" s="30" t="s">
        <v>4</v>
      </c>
      <c r="G246" s="29">
        <v>7.75</v>
      </c>
    </row>
    <row r="247">
      <c r="B247" s="28">
        <v>45923.0</v>
      </c>
      <c r="C247" s="29">
        <v>7.3</v>
      </c>
      <c r="D247" s="29">
        <v>17.0</v>
      </c>
      <c r="E247" s="30" t="s">
        <v>3</v>
      </c>
      <c r="F247" s="30" t="s">
        <v>4</v>
      </c>
      <c r="G247" s="29">
        <v>7.75</v>
      </c>
    </row>
    <row r="248">
      <c r="B248" s="28">
        <v>45924.0</v>
      </c>
      <c r="C248" s="29">
        <v>7.3</v>
      </c>
      <c r="D248" s="29">
        <v>17.0</v>
      </c>
      <c r="E248" s="30" t="s">
        <v>3</v>
      </c>
      <c r="F248" s="30" t="s">
        <v>4</v>
      </c>
      <c r="G248" s="29">
        <v>7.75</v>
      </c>
    </row>
    <row r="249">
      <c r="B249" s="28">
        <v>45925.0</v>
      </c>
      <c r="C249" s="29">
        <v>7.3</v>
      </c>
      <c r="D249" s="29">
        <v>17.0</v>
      </c>
      <c r="E249" s="30" t="s">
        <v>3</v>
      </c>
      <c r="F249" s="30" t="s">
        <v>4</v>
      </c>
      <c r="G249" s="29">
        <v>7.75</v>
      </c>
    </row>
    <row r="250">
      <c r="B250" s="28">
        <v>45926.0</v>
      </c>
      <c r="C250" s="29">
        <v>7.3</v>
      </c>
      <c r="D250" s="29">
        <v>11.3</v>
      </c>
      <c r="E250" s="32" t="s">
        <v>5</v>
      </c>
      <c r="F250" s="32" t="s">
        <v>6</v>
      </c>
      <c r="G250" s="29">
        <v>4.0</v>
      </c>
    </row>
    <row r="251">
      <c r="A251" s="2"/>
      <c r="B251" s="3" t="s">
        <v>7</v>
      </c>
      <c r="C251" s="14"/>
      <c r="D251" s="14"/>
      <c r="E251" s="15"/>
      <c r="F251" s="6"/>
      <c r="G251" s="7"/>
    </row>
    <row r="252">
      <c r="B252" s="28">
        <v>45929.0</v>
      </c>
      <c r="C252" s="29">
        <v>7.3</v>
      </c>
      <c r="D252" s="29">
        <v>17.0</v>
      </c>
      <c r="E252" s="30" t="s">
        <v>3</v>
      </c>
      <c r="F252" s="30" t="s">
        <v>4</v>
      </c>
      <c r="G252" s="29">
        <v>7.75</v>
      </c>
    </row>
    <row r="253">
      <c r="B253" s="28">
        <v>45930.0</v>
      </c>
      <c r="C253" s="29">
        <v>7.3</v>
      </c>
      <c r="D253" s="29">
        <v>17.0</v>
      </c>
      <c r="E253" s="30" t="s">
        <v>3</v>
      </c>
      <c r="F253" s="30" t="s">
        <v>4</v>
      </c>
      <c r="G253" s="29">
        <v>7.75</v>
      </c>
    </row>
    <row r="254">
      <c r="A254" s="2"/>
      <c r="B254" s="3" t="s">
        <v>7</v>
      </c>
      <c r="C254" s="14"/>
      <c r="D254" s="14"/>
      <c r="E254" s="15"/>
      <c r="F254" s="6"/>
      <c r="G254" s="7"/>
      <c r="K254" s="8"/>
      <c r="N254" s="9" t="s">
        <v>9</v>
      </c>
      <c r="O254" s="10" t="s">
        <v>10</v>
      </c>
      <c r="P254" s="11" t="s">
        <v>11</v>
      </c>
      <c r="Q254" s="10" t="s">
        <v>1</v>
      </c>
    </row>
    <row r="255">
      <c r="A255" s="12"/>
      <c r="B255" s="13" t="s">
        <v>2</v>
      </c>
      <c r="C255" s="14"/>
      <c r="D255" s="14"/>
      <c r="E255" s="15"/>
      <c r="F255" s="16"/>
      <c r="G255" s="17">
        <f>G230+G236+G242+G242+G248+G254</f>
        <v>38.75</v>
      </c>
      <c r="H255" s="18"/>
      <c r="I255" s="19" t="str">
        <f>I251</f>
        <v/>
      </c>
      <c r="J255" s="20" t="str">
        <f>I255</f>
        <v/>
      </c>
      <c r="K255" s="21"/>
      <c r="L255" s="22" t="s">
        <v>13</v>
      </c>
      <c r="M255" s="23" t="s">
        <v>14</v>
      </c>
      <c r="N255" s="24">
        <v>2008.73</v>
      </c>
      <c r="O255" s="25">
        <v>1531.64</v>
      </c>
      <c r="P255" s="26">
        <v>1550.64</v>
      </c>
      <c r="Q255" s="27">
        <v>1641.89</v>
      </c>
    </row>
    <row r="256">
      <c r="B256" s="28">
        <v>45931.0</v>
      </c>
      <c r="C256" s="29">
        <v>7.3</v>
      </c>
      <c r="D256" s="29">
        <v>17.0</v>
      </c>
      <c r="E256" s="30" t="s">
        <v>3</v>
      </c>
      <c r="F256" s="30" t="s">
        <v>4</v>
      </c>
      <c r="G256" s="29">
        <v>7.75</v>
      </c>
      <c r="O256" s="38">
        <f>P255-O255</f>
        <v>19</v>
      </c>
    </row>
    <row r="257">
      <c r="B257" s="28">
        <v>45932.0</v>
      </c>
      <c r="C257" s="29">
        <v>7.3</v>
      </c>
      <c r="D257" s="29">
        <v>17.0</v>
      </c>
      <c r="E257" s="30" t="s">
        <v>3</v>
      </c>
      <c r="F257" s="30" t="s">
        <v>4</v>
      </c>
      <c r="G257" s="29">
        <v>7.75</v>
      </c>
    </row>
    <row r="258">
      <c r="B258" s="28">
        <v>45933.0</v>
      </c>
      <c r="C258" s="29">
        <v>7.3</v>
      </c>
      <c r="D258" s="29">
        <v>11.3</v>
      </c>
      <c r="E258" s="32" t="s">
        <v>5</v>
      </c>
      <c r="F258" s="32" t="s">
        <v>6</v>
      </c>
      <c r="G258" s="29">
        <v>4.0</v>
      </c>
    </row>
    <row r="259">
      <c r="A259" s="2"/>
      <c r="B259" s="3" t="s">
        <v>7</v>
      </c>
      <c r="C259" s="14"/>
      <c r="D259" s="14"/>
      <c r="E259" s="15"/>
      <c r="F259" s="6"/>
      <c r="G259" s="7"/>
    </row>
    <row r="260">
      <c r="B260" s="28">
        <v>45936.0</v>
      </c>
      <c r="C260" s="29">
        <v>7.3</v>
      </c>
      <c r="D260" s="29">
        <v>17.0</v>
      </c>
      <c r="E260" s="30" t="s">
        <v>3</v>
      </c>
      <c r="F260" s="30" t="s">
        <v>4</v>
      </c>
      <c r="G260" s="29">
        <v>7.75</v>
      </c>
    </row>
    <row r="261">
      <c r="B261" s="28">
        <v>45937.0</v>
      </c>
      <c r="C261" s="29">
        <v>7.3</v>
      </c>
      <c r="D261" s="29">
        <v>17.0</v>
      </c>
      <c r="E261" s="30" t="s">
        <v>3</v>
      </c>
      <c r="F261" s="30" t="s">
        <v>4</v>
      </c>
      <c r="G261" s="29">
        <v>7.75</v>
      </c>
    </row>
    <row r="262">
      <c r="B262" s="28">
        <v>45938.0</v>
      </c>
      <c r="C262" s="29">
        <v>7.3</v>
      </c>
      <c r="D262" s="29">
        <v>17.0</v>
      </c>
      <c r="E262" s="30" t="s">
        <v>3</v>
      </c>
      <c r="F262" s="30" t="s">
        <v>4</v>
      </c>
      <c r="G262" s="29">
        <v>7.75</v>
      </c>
    </row>
    <row r="263">
      <c r="B263" s="28">
        <v>45939.0</v>
      </c>
      <c r="C263" s="29">
        <v>7.3</v>
      </c>
      <c r="D263" s="29">
        <v>17.0</v>
      </c>
      <c r="E263" s="30" t="s">
        <v>3</v>
      </c>
      <c r="F263" s="30" t="s">
        <v>4</v>
      </c>
      <c r="G263" s="29">
        <v>7.75</v>
      </c>
    </row>
    <row r="264">
      <c r="B264" s="28">
        <v>45940.0</v>
      </c>
      <c r="C264" s="29">
        <v>7.3</v>
      </c>
      <c r="D264" s="29">
        <v>11.3</v>
      </c>
      <c r="E264" s="32" t="s">
        <v>5</v>
      </c>
      <c r="F264" s="32" t="s">
        <v>6</v>
      </c>
      <c r="G264" s="29">
        <v>4.0</v>
      </c>
    </row>
    <row r="265">
      <c r="A265" s="2"/>
      <c r="B265" s="3" t="s">
        <v>7</v>
      </c>
      <c r="C265" s="14"/>
      <c r="D265" s="14"/>
      <c r="E265" s="15"/>
      <c r="F265" s="6"/>
      <c r="G265" s="7"/>
    </row>
    <row r="266">
      <c r="B266" s="28">
        <v>45943.0</v>
      </c>
      <c r="C266" s="29">
        <v>7.3</v>
      </c>
      <c r="D266" s="29">
        <v>17.0</v>
      </c>
      <c r="E266" s="30" t="s">
        <v>3</v>
      </c>
      <c r="F266" s="30" t="s">
        <v>4</v>
      </c>
      <c r="G266" s="29">
        <v>7.75</v>
      </c>
    </row>
    <row r="267">
      <c r="B267" s="28">
        <v>45944.0</v>
      </c>
      <c r="C267" s="29">
        <v>7.3</v>
      </c>
      <c r="D267" s="29">
        <v>17.0</v>
      </c>
      <c r="E267" s="30" t="s">
        <v>3</v>
      </c>
      <c r="F267" s="30" t="s">
        <v>4</v>
      </c>
      <c r="G267" s="29">
        <v>7.75</v>
      </c>
    </row>
    <row r="268">
      <c r="B268" s="28">
        <v>45945.0</v>
      </c>
      <c r="C268" s="29">
        <v>7.3</v>
      </c>
      <c r="D268" s="29">
        <v>17.0</v>
      </c>
      <c r="E268" s="30" t="s">
        <v>3</v>
      </c>
      <c r="F268" s="30" t="s">
        <v>4</v>
      </c>
      <c r="G268" s="29">
        <v>7.75</v>
      </c>
    </row>
    <row r="269">
      <c r="B269" s="28">
        <v>45946.0</v>
      </c>
      <c r="C269" s="29">
        <v>7.3</v>
      </c>
      <c r="D269" s="29">
        <v>17.0</v>
      </c>
      <c r="E269" s="30" t="s">
        <v>3</v>
      </c>
      <c r="F269" s="30" t="s">
        <v>4</v>
      </c>
      <c r="G269" s="29">
        <v>7.75</v>
      </c>
    </row>
    <row r="270">
      <c r="B270" s="28">
        <v>45947.0</v>
      </c>
      <c r="C270" s="29">
        <v>7.3</v>
      </c>
      <c r="D270" s="29">
        <v>11.3</v>
      </c>
      <c r="E270" s="32" t="s">
        <v>5</v>
      </c>
      <c r="F270" s="32" t="s">
        <v>6</v>
      </c>
      <c r="G270" s="29">
        <v>4.0</v>
      </c>
    </row>
    <row r="271">
      <c r="A271" s="2"/>
      <c r="B271" s="3" t="s">
        <v>7</v>
      </c>
      <c r="C271" s="14"/>
      <c r="D271" s="14"/>
      <c r="E271" s="15"/>
      <c r="F271" s="6"/>
      <c r="G271" s="7"/>
    </row>
    <row r="272">
      <c r="B272" s="28">
        <v>45950.0</v>
      </c>
      <c r="C272" s="29">
        <v>7.3</v>
      </c>
      <c r="D272" s="29">
        <v>17.0</v>
      </c>
      <c r="E272" s="30" t="s">
        <v>3</v>
      </c>
      <c r="F272" s="30" t="s">
        <v>4</v>
      </c>
      <c r="G272" s="29">
        <v>7.75</v>
      </c>
    </row>
    <row r="273">
      <c r="B273" s="28">
        <v>45951.0</v>
      </c>
      <c r="C273" s="29">
        <v>7.3</v>
      </c>
      <c r="D273" s="29">
        <v>17.0</v>
      </c>
      <c r="E273" s="30" t="s">
        <v>3</v>
      </c>
      <c r="F273" s="30" t="s">
        <v>4</v>
      </c>
      <c r="G273" s="29">
        <v>7.75</v>
      </c>
    </row>
    <row r="274">
      <c r="B274" s="28">
        <v>45952.0</v>
      </c>
      <c r="C274" s="29">
        <v>7.3</v>
      </c>
      <c r="D274" s="29">
        <v>17.0</v>
      </c>
      <c r="E274" s="30" t="s">
        <v>3</v>
      </c>
      <c r="F274" s="30" t="s">
        <v>4</v>
      </c>
      <c r="G274" s="29">
        <v>7.75</v>
      </c>
    </row>
    <row r="275">
      <c r="B275" s="28">
        <v>45953.0</v>
      </c>
      <c r="C275" s="29">
        <v>7.3</v>
      </c>
      <c r="D275" s="29">
        <v>17.0</v>
      </c>
      <c r="E275" s="30" t="s">
        <v>3</v>
      </c>
      <c r="F275" s="30" t="s">
        <v>4</v>
      </c>
      <c r="G275" s="29">
        <v>7.75</v>
      </c>
    </row>
    <row r="276">
      <c r="B276" s="28">
        <v>45954.0</v>
      </c>
      <c r="C276" s="29">
        <v>7.3</v>
      </c>
      <c r="D276" s="29">
        <v>11.3</v>
      </c>
      <c r="E276" s="32" t="s">
        <v>5</v>
      </c>
      <c r="F276" s="32" t="s">
        <v>6</v>
      </c>
      <c r="G276" s="29">
        <v>4.0</v>
      </c>
    </row>
    <row r="277">
      <c r="A277" s="2"/>
      <c r="B277" s="3" t="s">
        <v>7</v>
      </c>
      <c r="C277" s="14"/>
      <c r="D277" s="14"/>
      <c r="E277" s="15"/>
      <c r="F277" s="6"/>
      <c r="G277" s="7"/>
    </row>
    <row r="278">
      <c r="B278" s="28">
        <v>45957.0</v>
      </c>
      <c r="C278" s="29">
        <v>7.3</v>
      </c>
      <c r="D278" s="29">
        <v>17.0</v>
      </c>
      <c r="E278" s="30" t="s">
        <v>3</v>
      </c>
      <c r="F278" s="30" t="s">
        <v>4</v>
      </c>
      <c r="G278" s="29">
        <v>7.75</v>
      </c>
    </row>
    <row r="279">
      <c r="B279" s="28">
        <v>45958.0</v>
      </c>
      <c r="C279" s="29">
        <v>7.3</v>
      </c>
      <c r="D279" s="29">
        <v>17.0</v>
      </c>
      <c r="E279" s="30" t="s">
        <v>3</v>
      </c>
      <c r="F279" s="30" t="s">
        <v>4</v>
      </c>
      <c r="G279" s="29">
        <v>7.75</v>
      </c>
    </row>
    <row r="280">
      <c r="B280" s="28">
        <v>45959.0</v>
      </c>
      <c r="C280" s="29">
        <v>7.3</v>
      </c>
      <c r="D280" s="29">
        <v>17.0</v>
      </c>
      <c r="E280" s="30" t="s">
        <v>3</v>
      </c>
      <c r="F280" s="30" t="s">
        <v>4</v>
      </c>
      <c r="G280" s="29">
        <v>7.75</v>
      </c>
    </row>
    <row r="281">
      <c r="B281" s="28">
        <v>45960.0</v>
      </c>
      <c r="C281" s="29">
        <v>7.3</v>
      </c>
      <c r="D281" s="29">
        <v>17.0</v>
      </c>
      <c r="E281" s="30" t="s">
        <v>3</v>
      </c>
      <c r="F281" s="30" t="s">
        <v>4</v>
      </c>
      <c r="G281" s="29">
        <v>7.75</v>
      </c>
    </row>
    <row r="282">
      <c r="B282" s="28">
        <v>45961.0</v>
      </c>
      <c r="C282" s="29">
        <v>7.3</v>
      </c>
      <c r="D282" s="29">
        <v>11.3</v>
      </c>
      <c r="E282" s="32" t="s">
        <v>5</v>
      </c>
      <c r="F282" s="32" t="s">
        <v>6</v>
      </c>
      <c r="G282" s="29">
        <v>4.0</v>
      </c>
    </row>
    <row r="283">
      <c r="A283" s="2"/>
      <c r="B283" s="3" t="s">
        <v>7</v>
      </c>
      <c r="C283" s="14"/>
      <c r="D283" s="14"/>
      <c r="E283" s="15"/>
      <c r="F283" s="6"/>
      <c r="G283" s="7"/>
      <c r="K283" s="8"/>
      <c r="N283" s="9" t="s">
        <v>9</v>
      </c>
      <c r="O283" s="10" t="s">
        <v>10</v>
      </c>
      <c r="P283" s="11" t="s">
        <v>11</v>
      </c>
      <c r="Q283" s="10" t="s">
        <v>1</v>
      </c>
    </row>
    <row r="284">
      <c r="A284" s="12"/>
      <c r="B284" s="13" t="s">
        <v>2</v>
      </c>
      <c r="C284" s="14"/>
      <c r="D284" s="14"/>
      <c r="E284" s="15"/>
      <c r="F284" s="16"/>
      <c r="G284" s="17">
        <f>G259+G265+G271+G271+G277+G283</f>
        <v>0</v>
      </c>
      <c r="H284" s="18"/>
      <c r="I284" s="19" t="str">
        <f>I280</f>
        <v/>
      </c>
      <c r="J284" s="20" t="str">
        <f>I284</f>
        <v/>
      </c>
      <c r="K284" s="21" t="s">
        <v>35</v>
      </c>
      <c r="L284" s="22" t="s">
        <v>13</v>
      </c>
      <c r="M284" s="23" t="s">
        <v>14</v>
      </c>
      <c r="N284" s="24">
        <v>1934.58</v>
      </c>
      <c r="O284" s="25">
        <v>1406.55</v>
      </c>
      <c r="P284" s="26">
        <v>1492.05</v>
      </c>
      <c r="Q284" s="27">
        <v>1581.18</v>
      </c>
    </row>
    <row r="285">
      <c r="B285" s="28">
        <v>45964.0</v>
      </c>
      <c r="C285" s="29">
        <v>7.3</v>
      </c>
      <c r="D285" s="29">
        <v>17.0</v>
      </c>
      <c r="E285" s="30" t="s">
        <v>3</v>
      </c>
      <c r="F285" s="30" t="s">
        <v>4</v>
      </c>
      <c r="G285" s="29">
        <v>7.75</v>
      </c>
      <c r="O285" s="38">
        <f>P284-O284</f>
        <v>85.5</v>
      </c>
    </row>
    <row r="286">
      <c r="B286" s="28">
        <v>45965.0</v>
      </c>
      <c r="C286" s="29">
        <v>7.3</v>
      </c>
      <c r="D286" s="29">
        <v>17.0</v>
      </c>
      <c r="E286" s="30" t="s">
        <v>3</v>
      </c>
      <c r="F286" s="30" t="s">
        <v>4</v>
      </c>
      <c r="G286" s="29">
        <v>7.75</v>
      </c>
    </row>
    <row r="287">
      <c r="B287" s="28">
        <v>45966.0</v>
      </c>
      <c r="C287" s="29">
        <v>7.3</v>
      </c>
      <c r="D287" s="29">
        <v>17.0</v>
      </c>
      <c r="E287" s="30" t="s">
        <v>3</v>
      </c>
      <c r="F287" s="30" t="s">
        <v>4</v>
      </c>
      <c r="G287" s="29">
        <v>7.75</v>
      </c>
    </row>
    <row r="288">
      <c r="B288" s="28">
        <v>45967.0</v>
      </c>
      <c r="C288" s="29">
        <v>7.3</v>
      </c>
      <c r="D288" s="29">
        <v>17.0</v>
      </c>
      <c r="E288" s="30" t="s">
        <v>3</v>
      </c>
      <c r="F288" s="30" t="s">
        <v>4</v>
      </c>
      <c r="G288" s="29">
        <v>7.75</v>
      </c>
    </row>
    <row r="289">
      <c r="B289" s="28">
        <v>45968.0</v>
      </c>
      <c r="C289" s="29">
        <v>7.3</v>
      </c>
      <c r="D289" s="29">
        <v>11.3</v>
      </c>
      <c r="E289" s="32" t="s">
        <v>5</v>
      </c>
      <c r="F289" s="32" t="s">
        <v>6</v>
      </c>
      <c r="G289" s="29">
        <v>4.0</v>
      </c>
    </row>
    <row r="290">
      <c r="A290" s="2"/>
      <c r="B290" s="3" t="s">
        <v>7</v>
      </c>
      <c r="C290" s="14"/>
      <c r="D290" s="14"/>
      <c r="E290" s="15"/>
      <c r="F290" s="6"/>
      <c r="G290" s="7"/>
    </row>
    <row r="291">
      <c r="B291" s="28">
        <v>45971.0</v>
      </c>
      <c r="C291" s="29">
        <v>7.3</v>
      </c>
      <c r="D291" s="29">
        <v>17.0</v>
      </c>
      <c r="E291" s="30" t="s">
        <v>3</v>
      </c>
      <c r="F291" s="30" t="s">
        <v>4</v>
      </c>
      <c r="G291" s="29">
        <v>7.75</v>
      </c>
    </row>
    <row r="292">
      <c r="B292" s="28">
        <v>45972.0</v>
      </c>
      <c r="C292" s="43" t="s">
        <v>24</v>
      </c>
      <c r="F292" s="44" t="s">
        <v>4</v>
      </c>
      <c r="G292" s="45">
        <v>7.75</v>
      </c>
    </row>
    <row r="293">
      <c r="B293" s="28">
        <v>45973.0</v>
      </c>
      <c r="C293" s="29">
        <v>7.3</v>
      </c>
      <c r="D293" s="29">
        <v>17.0</v>
      </c>
      <c r="E293" s="30" t="s">
        <v>3</v>
      </c>
      <c r="F293" s="30" t="s">
        <v>4</v>
      </c>
      <c r="G293" s="29">
        <v>7.75</v>
      </c>
    </row>
    <row r="294">
      <c r="B294" s="28">
        <v>45974.0</v>
      </c>
      <c r="C294" s="29">
        <v>7.3</v>
      </c>
      <c r="D294" s="29">
        <v>17.0</v>
      </c>
      <c r="E294" s="30" t="s">
        <v>3</v>
      </c>
      <c r="F294" s="30" t="s">
        <v>4</v>
      </c>
      <c r="G294" s="29">
        <v>7.75</v>
      </c>
    </row>
    <row r="295">
      <c r="B295" s="28">
        <v>45975.0</v>
      </c>
      <c r="C295" s="29">
        <v>7.3</v>
      </c>
      <c r="D295" s="29">
        <v>11.3</v>
      </c>
      <c r="E295" s="32" t="s">
        <v>5</v>
      </c>
      <c r="F295" s="32" t="s">
        <v>6</v>
      </c>
      <c r="G295" s="29">
        <v>4.0</v>
      </c>
    </row>
    <row r="296">
      <c r="A296" s="2"/>
      <c r="B296" s="3" t="s">
        <v>7</v>
      </c>
      <c r="C296" s="14"/>
      <c r="D296" s="14"/>
      <c r="E296" s="15"/>
      <c r="F296" s="6"/>
      <c r="G296" s="7"/>
    </row>
    <row r="297">
      <c r="B297" s="28">
        <v>45978.0</v>
      </c>
      <c r="C297" s="29">
        <v>7.3</v>
      </c>
      <c r="D297" s="29">
        <v>17.0</v>
      </c>
      <c r="E297" s="30" t="s">
        <v>3</v>
      </c>
      <c r="F297" s="30" t="s">
        <v>4</v>
      </c>
      <c r="G297" s="29">
        <v>7.75</v>
      </c>
      <c r="L297" s="51"/>
      <c r="M297" s="51"/>
    </row>
    <row r="298">
      <c r="B298" s="28">
        <v>45979.0</v>
      </c>
      <c r="C298" s="29">
        <v>7.3</v>
      </c>
      <c r="D298" s="29">
        <v>17.0</v>
      </c>
      <c r="E298" s="42" t="s">
        <v>21</v>
      </c>
      <c r="F298" s="42" t="s">
        <v>22</v>
      </c>
      <c r="G298" s="39">
        <v>8.75</v>
      </c>
      <c r="H298" s="41">
        <v>1.0</v>
      </c>
      <c r="L298" s="51"/>
      <c r="M298" s="51"/>
    </row>
    <row r="299">
      <c r="B299" s="28">
        <v>45980.0</v>
      </c>
      <c r="C299" s="29">
        <v>7.3</v>
      </c>
      <c r="D299" s="29">
        <v>17.0</v>
      </c>
      <c r="E299" s="42" t="s">
        <v>21</v>
      </c>
      <c r="F299" s="42" t="s">
        <v>22</v>
      </c>
      <c r="G299" s="39">
        <v>8.75</v>
      </c>
      <c r="H299" s="41">
        <v>1.0</v>
      </c>
      <c r="L299" s="51"/>
      <c r="M299" s="51"/>
    </row>
    <row r="300">
      <c r="B300" s="28">
        <v>45981.0</v>
      </c>
      <c r="C300" s="29">
        <v>7.3</v>
      </c>
      <c r="D300" s="29">
        <v>17.0</v>
      </c>
      <c r="E300" s="42" t="s">
        <v>21</v>
      </c>
      <c r="F300" s="42" t="s">
        <v>22</v>
      </c>
      <c r="G300" s="39">
        <v>8.75</v>
      </c>
      <c r="H300" s="41">
        <v>1.0</v>
      </c>
      <c r="L300" s="51"/>
      <c r="M300" s="51"/>
    </row>
    <row r="301">
      <c r="B301" s="28">
        <v>45982.0</v>
      </c>
      <c r="C301" s="29">
        <v>7.3</v>
      </c>
      <c r="D301" s="39">
        <v>16.0</v>
      </c>
      <c r="E301" s="40" t="s">
        <v>21</v>
      </c>
      <c r="F301" s="42" t="s">
        <v>36</v>
      </c>
      <c r="G301" s="39">
        <v>8.5</v>
      </c>
      <c r="H301" s="41">
        <v>3.75</v>
      </c>
      <c r="L301" s="51"/>
      <c r="M301" s="51"/>
    </row>
    <row r="302">
      <c r="A302" s="2"/>
      <c r="B302" s="3" t="s">
        <v>7</v>
      </c>
      <c r="C302" s="14"/>
      <c r="D302" s="14"/>
      <c r="E302" s="15"/>
      <c r="F302" s="6"/>
      <c r="G302" s="7"/>
    </row>
    <row r="303">
      <c r="B303" s="28">
        <v>45985.0</v>
      </c>
      <c r="C303" s="29">
        <v>7.3</v>
      </c>
      <c r="D303" s="29">
        <v>17.0</v>
      </c>
      <c r="E303" s="42" t="s">
        <v>21</v>
      </c>
      <c r="F303" s="42" t="s">
        <v>22</v>
      </c>
      <c r="G303" s="39">
        <v>8.75</v>
      </c>
      <c r="H303" s="41">
        <v>1.0</v>
      </c>
    </row>
    <row r="304">
      <c r="B304" s="28">
        <v>45986.0</v>
      </c>
      <c r="C304" s="29">
        <v>7.3</v>
      </c>
      <c r="D304" s="29">
        <v>17.0</v>
      </c>
      <c r="E304" s="42" t="s">
        <v>21</v>
      </c>
      <c r="F304" s="42" t="s">
        <v>22</v>
      </c>
      <c r="G304" s="39">
        <v>8.75</v>
      </c>
      <c r="H304" s="41">
        <v>1.0</v>
      </c>
    </row>
    <row r="305">
      <c r="B305" s="28">
        <v>45987.0</v>
      </c>
      <c r="C305" s="29">
        <v>7.3</v>
      </c>
      <c r="D305" s="29">
        <v>17.0</v>
      </c>
      <c r="E305" s="42" t="s">
        <v>21</v>
      </c>
      <c r="F305" s="42" t="s">
        <v>22</v>
      </c>
      <c r="G305" s="39">
        <v>8.75</v>
      </c>
      <c r="H305" s="41">
        <v>1.0</v>
      </c>
    </row>
    <row r="306">
      <c r="B306" s="28">
        <v>45988.0</v>
      </c>
      <c r="C306" s="29">
        <v>7.3</v>
      </c>
      <c r="D306" s="29">
        <v>17.0</v>
      </c>
      <c r="E306" s="42" t="s">
        <v>21</v>
      </c>
      <c r="F306" s="42" t="s">
        <v>22</v>
      </c>
      <c r="G306" s="39">
        <v>8.75</v>
      </c>
      <c r="H306" s="41">
        <v>1.0</v>
      </c>
    </row>
    <row r="307">
      <c r="B307" s="28">
        <v>45989.0</v>
      </c>
      <c r="C307" s="29">
        <v>7.3</v>
      </c>
      <c r="D307" s="29">
        <v>11.3</v>
      </c>
      <c r="E307" s="32" t="s">
        <v>5</v>
      </c>
      <c r="F307" s="32" t="s">
        <v>6</v>
      </c>
      <c r="G307" s="29">
        <v>4.0</v>
      </c>
    </row>
    <row r="308">
      <c r="A308" s="2"/>
      <c r="B308" s="3" t="s">
        <v>7</v>
      </c>
      <c r="C308" s="14"/>
      <c r="D308" s="14"/>
      <c r="E308" s="15"/>
      <c r="F308" s="6"/>
      <c r="G308" s="7"/>
      <c r="K308" s="8"/>
      <c r="N308" s="9" t="s">
        <v>9</v>
      </c>
      <c r="O308" s="10" t="s">
        <v>10</v>
      </c>
      <c r="P308" s="11" t="s">
        <v>11</v>
      </c>
      <c r="Q308" s="10" t="s">
        <v>1</v>
      </c>
    </row>
    <row r="309">
      <c r="A309" s="12"/>
      <c r="B309" s="13" t="s">
        <v>2</v>
      </c>
      <c r="C309" s="14"/>
      <c r="D309" s="14"/>
      <c r="E309" s="15"/>
      <c r="F309" s="16"/>
      <c r="G309" s="17">
        <f>G284+G290+G296+G296+G302+G308</f>
        <v>0</v>
      </c>
      <c r="H309" s="18">
        <f>H298+H299+H300+H301+H303+H304+H305+H306+H307</f>
        <v>10.75</v>
      </c>
      <c r="I309" s="19" t="str">
        <f>I305</f>
        <v/>
      </c>
      <c r="J309" s="20" t="str">
        <f>I309</f>
        <v/>
      </c>
      <c r="K309" s="21" t="s">
        <v>37</v>
      </c>
      <c r="L309" s="22" t="s">
        <v>13</v>
      </c>
      <c r="M309" s="23" t="s">
        <v>14</v>
      </c>
      <c r="N309" s="24">
        <v>1934.58</v>
      </c>
      <c r="O309" s="25">
        <v>2477.35</v>
      </c>
      <c r="P309" s="26">
        <v>2562.85</v>
      </c>
      <c r="Q309" s="27">
        <v>1581.18</v>
      </c>
    </row>
    <row r="310">
      <c r="B310" s="28">
        <v>45992.0</v>
      </c>
      <c r="C310" s="39">
        <v>9.0</v>
      </c>
      <c r="D310" s="39">
        <v>17.0</v>
      </c>
      <c r="E310" s="42" t="s">
        <v>31</v>
      </c>
      <c r="F310" s="42" t="s">
        <v>27</v>
      </c>
      <c r="G310" s="39">
        <v>7.0</v>
      </c>
      <c r="L310" s="36" t="s">
        <v>38</v>
      </c>
      <c r="O310" s="38">
        <f>P309-O309</f>
        <v>85.5</v>
      </c>
    </row>
    <row r="311">
      <c r="B311" s="28">
        <v>45993.0</v>
      </c>
      <c r="C311" s="39">
        <v>9.0</v>
      </c>
      <c r="D311" s="39">
        <v>17.0</v>
      </c>
      <c r="E311" s="42" t="s">
        <v>31</v>
      </c>
      <c r="F311" s="42" t="s">
        <v>27</v>
      </c>
      <c r="G311" s="39">
        <v>7.0</v>
      </c>
      <c r="L311" s="36" t="s">
        <v>38</v>
      </c>
    </row>
    <row r="312">
      <c r="B312" s="28">
        <v>45994.0</v>
      </c>
      <c r="C312" s="39">
        <v>9.0</v>
      </c>
      <c r="D312" s="39">
        <v>17.0</v>
      </c>
      <c r="E312" s="42" t="s">
        <v>31</v>
      </c>
      <c r="F312" s="42" t="s">
        <v>27</v>
      </c>
      <c r="G312" s="39">
        <v>7.0</v>
      </c>
      <c r="L312" s="36" t="s">
        <v>38</v>
      </c>
    </row>
    <row r="313">
      <c r="B313" s="28">
        <v>45995.0</v>
      </c>
      <c r="C313" s="29">
        <v>7.3</v>
      </c>
      <c r="D313" s="29">
        <v>17.0</v>
      </c>
      <c r="E313" s="42" t="s">
        <v>21</v>
      </c>
      <c r="F313" s="42" t="s">
        <v>22</v>
      </c>
      <c r="G313" s="39">
        <v>8.75</v>
      </c>
      <c r="H313" s="41">
        <v>1.0</v>
      </c>
    </row>
    <row r="314">
      <c r="B314" s="28">
        <v>45996.0</v>
      </c>
      <c r="C314" s="29">
        <v>7.3</v>
      </c>
      <c r="D314" s="29">
        <v>11.3</v>
      </c>
      <c r="E314" s="32" t="s">
        <v>5</v>
      </c>
      <c r="F314" s="32" t="s">
        <v>6</v>
      </c>
      <c r="G314" s="29">
        <v>4.0</v>
      </c>
    </row>
    <row r="315">
      <c r="A315" s="2"/>
      <c r="B315" s="3" t="s">
        <v>7</v>
      </c>
      <c r="C315" s="14"/>
      <c r="D315" s="14"/>
      <c r="E315" s="15"/>
      <c r="F315" s="6"/>
      <c r="G315" s="7"/>
    </row>
    <row r="316">
      <c r="B316" s="28">
        <v>45999.0</v>
      </c>
      <c r="C316" s="29">
        <v>7.3</v>
      </c>
      <c r="D316" s="29">
        <v>17.0</v>
      </c>
      <c r="E316" s="42" t="s">
        <v>21</v>
      </c>
      <c r="F316" s="42" t="s">
        <v>22</v>
      </c>
      <c r="G316" s="39">
        <v>8.75</v>
      </c>
      <c r="H316" s="41">
        <v>1.0</v>
      </c>
    </row>
    <row r="317">
      <c r="B317" s="28">
        <v>46000.0</v>
      </c>
      <c r="C317" s="29">
        <v>7.3</v>
      </c>
      <c r="D317" s="29">
        <v>17.0</v>
      </c>
      <c r="E317" s="42" t="s">
        <v>21</v>
      </c>
      <c r="F317" s="42" t="s">
        <v>22</v>
      </c>
      <c r="G317" s="39">
        <v>8.75</v>
      </c>
      <c r="H317" s="41">
        <v>1.0</v>
      </c>
    </row>
    <row r="318">
      <c r="B318" s="28">
        <v>46001.0</v>
      </c>
      <c r="C318" s="29">
        <v>7.3</v>
      </c>
      <c r="D318" s="29">
        <v>17.0</v>
      </c>
      <c r="E318" s="42" t="s">
        <v>21</v>
      </c>
      <c r="F318" s="42" t="s">
        <v>22</v>
      </c>
      <c r="G318" s="39">
        <v>8.75</v>
      </c>
      <c r="H318" s="41">
        <v>1.0</v>
      </c>
    </row>
    <row r="319">
      <c r="B319" s="28">
        <v>46002.0</v>
      </c>
      <c r="C319" s="29">
        <v>7.3</v>
      </c>
      <c r="D319" s="29">
        <v>17.0</v>
      </c>
      <c r="E319" s="42" t="s">
        <v>21</v>
      </c>
      <c r="F319" s="42" t="s">
        <v>22</v>
      </c>
      <c r="G319" s="39">
        <v>8.75</v>
      </c>
      <c r="H319" s="41">
        <v>1.0</v>
      </c>
    </row>
    <row r="320">
      <c r="B320" s="28">
        <v>46003.0</v>
      </c>
      <c r="C320" s="29">
        <v>7.3</v>
      </c>
      <c r="D320" s="29">
        <v>11.3</v>
      </c>
      <c r="E320" s="32" t="s">
        <v>5</v>
      </c>
      <c r="F320" s="32" t="s">
        <v>6</v>
      </c>
      <c r="G320" s="29">
        <v>4.0</v>
      </c>
    </row>
    <row r="321">
      <c r="A321" s="2"/>
      <c r="B321" s="3" t="s">
        <v>7</v>
      </c>
      <c r="C321" s="14"/>
      <c r="D321" s="14"/>
      <c r="E321" s="15"/>
      <c r="F321" s="6"/>
      <c r="G321" s="7"/>
    </row>
    <row r="322">
      <c r="B322" s="28">
        <v>46006.0</v>
      </c>
      <c r="C322" s="39">
        <v>9.0</v>
      </c>
      <c r="D322" s="39">
        <v>17.0</v>
      </c>
      <c r="E322" s="42" t="s">
        <v>31</v>
      </c>
      <c r="F322" s="42" t="s">
        <v>27</v>
      </c>
      <c r="G322" s="39">
        <v>7.0</v>
      </c>
      <c r="L322" s="36" t="s">
        <v>38</v>
      </c>
    </row>
    <row r="323">
      <c r="B323" s="28">
        <v>46007.0</v>
      </c>
      <c r="C323" s="39">
        <v>9.0</v>
      </c>
      <c r="D323" s="39">
        <v>17.0</v>
      </c>
      <c r="E323" s="42" t="s">
        <v>31</v>
      </c>
      <c r="F323" s="42" t="s">
        <v>27</v>
      </c>
      <c r="G323" s="39">
        <v>7.0</v>
      </c>
      <c r="L323" s="36" t="s">
        <v>38</v>
      </c>
    </row>
    <row r="324">
      <c r="B324" s="28">
        <v>46008.0</v>
      </c>
      <c r="C324" s="29">
        <v>7.3</v>
      </c>
      <c r="D324" s="29">
        <v>17.0</v>
      </c>
      <c r="E324" s="30" t="s">
        <v>3</v>
      </c>
      <c r="F324" s="30" t="s">
        <v>4</v>
      </c>
      <c r="G324" s="29">
        <v>7.75</v>
      </c>
    </row>
    <row r="325">
      <c r="B325" s="28">
        <v>46009.0</v>
      </c>
      <c r="C325" s="29">
        <v>7.3</v>
      </c>
      <c r="D325" s="29">
        <v>17.0</v>
      </c>
      <c r="E325" s="30" t="s">
        <v>3</v>
      </c>
      <c r="F325" s="30" t="s">
        <v>4</v>
      </c>
      <c r="G325" s="29">
        <v>7.75</v>
      </c>
    </row>
    <row r="326">
      <c r="B326" s="28">
        <v>46010.0</v>
      </c>
      <c r="C326" s="29">
        <v>7.3</v>
      </c>
      <c r="D326" s="29">
        <v>11.3</v>
      </c>
      <c r="E326" s="32" t="s">
        <v>5</v>
      </c>
      <c r="F326" s="32" t="s">
        <v>6</v>
      </c>
      <c r="G326" s="29">
        <v>4.0</v>
      </c>
    </row>
    <row r="327">
      <c r="A327" s="2"/>
      <c r="B327" s="3" t="s">
        <v>7</v>
      </c>
      <c r="C327" s="14"/>
      <c r="D327" s="14"/>
      <c r="E327" s="15"/>
      <c r="F327" s="6"/>
      <c r="G327" s="7"/>
    </row>
    <row r="328">
      <c r="B328" s="33" t="s">
        <v>39</v>
      </c>
    </row>
    <row r="329">
      <c r="A329" s="2"/>
      <c r="B329" s="3"/>
      <c r="C329" s="14"/>
      <c r="D329" s="14"/>
      <c r="E329" s="15"/>
      <c r="F329" s="6"/>
      <c r="G329" s="7"/>
      <c r="K329" s="8"/>
      <c r="N329" s="9" t="s">
        <v>9</v>
      </c>
      <c r="O329" s="10" t="s">
        <v>10</v>
      </c>
      <c r="P329" s="11" t="s">
        <v>11</v>
      </c>
      <c r="Q329" s="10" t="s">
        <v>1</v>
      </c>
    </row>
    <row r="330">
      <c r="A330" s="12"/>
      <c r="B330" s="13" t="s">
        <v>2</v>
      </c>
      <c r="C330" s="14"/>
      <c r="D330" s="14"/>
      <c r="E330" s="15"/>
      <c r="F330" s="16"/>
      <c r="G330" s="17">
        <f>G305+G311+G317+G317+G323+G329</f>
        <v>40.25</v>
      </c>
      <c r="H330" s="18">
        <f>H313+H316+H317+H318+H319</f>
        <v>5</v>
      </c>
      <c r="I330" s="19" t="str">
        <f>I326</f>
        <v/>
      </c>
      <c r="J330" s="20" t="str">
        <f>I330</f>
        <v/>
      </c>
      <c r="K330" s="21" t="s">
        <v>40</v>
      </c>
      <c r="L330" s="22" t="s">
        <v>13</v>
      </c>
      <c r="M330" s="23" t="s">
        <v>14</v>
      </c>
      <c r="N330" s="24">
        <v>2227.83</v>
      </c>
      <c r="O330" s="25">
        <v>1676.11</v>
      </c>
      <c r="P330" s="26">
        <v>1752.11</v>
      </c>
      <c r="Q330" s="27">
        <v>1615.27</v>
      </c>
    </row>
    <row r="331">
      <c r="B331" s="28"/>
      <c r="C331" s="29"/>
      <c r="D331" s="29"/>
      <c r="E331" s="30"/>
      <c r="F331" s="30"/>
      <c r="G331" s="29"/>
      <c r="O331" s="38">
        <f>P330-O330</f>
        <v>76</v>
      </c>
    </row>
    <row r="332">
      <c r="B332" s="28"/>
    </row>
    <row r="334">
      <c r="B334" s="28"/>
    </row>
  </sheetData>
  <mergeCells count="103">
    <mergeCell ref="A1:M1"/>
    <mergeCell ref="B4:E4"/>
    <mergeCell ref="O5:P5"/>
    <mergeCell ref="B10:E10"/>
    <mergeCell ref="B16:E16"/>
    <mergeCell ref="B22:E22"/>
    <mergeCell ref="B23:G23"/>
    <mergeCell ref="B24:E24"/>
    <mergeCell ref="O25:P25"/>
    <mergeCell ref="A27:L27"/>
    <mergeCell ref="B33:E33"/>
    <mergeCell ref="B39:E39"/>
    <mergeCell ref="B45:E45"/>
    <mergeCell ref="C50:G50"/>
    <mergeCell ref="B51:E51"/>
    <mergeCell ref="B52:E52"/>
    <mergeCell ref="O53:P53"/>
    <mergeCell ref="B58:E58"/>
    <mergeCell ref="C63:G63"/>
    <mergeCell ref="B64:E64"/>
    <mergeCell ref="C65:G65"/>
    <mergeCell ref="C66:G66"/>
    <mergeCell ref="C67:G67"/>
    <mergeCell ref="C68:G68"/>
    <mergeCell ref="C69:G69"/>
    <mergeCell ref="B70:E70"/>
    <mergeCell ref="B76:E76"/>
    <mergeCell ref="O78:P78"/>
    <mergeCell ref="B77:E77"/>
    <mergeCell ref="B83:E83"/>
    <mergeCell ref="B89:E89"/>
    <mergeCell ref="B95:E95"/>
    <mergeCell ref="B101:E101"/>
    <mergeCell ref="B103:E103"/>
    <mergeCell ref="O105:P105"/>
    <mergeCell ref="C133:E133"/>
    <mergeCell ref="O133:P133"/>
    <mergeCell ref="C134:G134"/>
    <mergeCell ref="B104:E104"/>
    <mergeCell ref="B109:E109"/>
    <mergeCell ref="B115:E115"/>
    <mergeCell ref="B121:E121"/>
    <mergeCell ref="B127:E127"/>
    <mergeCell ref="B131:E131"/>
    <mergeCell ref="B132:E132"/>
    <mergeCell ref="B265:E265"/>
    <mergeCell ref="B271:E271"/>
    <mergeCell ref="B277:E277"/>
    <mergeCell ref="B283:E283"/>
    <mergeCell ref="B284:E284"/>
    <mergeCell ref="O285:P285"/>
    <mergeCell ref="B290:E290"/>
    <mergeCell ref="C292:E292"/>
    <mergeCell ref="B296:E296"/>
    <mergeCell ref="B302:E302"/>
    <mergeCell ref="B308:E308"/>
    <mergeCell ref="B309:E309"/>
    <mergeCell ref="O310:P310"/>
    <mergeCell ref="B315:E315"/>
    <mergeCell ref="B159:E159"/>
    <mergeCell ref="B160:E160"/>
    <mergeCell ref="O161:P161"/>
    <mergeCell ref="B135:E135"/>
    <mergeCell ref="C139:E139"/>
    <mergeCell ref="C140:G140"/>
    <mergeCell ref="B141:E141"/>
    <mergeCell ref="B147:E147"/>
    <mergeCell ref="B153:E153"/>
    <mergeCell ref="C157:E157"/>
    <mergeCell ref="B166:E166"/>
    <mergeCell ref="B172:E172"/>
    <mergeCell ref="B178:E178"/>
    <mergeCell ref="B184:E184"/>
    <mergeCell ref="B186:E186"/>
    <mergeCell ref="B187:E187"/>
    <mergeCell ref="O188:P188"/>
    <mergeCell ref="B192:E192"/>
    <mergeCell ref="B198:E198"/>
    <mergeCell ref="C199:E199"/>
    <mergeCell ref="B204:E204"/>
    <mergeCell ref="B210:E210"/>
    <mergeCell ref="B215:E215"/>
    <mergeCell ref="O217:P217"/>
    <mergeCell ref="B216:E216"/>
    <mergeCell ref="B218:E218"/>
    <mergeCell ref="B219:G219"/>
    <mergeCell ref="B226:E226"/>
    <mergeCell ref="B227:E227"/>
    <mergeCell ref="O228:P228"/>
    <mergeCell ref="B233:E233"/>
    <mergeCell ref="B239:E239"/>
    <mergeCell ref="B245:E245"/>
    <mergeCell ref="B251:E251"/>
    <mergeCell ref="B254:E254"/>
    <mergeCell ref="B255:E255"/>
    <mergeCell ref="O256:P256"/>
    <mergeCell ref="B259:E259"/>
    <mergeCell ref="B321:E321"/>
    <mergeCell ref="B327:E327"/>
    <mergeCell ref="B328:G328"/>
    <mergeCell ref="B329:E329"/>
    <mergeCell ref="B330:E330"/>
    <mergeCell ref="O331:P3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0.57"/>
    <col customWidth="1" min="2" max="2" width="9.86"/>
    <col customWidth="1" min="3" max="3" width="10.29"/>
    <col customWidth="1" min="4" max="5" width="10.71"/>
    <col customWidth="1" min="6" max="6" width="8.71"/>
    <col customWidth="1" min="7" max="7" width="8.29"/>
    <col customWidth="1" min="8" max="8" width="8.71"/>
    <col customWidth="1" min="9" max="9" width="20.0"/>
    <col customWidth="1" min="10" max="10" width="8.86"/>
    <col customWidth="1" min="11" max="11" width="7.29"/>
    <col customWidth="1" min="12" max="13" width="9.43"/>
    <col customWidth="1" min="14" max="14" width="10.14"/>
    <col customWidth="1" min="15" max="16" width="8.71"/>
    <col customWidth="1" min="17" max="17" width="10.71"/>
    <col customWidth="1" min="18" max="18" width="7.43"/>
    <col customWidth="1" min="19" max="19" width="3.71"/>
    <col customWidth="1" min="20" max="20" width="7.43"/>
    <col customWidth="1" min="21" max="21" width="7.29"/>
    <col customWidth="1" min="22" max="22" width="10.14"/>
    <col customWidth="1" min="23" max="23" width="30.0"/>
  </cols>
  <sheetData>
    <row r="1">
      <c r="A1" s="52"/>
      <c r="B1" s="52" t="s">
        <v>41</v>
      </c>
    </row>
    <row r="2">
      <c r="A2" s="32"/>
      <c r="B2" s="32"/>
      <c r="C2" s="32"/>
      <c r="D2" s="32"/>
      <c r="E2" s="32"/>
      <c r="F2" s="32"/>
      <c r="G2" s="32"/>
      <c r="H2" s="53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>
      <c r="A3" s="32"/>
      <c r="B3" s="32"/>
      <c r="C3" s="32"/>
      <c r="D3" s="32"/>
      <c r="E3" s="32"/>
      <c r="F3" s="32"/>
      <c r="G3" s="32"/>
      <c r="H3" s="53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>
      <c r="A4" s="32"/>
      <c r="B4" s="32"/>
      <c r="C4" s="32"/>
      <c r="D4" s="32"/>
      <c r="E4" s="32"/>
      <c r="F4" s="32"/>
      <c r="G4" s="32"/>
      <c r="H4" s="53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>
      <c r="A5" s="32"/>
      <c r="B5" s="32"/>
      <c r="C5" s="32"/>
      <c r="D5" s="32"/>
      <c r="E5" s="32"/>
      <c r="F5" s="32"/>
      <c r="G5" s="32"/>
      <c r="H5" s="53">
        <v>2026.0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>
      <c r="A6" s="32"/>
      <c r="B6" s="32"/>
      <c r="C6" s="32"/>
      <c r="D6" s="32"/>
      <c r="E6" s="32"/>
      <c r="F6" s="32"/>
      <c r="G6" s="32"/>
      <c r="H6" s="54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>
      <c r="A7" s="55"/>
      <c r="B7" s="56" t="s">
        <v>42</v>
      </c>
      <c r="C7" s="57"/>
      <c r="D7" s="57"/>
      <c r="E7" s="57"/>
      <c r="F7" s="57"/>
      <c r="G7" s="57"/>
      <c r="H7" s="57"/>
      <c r="I7" s="57"/>
      <c r="J7" s="57"/>
      <c r="K7" s="58" t="s">
        <v>43</v>
      </c>
      <c r="O7" s="59" t="s">
        <v>44</v>
      </c>
      <c r="P7" s="57"/>
      <c r="Q7" s="57"/>
      <c r="R7" s="57"/>
      <c r="S7" s="57"/>
      <c r="T7" s="57"/>
      <c r="U7" s="57"/>
      <c r="V7" s="57"/>
      <c r="W7" s="57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</row>
    <row r="8">
      <c r="A8" s="60"/>
      <c r="B8" s="61" t="s">
        <v>45</v>
      </c>
      <c r="E8" s="62"/>
      <c r="F8" s="63" t="s">
        <v>46</v>
      </c>
      <c r="H8" s="64"/>
      <c r="I8" s="65" t="s">
        <v>47</v>
      </c>
      <c r="J8" s="66" t="s">
        <v>48</v>
      </c>
      <c r="K8" s="67"/>
      <c r="L8" s="68"/>
      <c r="M8" s="68"/>
      <c r="N8" s="69"/>
      <c r="O8" s="63" t="s">
        <v>45</v>
      </c>
      <c r="S8" s="62"/>
      <c r="T8" s="63" t="s">
        <v>49</v>
      </c>
      <c r="V8" s="64"/>
      <c r="W8" s="70" t="s">
        <v>50</v>
      </c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>
      <c r="A9" s="71" t="s">
        <v>51</v>
      </c>
      <c r="B9" s="61" t="s">
        <v>52</v>
      </c>
      <c r="C9" s="61" t="s">
        <v>53</v>
      </c>
      <c r="D9" s="63" t="s">
        <v>54</v>
      </c>
      <c r="E9" s="72" t="s">
        <v>55</v>
      </c>
      <c r="F9" s="73" t="s">
        <v>52</v>
      </c>
      <c r="G9" s="61" t="s">
        <v>53</v>
      </c>
      <c r="H9" s="74" t="s">
        <v>55</v>
      </c>
      <c r="I9" s="64"/>
      <c r="K9" s="75" t="s">
        <v>52</v>
      </c>
      <c r="L9" s="61" t="s">
        <v>53</v>
      </c>
      <c r="M9" s="63" t="s">
        <v>54</v>
      </c>
      <c r="N9" s="76" t="s">
        <v>55</v>
      </c>
      <c r="O9" s="61" t="s">
        <v>52</v>
      </c>
      <c r="P9" s="61" t="s">
        <v>53</v>
      </c>
      <c r="Q9" s="63" t="s">
        <v>54</v>
      </c>
      <c r="R9" s="63" t="s">
        <v>55</v>
      </c>
      <c r="S9" s="62"/>
      <c r="T9" s="61" t="s">
        <v>52</v>
      </c>
      <c r="U9" s="61" t="s">
        <v>53</v>
      </c>
      <c r="V9" s="72" t="s">
        <v>55</v>
      </c>
      <c r="W9" s="77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</row>
    <row r="10">
      <c r="A10" s="78" t="s">
        <v>56</v>
      </c>
      <c r="B10" s="79"/>
      <c r="C10" s="80"/>
      <c r="D10" s="81"/>
      <c r="E10" s="82"/>
      <c r="F10" s="83"/>
      <c r="G10" s="83"/>
      <c r="H10" s="84"/>
      <c r="I10" s="85"/>
      <c r="J10" s="86">
        <v>62.25</v>
      </c>
      <c r="K10" s="87"/>
      <c r="L10" s="88"/>
      <c r="M10" s="88"/>
      <c r="N10" s="89"/>
      <c r="O10" s="90"/>
      <c r="P10" s="91"/>
      <c r="Q10" s="92"/>
      <c r="R10" s="93"/>
      <c r="S10" s="62"/>
      <c r="T10" s="88"/>
      <c r="U10" s="83"/>
      <c r="V10" s="94"/>
      <c r="W10" s="89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>
      <c r="A11" s="78" t="s">
        <v>57</v>
      </c>
      <c r="B11" s="95"/>
      <c r="C11" s="96"/>
      <c r="D11" s="97"/>
      <c r="E11" s="98"/>
      <c r="F11" s="99"/>
      <c r="G11" s="100"/>
      <c r="H11" s="101"/>
      <c r="I11" s="64"/>
      <c r="J11" s="100">
        <v>62.25</v>
      </c>
      <c r="K11" s="102"/>
      <c r="L11" s="32"/>
      <c r="M11" s="32"/>
      <c r="N11" s="77"/>
      <c r="O11" s="103"/>
      <c r="P11" s="104"/>
      <c r="Q11" s="97"/>
      <c r="R11" s="103"/>
      <c r="S11" s="62"/>
      <c r="T11" s="32"/>
      <c r="U11" s="32"/>
      <c r="V11" s="105"/>
      <c r="W11" s="77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</row>
    <row r="12">
      <c r="A12" s="106" t="s">
        <v>58</v>
      </c>
      <c r="B12" s="107"/>
      <c r="C12" s="108"/>
      <c r="D12" s="109"/>
      <c r="E12" s="82"/>
      <c r="F12" s="110"/>
      <c r="G12" s="111"/>
      <c r="H12" s="112"/>
      <c r="I12" s="64"/>
      <c r="J12" s="113">
        <v>62.25</v>
      </c>
      <c r="K12" s="114"/>
      <c r="L12" s="110"/>
      <c r="M12" s="115"/>
      <c r="N12" s="116"/>
      <c r="O12" s="107"/>
      <c r="P12" s="108"/>
      <c r="Q12" s="109"/>
      <c r="R12" s="117"/>
      <c r="S12" s="62"/>
      <c r="T12" s="115"/>
      <c r="U12" s="118"/>
      <c r="V12" s="119"/>
      <c r="W12" s="89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</row>
    <row r="13">
      <c r="A13" s="120"/>
      <c r="E13" s="64"/>
      <c r="H13" s="64"/>
      <c r="I13" s="64"/>
      <c r="K13" s="121"/>
      <c r="N13" s="62"/>
      <c r="S13" s="62"/>
      <c r="T13" s="115"/>
      <c r="U13" s="118"/>
      <c r="V13" s="119"/>
      <c r="W13" s="89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>
      <c r="A14" s="120"/>
      <c r="E14" s="64"/>
      <c r="H14" s="64"/>
      <c r="I14" s="64"/>
      <c r="K14" s="121"/>
      <c r="N14" s="62"/>
      <c r="S14" s="62"/>
      <c r="T14" s="115"/>
      <c r="U14" s="118"/>
      <c r="V14" s="119"/>
      <c r="W14" s="89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</row>
    <row r="15">
      <c r="A15" s="122" t="s">
        <v>59</v>
      </c>
      <c r="B15" s="95"/>
      <c r="C15" s="96"/>
      <c r="D15" s="97"/>
      <c r="E15" s="98"/>
      <c r="F15" s="32"/>
      <c r="G15" s="30"/>
      <c r="H15" s="123"/>
      <c r="I15" s="64"/>
      <c r="J15" s="104">
        <v>62.25</v>
      </c>
      <c r="K15" s="102"/>
      <c r="L15" s="32"/>
      <c r="M15" s="32"/>
      <c r="N15" s="77"/>
      <c r="O15" s="124"/>
      <c r="P15" s="96"/>
      <c r="Q15" s="97"/>
      <c r="R15" s="103"/>
      <c r="S15" s="62"/>
      <c r="T15" s="32"/>
      <c r="U15" s="30"/>
      <c r="V15" s="105"/>
      <c r="W15" s="77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>
      <c r="A16" s="78" t="s">
        <v>60</v>
      </c>
      <c r="B16" s="79"/>
      <c r="C16" s="80"/>
      <c r="D16" s="81"/>
      <c r="E16" s="82"/>
      <c r="F16" s="115"/>
      <c r="G16" s="118"/>
      <c r="H16" s="125"/>
      <c r="I16" s="64"/>
      <c r="J16" s="86">
        <v>62.25</v>
      </c>
      <c r="K16" s="126"/>
      <c r="L16" s="115"/>
      <c r="M16" s="115"/>
      <c r="N16" s="116"/>
      <c r="O16" s="90"/>
      <c r="P16" s="91"/>
      <c r="Q16" s="92"/>
      <c r="R16" s="93"/>
      <c r="S16" s="62"/>
      <c r="T16" s="115"/>
      <c r="U16" s="118"/>
      <c r="V16" s="119"/>
      <c r="W16" s="89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>
      <c r="A17" s="78" t="s">
        <v>61</v>
      </c>
      <c r="B17" s="95"/>
      <c r="C17" s="127"/>
      <c r="D17" s="97"/>
      <c r="E17" s="98"/>
      <c r="F17" s="32"/>
      <c r="G17" s="32"/>
      <c r="H17" s="123"/>
      <c r="I17" s="64"/>
      <c r="J17" s="100">
        <v>62.25</v>
      </c>
      <c r="K17" s="102"/>
      <c r="L17" s="32"/>
      <c r="M17" s="32"/>
      <c r="N17" s="128"/>
      <c r="O17" s="103"/>
      <c r="P17" s="96"/>
      <c r="Q17" s="97"/>
      <c r="R17" s="103"/>
      <c r="S17" s="62"/>
      <c r="T17" s="32"/>
      <c r="U17" s="32"/>
      <c r="V17" s="105"/>
      <c r="W17" s="77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>
      <c r="A18" s="78" t="s">
        <v>62</v>
      </c>
      <c r="B18" s="79"/>
      <c r="C18" s="80"/>
      <c r="D18" s="81"/>
      <c r="E18" s="82"/>
      <c r="F18" s="118"/>
      <c r="G18" s="118"/>
      <c r="H18" s="129"/>
      <c r="I18" s="64"/>
      <c r="J18" s="130">
        <v>62.25</v>
      </c>
      <c r="K18" s="83"/>
      <c r="L18" s="83"/>
      <c r="M18" s="83"/>
      <c r="N18" s="131"/>
      <c r="O18" s="90"/>
      <c r="P18" s="91"/>
      <c r="Q18" s="92"/>
      <c r="R18" s="93"/>
      <c r="S18" s="62"/>
      <c r="T18" s="118"/>
      <c r="U18" s="118"/>
      <c r="V18" s="129"/>
      <c r="W18" s="89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</row>
    <row r="19">
      <c r="A19" s="78" t="s">
        <v>63</v>
      </c>
      <c r="B19" s="95"/>
      <c r="C19" s="132"/>
      <c r="D19" s="97"/>
      <c r="E19" s="98"/>
      <c r="F19" s="32"/>
      <c r="G19" s="32"/>
      <c r="H19" s="123"/>
      <c r="I19" s="64"/>
      <c r="J19" s="100">
        <v>62.25</v>
      </c>
      <c r="K19" s="102"/>
      <c r="L19" s="32"/>
      <c r="M19" s="30"/>
      <c r="N19" s="77"/>
      <c r="O19" s="103"/>
      <c r="P19" s="96"/>
      <c r="Q19" s="97"/>
      <c r="R19" s="103"/>
      <c r="S19" s="62"/>
      <c r="T19" s="32"/>
      <c r="U19" s="32"/>
      <c r="V19" s="105"/>
      <c r="W19" s="77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</row>
    <row r="20">
      <c r="A20" s="78" t="s">
        <v>64</v>
      </c>
      <c r="B20" s="79"/>
      <c r="C20" s="80"/>
      <c r="D20" s="81"/>
      <c r="E20" s="82"/>
      <c r="F20" s="115"/>
      <c r="G20" s="115"/>
      <c r="H20" s="125"/>
      <c r="I20" s="64"/>
      <c r="J20" s="130">
        <v>62.25</v>
      </c>
      <c r="K20" s="133"/>
      <c r="L20" s="115"/>
      <c r="M20" s="118"/>
      <c r="N20" s="134"/>
      <c r="O20" s="90"/>
      <c r="P20" s="91"/>
      <c r="Q20" s="92"/>
      <c r="R20" s="90"/>
      <c r="S20" s="62"/>
      <c r="T20" s="115"/>
      <c r="U20" s="115"/>
      <c r="V20" s="119"/>
      <c r="W20" s="89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</row>
    <row r="21">
      <c r="A21" s="78" t="s">
        <v>65</v>
      </c>
      <c r="B21" s="95"/>
      <c r="C21" s="135"/>
      <c r="D21" s="97"/>
      <c r="E21" s="98"/>
      <c r="F21" s="32"/>
      <c r="G21" s="32"/>
      <c r="H21" s="123"/>
      <c r="I21" s="64"/>
      <c r="J21" s="100">
        <v>62.25</v>
      </c>
      <c r="K21" s="102"/>
      <c r="L21" s="32"/>
      <c r="M21" s="30"/>
      <c r="N21" s="128"/>
      <c r="O21" s="124"/>
      <c r="P21" s="96"/>
      <c r="Q21" s="97"/>
      <c r="R21" s="103"/>
      <c r="S21" s="62"/>
      <c r="T21" s="32"/>
      <c r="U21" s="32"/>
      <c r="V21" s="105"/>
      <c r="W21" s="77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</row>
    <row r="22">
      <c r="A22" s="78" t="s">
        <v>66</v>
      </c>
      <c r="B22" s="79"/>
      <c r="C22" s="80"/>
      <c r="D22" s="81"/>
      <c r="E22" s="82"/>
      <c r="F22" s="115"/>
      <c r="G22" s="115"/>
      <c r="H22" s="125"/>
      <c r="I22" s="64"/>
      <c r="J22" s="130">
        <v>62.25</v>
      </c>
      <c r="K22" s="133"/>
      <c r="L22" s="115"/>
      <c r="M22" s="118"/>
      <c r="N22" s="134"/>
      <c r="O22" s="90"/>
      <c r="P22" s="91"/>
      <c r="Q22" s="92"/>
      <c r="R22" s="93"/>
      <c r="S22" s="62"/>
      <c r="T22" s="115"/>
      <c r="U22" s="115"/>
      <c r="V22" s="119"/>
      <c r="W22" s="89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</row>
    <row r="23">
      <c r="A23" s="78" t="s">
        <v>67</v>
      </c>
      <c r="B23" s="95"/>
      <c r="C23" s="135"/>
      <c r="D23" s="97"/>
      <c r="E23" s="98"/>
      <c r="F23" s="136"/>
      <c r="G23" s="136"/>
      <c r="H23" s="137"/>
      <c r="I23" s="138"/>
      <c r="J23" s="100">
        <v>62.25</v>
      </c>
      <c r="K23" s="139"/>
      <c r="L23" s="136"/>
      <c r="M23" s="136"/>
      <c r="N23" s="140"/>
      <c r="O23" s="103"/>
      <c r="P23" s="96"/>
      <c r="Q23" s="97"/>
      <c r="R23" s="141"/>
      <c r="S23" s="142"/>
      <c r="T23" s="136"/>
      <c r="U23" s="136"/>
      <c r="V23" s="143"/>
      <c r="W23" s="77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</row>
    <row r="24">
      <c r="A24" s="144" t="s">
        <v>68</v>
      </c>
      <c r="B24" s="145">
        <f t="shared" ref="B24:I24" si="1">SUM(B10:B23)</f>
        <v>0</v>
      </c>
      <c r="C24" s="145">
        <f t="shared" si="1"/>
        <v>0</v>
      </c>
      <c r="D24" s="146">
        <f t="shared" si="1"/>
        <v>0</v>
      </c>
      <c r="E24" s="147">
        <f t="shared" si="1"/>
        <v>0</v>
      </c>
      <c r="F24" s="145">
        <f t="shared" si="1"/>
        <v>0</v>
      </c>
      <c r="G24" s="145">
        <f t="shared" si="1"/>
        <v>0</v>
      </c>
      <c r="H24" s="147">
        <f t="shared" si="1"/>
        <v>0</v>
      </c>
      <c r="I24" s="148">
        <f t="shared" si="1"/>
        <v>0</v>
      </c>
      <c r="J24" s="149">
        <f>sum(J10:J23)</f>
        <v>747</v>
      </c>
      <c r="K24" s="150" t="str">
        <f t="shared" ref="K24:L24" si="2">K18</f>
        <v/>
      </c>
      <c r="L24" s="151" t="str">
        <f t="shared" si="2"/>
        <v/>
      </c>
      <c r="M24" s="152">
        <f t="shared" ref="M24:R24" si="3">SUM(M10:M23)</f>
        <v>0</v>
      </c>
      <c r="N24" s="153">
        <f t="shared" si="3"/>
        <v>0</v>
      </c>
      <c r="O24" s="154">
        <f t="shared" si="3"/>
        <v>0</v>
      </c>
      <c r="P24" s="154">
        <f t="shared" si="3"/>
        <v>0</v>
      </c>
      <c r="Q24" s="155">
        <f t="shared" si="3"/>
        <v>0</v>
      </c>
      <c r="R24" s="156">
        <f t="shared" si="3"/>
        <v>0</v>
      </c>
      <c r="S24" s="157"/>
      <c r="T24" s="158">
        <f t="shared" ref="T24:V24" si="4">SUM(T10:T23)</f>
        <v>0</v>
      </c>
      <c r="U24" s="145">
        <f t="shared" si="4"/>
        <v>0</v>
      </c>
      <c r="V24" s="159">
        <f t="shared" si="4"/>
        <v>0</v>
      </c>
      <c r="W24" s="160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</row>
    <row r="25">
      <c r="A25" s="77"/>
      <c r="B25" s="161" t="s">
        <v>69</v>
      </c>
      <c r="C25" s="162" t="s">
        <v>70</v>
      </c>
      <c r="D25" s="145">
        <f>B24+F24+I24+J24</f>
        <v>747</v>
      </c>
      <c r="E25" s="163"/>
      <c r="F25" s="164" t="s">
        <v>71</v>
      </c>
      <c r="G25" s="165">
        <f>C24+G24+I24+J24</f>
        <v>747</v>
      </c>
      <c r="H25" s="166" t="s">
        <v>72</v>
      </c>
      <c r="I25" s="167"/>
      <c r="J25" s="165">
        <f>E24+H24+I24+J24</f>
        <v>747</v>
      </c>
      <c r="K25" s="161" t="s">
        <v>73</v>
      </c>
      <c r="L25" s="73" t="s">
        <v>70</v>
      </c>
      <c r="M25" s="73" t="s">
        <v>71</v>
      </c>
      <c r="N25" s="168" t="s">
        <v>72</v>
      </c>
      <c r="O25" s="169" t="s">
        <v>70</v>
      </c>
      <c r="P25" s="55"/>
      <c r="Q25" s="169" t="s">
        <v>71</v>
      </c>
      <c r="R25" s="55"/>
      <c r="S25" s="163"/>
      <c r="T25" s="162" t="s">
        <v>72</v>
      </c>
      <c r="U25" s="57"/>
      <c r="V25" s="160"/>
      <c r="W25" s="32"/>
      <c r="X25" s="170" t="s">
        <v>72</v>
      </c>
      <c r="Z25" s="160"/>
      <c r="AA25" s="32"/>
      <c r="AB25" s="32"/>
      <c r="AC25" s="32"/>
      <c r="AD25" s="32"/>
      <c r="AE25" s="32"/>
      <c r="AF25" s="32"/>
      <c r="AG25" s="32"/>
      <c r="AH25" s="32"/>
      <c r="AI25" s="32"/>
    </row>
    <row r="26">
      <c r="A26" s="32"/>
      <c r="B26" s="32"/>
      <c r="C26" s="32"/>
      <c r="D26" s="32"/>
      <c r="E26" s="32"/>
      <c r="F26" s="32"/>
      <c r="G26" s="32"/>
      <c r="H26" s="53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>
      <c r="A27" s="32"/>
      <c r="B27" s="32"/>
      <c r="C27" s="32"/>
      <c r="D27" s="32"/>
      <c r="E27" s="32"/>
      <c r="F27" s="32"/>
      <c r="G27" s="32"/>
      <c r="H27" s="53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</row>
    <row r="28">
      <c r="A28" s="32"/>
      <c r="B28" s="32"/>
      <c r="C28" s="32"/>
      <c r="D28" s="32"/>
      <c r="E28" s="32"/>
      <c r="F28" s="32"/>
      <c r="G28" s="32"/>
      <c r="H28" s="53">
        <v>2025.0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</row>
    <row r="30">
      <c r="A30" s="55"/>
      <c r="B30" s="56" t="s">
        <v>42</v>
      </c>
      <c r="C30" s="57"/>
      <c r="D30" s="57"/>
      <c r="E30" s="57"/>
      <c r="F30" s="57"/>
      <c r="G30" s="57"/>
      <c r="H30" s="57"/>
      <c r="I30" s="57"/>
      <c r="J30" s="57"/>
      <c r="K30" s="171" t="s">
        <v>43</v>
      </c>
      <c r="O30" s="59" t="s">
        <v>44</v>
      </c>
      <c r="P30" s="57"/>
      <c r="Q30" s="57"/>
      <c r="R30" s="57"/>
      <c r="S30" s="57"/>
      <c r="T30" s="57"/>
      <c r="U30" s="57"/>
      <c r="V30" s="57"/>
      <c r="W30" s="57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>
      <c r="A31" s="60"/>
      <c r="B31" s="61" t="s">
        <v>45</v>
      </c>
      <c r="E31" s="62"/>
      <c r="F31" s="63" t="s">
        <v>46</v>
      </c>
      <c r="H31" s="64"/>
      <c r="I31" s="172" t="s">
        <v>47</v>
      </c>
      <c r="J31" s="173" t="s">
        <v>48</v>
      </c>
      <c r="K31" s="174"/>
      <c r="L31" s="68"/>
      <c r="M31" s="68"/>
      <c r="N31" s="69"/>
      <c r="O31" s="175" t="s">
        <v>45</v>
      </c>
      <c r="S31" s="62"/>
      <c r="T31" s="176" t="s">
        <v>49</v>
      </c>
      <c r="V31" s="64"/>
      <c r="W31" s="70" t="s">
        <v>50</v>
      </c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</row>
    <row r="32" ht="66.75" customHeight="1">
      <c r="A32" s="71" t="s">
        <v>51</v>
      </c>
      <c r="B32" s="61" t="s">
        <v>52</v>
      </c>
      <c r="C32" s="61" t="s">
        <v>53</v>
      </c>
      <c r="D32" s="176" t="s">
        <v>54</v>
      </c>
      <c r="E32" s="72" t="s">
        <v>55</v>
      </c>
      <c r="F32" s="73" t="s">
        <v>52</v>
      </c>
      <c r="G32" s="61" t="s">
        <v>53</v>
      </c>
      <c r="H32" s="72" t="s">
        <v>55</v>
      </c>
      <c r="I32" s="64"/>
      <c r="K32" s="75" t="s">
        <v>52</v>
      </c>
      <c r="L32" s="61" t="s">
        <v>53</v>
      </c>
      <c r="M32" s="176" t="s">
        <v>54</v>
      </c>
      <c r="N32" s="76" t="s">
        <v>55</v>
      </c>
      <c r="O32" s="61" t="s">
        <v>52</v>
      </c>
      <c r="P32" s="61" t="s">
        <v>53</v>
      </c>
      <c r="Q32" s="176" t="s">
        <v>54</v>
      </c>
      <c r="R32" s="63" t="s">
        <v>55</v>
      </c>
      <c r="S32" s="62"/>
      <c r="T32" s="61" t="s">
        <v>52</v>
      </c>
      <c r="U32" s="61" t="s">
        <v>53</v>
      </c>
      <c r="V32" s="72" t="s">
        <v>55</v>
      </c>
      <c r="W32" s="77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</row>
    <row r="33">
      <c r="A33" s="78" t="s">
        <v>56</v>
      </c>
      <c r="B33" s="177">
        <v>1917.31</v>
      </c>
      <c r="C33" s="178">
        <v>1424.26</v>
      </c>
      <c r="D33" s="179">
        <v>1481.56</v>
      </c>
      <c r="E33" s="180">
        <v>1570.12</v>
      </c>
      <c r="F33" s="181"/>
      <c r="G33" s="181"/>
      <c r="H33" s="182"/>
      <c r="I33" s="183" t="s">
        <v>74</v>
      </c>
      <c r="J33" s="184">
        <v>62.25</v>
      </c>
      <c r="K33" s="185"/>
      <c r="L33" s="186"/>
      <c r="M33" s="186"/>
      <c r="N33" s="187"/>
      <c r="O33" s="188">
        <v>2150.77</v>
      </c>
      <c r="P33" s="189">
        <v>1677.99</v>
      </c>
      <c r="Q33" s="190">
        <v>1654.58</v>
      </c>
      <c r="R33" s="191">
        <v>1617.62</v>
      </c>
      <c r="S33" s="62"/>
      <c r="T33" s="186"/>
      <c r="U33" s="181"/>
      <c r="V33" s="182"/>
      <c r="W33" s="19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</row>
    <row r="34">
      <c r="A34" s="106" t="s">
        <v>57</v>
      </c>
      <c r="B34" s="24">
        <v>1375.04</v>
      </c>
      <c r="C34" s="193">
        <v>976.31</v>
      </c>
      <c r="D34" s="26">
        <v>1052.31</v>
      </c>
      <c r="E34" s="27">
        <v>1125.41</v>
      </c>
      <c r="F34" s="194">
        <v>157.85</v>
      </c>
      <c r="G34" s="195">
        <v>151.85</v>
      </c>
      <c r="H34" s="196">
        <v>151.85</v>
      </c>
      <c r="I34" s="64"/>
      <c r="J34" s="195">
        <v>62.25</v>
      </c>
      <c r="K34" s="197"/>
      <c r="L34" s="198"/>
      <c r="M34" s="198"/>
      <c r="N34" s="199"/>
      <c r="O34" s="200">
        <v>2139.09</v>
      </c>
      <c r="P34" s="201">
        <v>1651.5</v>
      </c>
      <c r="Q34" s="26">
        <v>1632.05</v>
      </c>
      <c r="R34" s="202">
        <v>1707.59</v>
      </c>
      <c r="S34" s="62"/>
      <c r="T34" s="198"/>
      <c r="U34" s="198"/>
      <c r="V34" s="203"/>
      <c r="W34" s="204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</row>
    <row r="35">
      <c r="A35" s="205" t="s">
        <v>58</v>
      </c>
      <c r="B35" s="206">
        <v>2258.54</v>
      </c>
      <c r="C35" s="207">
        <v>1694.69</v>
      </c>
      <c r="D35" s="208">
        <v>1751.69</v>
      </c>
      <c r="E35" s="180">
        <v>1849.97</v>
      </c>
      <c r="F35" s="209"/>
      <c r="G35" s="210"/>
      <c r="H35" s="211"/>
      <c r="I35" s="64"/>
      <c r="J35" s="212">
        <v>62.25</v>
      </c>
      <c r="K35" s="213"/>
      <c r="L35" s="209"/>
      <c r="M35" s="110"/>
      <c r="N35" s="214"/>
      <c r="O35" s="206">
        <v>2010.95</v>
      </c>
      <c r="P35" s="207">
        <v>1580.99</v>
      </c>
      <c r="Q35" s="208">
        <v>1547.52</v>
      </c>
      <c r="R35" s="215">
        <v>1509.11</v>
      </c>
      <c r="S35" s="62"/>
      <c r="T35" s="216"/>
      <c r="U35" s="217"/>
      <c r="V35" s="218"/>
      <c r="W35" s="219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</row>
    <row r="36">
      <c r="A36" s="120"/>
      <c r="E36" s="64"/>
      <c r="H36" s="64"/>
      <c r="I36" s="64"/>
      <c r="K36" s="121"/>
      <c r="N36" s="62"/>
      <c r="S36" s="62"/>
      <c r="T36" s="216"/>
      <c r="U36" s="217"/>
      <c r="V36" s="218"/>
      <c r="W36" s="19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</row>
    <row r="37">
      <c r="A37" s="120"/>
      <c r="E37" s="64"/>
      <c r="H37" s="64"/>
      <c r="I37" s="64"/>
      <c r="K37" s="121"/>
      <c r="N37" s="62"/>
      <c r="S37" s="62"/>
      <c r="T37" s="216"/>
      <c r="U37" s="217"/>
      <c r="V37" s="218"/>
      <c r="W37" s="19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</row>
    <row r="38">
      <c r="A38" s="220" t="s">
        <v>59</v>
      </c>
      <c r="B38" s="24">
        <v>1934.58</v>
      </c>
      <c r="C38" s="193">
        <v>1407.58</v>
      </c>
      <c r="D38" s="26">
        <v>1488.33</v>
      </c>
      <c r="E38" s="27">
        <v>1577.56</v>
      </c>
      <c r="F38" s="198"/>
      <c r="G38" s="221"/>
      <c r="H38" s="203"/>
      <c r="I38" s="64"/>
      <c r="J38" s="222">
        <v>62.25</v>
      </c>
      <c r="K38" s="197"/>
      <c r="L38" s="198"/>
      <c r="M38" s="103"/>
      <c r="N38" s="223"/>
      <c r="O38" s="224">
        <v>1962.4</v>
      </c>
      <c r="P38" s="193">
        <v>1516.12</v>
      </c>
      <c r="Q38" s="26">
        <v>1510.39</v>
      </c>
      <c r="R38" s="202">
        <v>1543.49</v>
      </c>
      <c r="S38" s="62"/>
      <c r="T38" s="32"/>
      <c r="U38" s="42"/>
      <c r="V38" s="105"/>
      <c r="W38" s="204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</row>
    <row r="39">
      <c r="A39" s="106" t="s">
        <v>60</v>
      </c>
      <c r="B39" s="177">
        <v>1934.58</v>
      </c>
      <c r="C39" s="178">
        <v>1406.55</v>
      </c>
      <c r="D39" s="179">
        <v>1492.05</v>
      </c>
      <c r="E39" s="180">
        <v>1581.18</v>
      </c>
      <c r="F39" s="216"/>
      <c r="G39" s="217"/>
      <c r="H39" s="218"/>
      <c r="I39" s="64"/>
      <c r="J39" s="184">
        <v>62.25</v>
      </c>
      <c r="K39" s="225"/>
      <c r="L39" s="110"/>
      <c r="M39" s="110"/>
      <c r="N39" s="226"/>
      <c r="O39" s="188">
        <v>1216.5</v>
      </c>
      <c r="P39" s="189">
        <v>1601.62</v>
      </c>
      <c r="Q39" s="190">
        <v>1628.15</v>
      </c>
      <c r="R39" s="191">
        <v>992.54</v>
      </c>
      <c r="S39" s="62"/>
      <c r="T39" s="110"/>
      <c r="U39" s="111"/>
      <c r="V39" s="227"/>
      <c r="W39" s="219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>
      <c r="A40" s="78" t="s">
        <v>61</v>
      </c>
      <c r="B40" s="24">
        <v>2010.31</v>
      </c>
      <c r="C40" s="228">
        <v>1489.2</v>
      </c>
      <c r="D40" s="26">
        <v>1560.45</v>
      </c>
      <c r="E40" s="27">
        <v>1581.07</v>
      </c>
      <c r="F40" s="32"/>
      <c r="G40" s="32"/>
      <c r="H40" s="105"/>
      <c r="I40" s="64"/>
      <c r="J40" s="195">
        <v>62.25</v>
      </c>
      <c r="K40" s="102"/>
      <c r="L40" s="32"/>
      <c r="M40" s="229"/>
      <c r="N40" s="230"/>
      <c r="O40" s="200">
        <v>3.85</v>
      </c>
      <c r="P40" s="193">
        <v>1477.85</v>
      </c>
      <c r="Q40" s="26">
        <v>1510.75</v>
      </c>
      <c r="R40" s="202">
        <v>85.87</v>
      </c>
      <c r="S40" s="62"/>
      <c r="T40" s="32"/>
      <c r="U40" s="32"/>
      <c r="V40" s="105"/>
      <c r="W40" s="2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>
      <c r="A41" s="78" t="s">
        <v>62</v>
      </c>
      <c r="B41" s="177">
        <v>1934.58</v>
      </c>
      <c r="C41" s="178">
        <v>1411.3</v>
      </c>
      <c r="D41" s="179">
        <v>1492.05</v>
      </c>
      <c r="E41" s="180">
        <v>1581.18</v>
      </c>
      <c r="F41" s="118"/>
      <c r="G41" s="118"/>
      <c r="H41" s="129"/>
      <c r="I41" s="64"/>
      <c r="J41" s="232">
        <v>62.25</v>
      </c>
      <c r="K41" s="107"/>
      <c r="L41" s="233"/>
      <c r="M41" s="190"/>
      <c r="N41" s="234"/>
      <c r="O41" s="188">
        <v>265.65</v>
      </c>
      <c r="P41" s="189">
        <v>1551.92</v>
      </c>
      <c r="Q41" s="190">
        <v>1551.92</v>
      </c>
      <c r="R41" s="191">
        <v>216.75</v>
      </c>
      <c r="S41" s="62"/>
      <c r="T41" s="118"/>
      <c r="U41" s="118"/>
      <c r="V41" s="129"/>
      <c r="W41" s="235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</row>
    <row r="42">
      <c r="A42" s="78" t="s">
        <v>63</v>
      </c>
      <c r="B42" s="24">
        <v>1934.58</v>
      </c>
      <c r="C42" s="236">
        <v>1406.55</v>
      </c>
      <c r="D42" s="26">
        <v>1492.05</v>
      </c>
      <c r="E42" s="27">
        <v>1581.18</v>
      </c>
      <c r="F42" s="32"/>
      <c r="G42" s="32"/>
      <c r="H42" s="105"/>
      <c r="I42" s="64"/>
      <c r="J42" s="195">
        <v>62.25</v>
      </c>
      <c r="K42" s="102"/>
      <c r="L42" s="32"/>
      <c r="M42" s="99"/>
      <c r="N42" s="237"/>
      <c r="O42" s="200">
        <v>-1823.48</v>
      </c>
      <c r="P42" s="193">
        <v>1618.97</v>
      </c>
      <c r="Q42" s="26">
        <v>1618.97</v>
      </c>
      <c r="R42" s="202">
        <v>-1481.5</v>
      </c>
      <c r="S42" s="62"/>
      <c r="T42" s="32"/>
      <c r="U42" s="32"/>
      <c r="V42" s="105"/>
      <c r="W42" s="2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</row>
    <row r="43">
      <c r="A43" s="78" t="s">
        <v>64</v>
      </c>
      <c r="B43" s="177">
        <v>2008.73</v>
      </c>
      <c r="C43" s="178">
        <v>1531.64</v>
      </c>
      <c r="D43" s="179">
        <v>1550.64</v>
      </c>
      <c r="E43" s="180">
        <v>1641.89</v>
      </c>
      <c r="F43" s="115"/>
      <c r="G43" s="115"/>
      <c r="H43" s="119"/>
      <c r="I43" s="64"/>
      <c r="J43" s="232">
        <v>62.25</v>
      </c>
      <c r="K43" s="133"/>
      <c r="L43" s="115"/>
      <c r="M43" s="238"/>
      <c r="N43" s="239"/>
      <c r="O43" s="188">
        <v>880.65</v>
      </c>
      <c r="P43" s="189">
        <v>1443.05</v>
      </c>
      <c r="Q43" s="190">
        <v>1443.05</v>
      </c>
      <c r="R43" s="188">
        <v>719.6</v>
      </c>
      <c r="S43" s="62"/>
      <c r="T43" s="115"/>
      <c r="U43" s="115"/>
      <c r="V43" s="119"/>
      <c r="W43" s="235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>
      <c r="A44" s="78" t="s">
        <v>65</v>
      </c>
      <c r="B44" s="200">
        <v>1934.58</v>
      </c>
      <c r="C44" s="236">
        <v>1406.55</v>
      </c>
      <c r="D44" s="26">
        <v>1492.05</v>
      </c>
      <c r="E44" s="27">
        <v>1581.18</v>
      </c>
      <c r="F44" s="32"/>
      <c r="G44" s="32"/>
      <c r="H44" s="105"/>
      <c r="I44" s="64"/>
      <c r="J44" s="195">
        <v>62.25</v>
      </c>
      <c r="K44" s="102"/>
      <c r="L44" s="32"/>
      <c r="M44" s="240"/>
      <c r="N44" s="230"/>
      <c r="O44" s="224">
        <v>181.08</v>
      </c>
      <c r="P44" s="193">
        <v>1586.36</v>
      </c>
      <c r="Q44" s="26">
        <v>1567.76</v>
      </c>
      <c r="R44" s="202">
        <v>150.67</v>
      </c>
      <c r="S44" s="62"/>
      <c r="T44" s="32"/>
      <c r="U44" s="32"/>
      <c r="V44" s="105"/>
      <c r="W44" s="231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</row>
    <row r="45">
      <c r="A45" s="78" t="s">
        <v>66</v>
      </c>
      <c r="B45" s="241">
        <v>1934.58</v>
      </c>
      <c r="C45" s="178">
        <v>2477.35</v>
      </c>
      <c r="D45" s="179">
        <v>2562.85</v>
      </c>
      <c r="E45" s="180">
        <v>1581.18</v>
      </c>
      <c r="F45" s="115"/>
      <c r="G45" s="115"/>
      <c r="H45" s="119"/>
      <c r="I45" s="64"/>
      <c r="J45" s="232">
        <v>62.25</v>
      </c>
      <c r="K45" s="242"/>
      <c r="L45" s="243"/>
      <c r="M45" s="118"/>
      <c r="N45" s="239"/>
      <c r="O45" s="188">
        <v>725.84</v>
      </c>
      <c r="P45" s="189">
        <v>1664.99</v>
      </c>
      <c r="Q45" s="190">
        <v>1683.59</v>
      </c>
      <c r="R45" s="191">
        <v>593.7</v>
      </c>
      <c r="S45" s="62"/>
      <c r="T45" s="115"/>
      <c r="U45" s="115"/>
      <c r="V45" s="119"/>
      <c r="W45" s="235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</row>
    <row r="46">
      <c r="A46" s="78" t="s">
        <v>67</v>
      </c>
      <c r="B46" s="200">
        <v>2227.83</v>
      </c>
      <c r="C46" s="236">
        <v>1676.11</v>
      </c>
      <c r="D46" s="26">
        <v>1752.11</v>
      </c>
      <c r="E46" s="27">
        <v>1615.27</v>
      </c>
      <c r="F46" s="136"/>
      <c r="G46" s="136"/>
      <c r="H46" s="143"/>
      <c r="I46" s="138"/>
      <c r="J46" s="195">
        <v>62.25</v>
      </c>
      <c r="K46" s="139"/>
      <c r="L46" s="136"/>
      <c r="M46" s="136"/>
      <c r="N46" s="244"/>
      <c r="O46" s="200">
        <v>1918.2</v>
      </c>
      <c r="P46" s="193">
        <v>1929.94</v>
      </c>
      <c r="Q46" s="26">
        <v>2929.94</v>
      </c>
      <c r="R46" s="245">
        <v>1563.38</v>
      </c>
      <c r="S46" s="142"/>
      <c r="T46" s="136"/>
      <c r="U46" s="136"/>
      <c r="V46" s="143"/>
      <c r="W46" s="2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>
      <c r="A47" s="144" t="s">
        <v>68</v>
      </c>
      <c r="B47" s="145">
        <f t="shared" ref="B47:I47" si="5">SUM(B33:B46)</f>
        <v>23405.24</v>
      </c>
      <c r="C47" s="145">
        <f t="shared" si="5"/>
        <v>18308.09</v>
      </c>
      <c r="D47" s="146">
        <f t="shared" si="5"/>
        <v>19168.14</v>
      </c>
      <c r="E47" s="147">
        <f t="shared" si="5"/>
        <v>18867.19</v>
      </c>
      <c r="F47" s="145">
        <f t="shared" si="5"/>
        <v>157.85</v>
      </c>
      <c r="G47" s="145">
        <f t="shared" si="5"/>
        <v>151.85</v>
      </c>
      <c r="H47" s="147">
        <f t="shared" si="5"/>
        <v>151.85</v>
      </c>
      <c r="I47" s="148">
        <f t="shared" si="5"/>
        <v>0</v>
      </c>
      <c r="J47" s="149">
        <f>sum(J33:J46)</f>
        <v>747</v>
      </c>
      <c r="K47" s="150" t="str">
        <f t="shared" ref="K47:L47" si="6">K41</f>
        <v/>
      </c>
      <c r="L47" s="151" t="str">
        <f t="shared" si="6"/>
        <v/>
      </c>
      <c r="M47" s="55">
        <f t="shared" ref="M47:R47" si="7">SUM(M33:M46)</f>
        <v>0</v>
      </c>
      <c r="N47" s="153">
        <f t="shared" si="7"/>
        <v>0</v>
      </c>
      <c r="O47" s="154">
        <f t="shared" si="7"/>
        <v>11631.5</v>
      </c>
      <c r="P47" s="154">
        <f t="shared" si="7"/>
        <v>19301.3</v>
      </c>
      <c r="Q47" s="155">
        <f t="shared" si="7"/>
        <v>20278.67</v>
      </c>
      <c r="R47" s="156">
        <f t="shared" si="7"/>
        <v>9218.82</v>
      </c>
      <c r="S47" s="157"/>
      <c r="T47" s="158">
        <f t="shared" ref="T47:V47" si="8">SUM(T33:T46)</f>
        <v>0</v>
      </c>
      <c r="U47" s="145">
        <f t="shared" si="8"/>
        <v>0</v>
      </c>
      <c r="V47" s="159">
        <f t="shared" si="8"/>
        <v>0</v>
      </c>
      <c r="W47" s="160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</row>
    <row r="48">
      <c r="A48" s="77"/>
      <c r="B48" s="246" t="s">
        <v>69</v>
      </c>
      <c r="C48" s="162" t="s">
        <v>70</v>
      </c>
      <c r="D48" s="151">
        <f>B47+F47+I47+J47</f>
        <v>24310.09</v>
      </c>
      <c r="E48" s="163"/>
      <c r="F48" s="164" t="s">
        <v>71</v>
      </c>
      <c r="G48" s="247">
        <f>C47+G47+I47+J47</f>
        <v>19206.94</v>
      </c>
      <c r="H48" s="248" t="s">
        <v>72</v>
      </c>
      <c r="I48" s="167"/>
      <c r="J48" s="247">
        <f>E47+H47+I47+J47</f>
        <v>19766.04</v>
      </c>
      <c r="K48" s="246" t="s">
        <v>73</v>
      </c>
      <c r="L48" s="249" t="s">
        <v>70</v>
      </c>
      <c r="M48" s="73" t="s">
        <v>71</v>
      </c>
      <c r="N48" s="168" t="s">
        <v>72</v>
      </c>
      <c r="O48" s="169" t="s">
        <v>70</v>
      </c>
      <c r="P48" s="162"/>
      <c r="Q48" s="169" t="s">
        <v>71</v>
      </c>
      <c r="R48" s="57"/>
      <c r="S48" s="163"/>
      <c r="T48" s="250" t="s">
        <v>72</v>
      </c>
      <c r="U48" s="57"/>
      <c r="V48" s="251"/>
      <c r="X48" s="252" t="s">
        <v>72</v>
      </c>
      <c r="Z48" s="253"/>
      <c r="AA48" s="32"/>
      <c r="AB48" s="32"/>
      <c r="AC48" s="32"/>
      <c r="AD48" s="32"/>
      <c r="AE48" s="32"/>
      <c r="AF48" s="32"/>
      <c r="AG48" s="32"/>
      <c r="AH48" s="32"/>
      <c r="AI48" s="32"/>
    </row>
    <row r="49">
      <c r="A49" s="32"/>
      <c r="B49" s="32"/>
      <c r="C49" s="32"/>
      <c r="D49" s="32"/>
      <c r="E49" s="32"/>
      <c r="F49" s="32"/>
      <c r="G49" s="32"/>
      <c r="H49" s="53"/>
      <c r="I49" s="32"/>
      <c r="J49" s="32"/>
      <c r="K49" s="32"/>
      <c r="L49" s="254"/>
      <c r="M49" s="254"/>
      <c r="N49" s="254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>
      <c r="A50" s="32"/>
      <c r="B50" s="32"/>
      <c r="C50" s="32"/>
      <c r="D50" s="32"/>
      <c r="E50" s="32"/>
      <c r="F50" s="32"/>
      <c r="G50" s="32"/>
      <c r="H50" s="53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</row>
    <row r="51">
      <c r="A51" s="32"/>
      <c r="B51" s="32"/>
      <c r="C51" s="32"/>
      <c r="D51" s="32"/>
      <c r="E51" s="32"/>
      <c r="F51" s="32"/>
      <c r="G51" s="32"/>
      <c r="H51" s="53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</row>
    <row r="52">
      <c r="A52" s="32"/>
      <c r="B52" s="32"/>
      <c r="C52" s="32"/>
      <c r="D52" s="32"/>
      <c r="E52" s="32"/>
      <c r="F52" s="32"/>
      <c r="G52" s="32"/>
      <c r="H52" s="53">
        <v>2024.0</v>
      </c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</row>
    <row r="54">
      <c r="A54" s="55"/>
      <c r="B54" s="56" t="s">
        <v>42</v>
      </c>
      <c r="C54" s="57"/>
      <c r="D54" s="57"/>
      <c r="E54" s="57"/>
      <c r="F54" s="57"/>
      <c r="G54" s="57"/>
      <c r="H54" s="57"/>
      <c r="I54" s="57"/>
      <c r="J54" s="57"/>
      <c r="K54" s="171" t="s">
        <v>43</v>
      </c>
      <c r="O54" s="59" t="s">
        <v>44</v>
      </c>
      <c r="P54" s="57"/>
      <c r="Q54" s="57"/>
      <c r="R54" s="57"/>
      <c r="S54" s="57"/>
      <c r="T54" s="57"/>
      <c r="U54" s="57"/>
      <c r="V54" s="57"/>
      <c r="W54" s="57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>
      <c r="A55" s="60"/>
      <c r="B55" s="61" t="s">
        <v>45</v>
      </c>
      <c r="E55" s="62"/>
      <c r="F55" s="63" t="s">
        <v>46</v>
      </c>
      <c r="H55" s="64"/>
      <c r="I55" s="255" t="s">
        <v>75</v>
      </c>
      <c r="J55" s="63" t="s">
        <v>48</v>
      </c>
      <c r="K55" s="174" t="s">
        <v>76</v>
      </c>
      <c r="L55" s="68"/>
      <c r="M55" s="68"/>
      <c r="N55" s="69"/>
      <c r="O55" s="175" t="s">
        <v>77</v>
      </c>
      <c r="S55" s="62"/>
      <c r="T55" s="176" t="s">
        <v>49</v>
      </c>
      <c r="V55" s="64"/>
      <c r="W55" s="70" t="s">
        <v>50</v>
      </c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>
      <c r="A56" s="71" t="s">
        <v>51</v>
      </c>
      <c r="B56" s="61" t="s">
        <v>52</v>
      </c>
      <c r="C56" s="61" t="s">
        <v>53</v>
      </c>
      <c r="D56" s="176" t="s">
        <v>54</v>
      </c>
      <c r="E56" s="72" t="s">
        <v>55</v>
      </c>
      <c r="F56" s="73" t="s">
        <v>52</v>
      </c>
      <c r="G56" s="61" t="s">
        <v>53</v>
      </c>
      <c r="H56" s="72" t="s">
        <v>55</v>
      </c>
      <c r="I56" s="255" t="s">
        <v>78</v>
      </c>
      <c r="J56" s="32"/>
      <c r="K56" s="75" t="s">
        <v>52</v>
      </c>
      <c r="L56" s="61" t="s">
        <v>53</v>
      </c>
      <c r="M56" s="176" t="s">
        <v>54</v>
      </c>
      <c r="N56" s="76" t="s">
        <v>55</v>
      </c>
      <c r="O56" s="61" t="s">
        <v>52</v>
      </c>
      <c r="P56" s="61" t="s">
        <v>53</v>
      </c>
      <c r="Q56" s="176" t="s">
        <v>54</v>
      </c>
      <c r="R56" s="63" t="s">
        <v>55</v>
      </c>
      <c r="S56" s="62"/>
      <c r="T56" s="61" t="s">
        <v>52</v>
      </c>
      <c r="U56" s="61" t="s">
        <v>53</v>
      </c>
      <c r="V56" s="72" t="s">
        <v>55</v>
      </c>
      <c r="W56" s="77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</row>
    <row r="57">
      <c r="A57" s="78" t="s">
        <v>56</v>
      </c>
      <c r="B57" s="107">
        <v>1852.35</v>
      </c>
      <c r="C57" s="108">
        <v>1239.98</v>
      </c>
      <c r="D57" s="190">
        <v>1296.98</v>
      </c>
      <c r="E57" s="82">
        <v>1515.68</v>
      </c>
      <c r="F57" s="181"/>
      <c r="G57" s="181"/>
      <c r="H57" s="182"/>
      <c r="I57" s="256">
        <v>854.98</v>
      </c>
      <c r="J57" s="184">
        <v>62.25</v>
      </c>
      <c r="K57" s="185"/>
      <c r="L57" s="186"/>
      <c r="M57" s="186"/>
      <c r="N57" s="187"/>
      <c r="O57" s="107">
        <v>1548.1</v>
      </c>
      <c r="P57" s="108">
        <v>1271.42</v>
      </c>
      <c r="Q57" s="190">
        <v>1228.22</v>
      </c>
      <c r="R57" s="117">
        <v>1197.12</v>
      </c>
      <c r="S57" s="62"/>
      <c r="T57" s="186"/>
      <c r="U57" s="181"/>
      <c r="V57" s="182"/>
      <c r="W57" s="192" t="s">
        <v>79</v>
      </c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</row>
    <row r="58">
      <c r="A58" s="106" t="s">
        <v>57</v>
      </c>
      <c r="B58" s="200">
        <v>1850.48</v>
      </c>
      <c r="C58" s="193">
        <v>1219.51</v>
      </c>
      <c r="D58" s="26">
        <v>1295.51</v>
      </c>
      <c r="E58" s="27">
        <v>1514.15</v>
      </c>
      <c r="F58" s="257"/>
      <c r="G58" s="104"/>
      <c r="H58" s="258"/>
      <c r="I58" s="259">
        <v>856.85</v>
      </c>
      <c r="J58" s="195">
        <v>62.25</v>
      </c>
      <c r="K58" s="197"/>
      <c r="L58" s="198"/>
      <c r="M58" s="198"/>
      <c r="N58" s="199"/>
      <c r="O58" s="200">
        <v>3199.59</v>
      </c>
      <c r="P58" s="193">
        <v>2202.18</v>
      </c>
      <c r="Q58" s="26">
        <v>2531.69</v>
      </c>
      <c r="R58" s="202">
        <v>2435.05</v>
      </c>
      <c r="S58" s="62"/>
      <c r="T58" s="198"/>
      <c r="U58" s="198"/>
      <c r="V58" s="203"/>
      <c r="W58" s="204" t="s">
        <v>80</v>
      </c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</row>
    <row r="59">
      <c r="A59" s="205" t="s">
        <v>58</v>
      </c>
      <c r="B59" s="260">
        <v>2203.61</v>
      </c>
      <c r="C59" s="261">
        <v>1520.37</v>
      </c>
      <c r="D59" s="208">
        <v>1596.37</v>
      </c>
      <c r="E59" s="262">
        <v>1649.16</v>
      </c>
      <c r="F59" s="209"/>
      <c r="G59" s="210"/>
      <c r="H59" s="211"/>
      <c r="I59" s="263">
        <v>856.85</v>
      </c>
      <c r="J59" s="212">
        <v>62.25</v>
      </c>
      <c r="K59" s="213"/>
      <c r="L59" s="209"/>
      <c r="M59" s="110"/>
      <c r="N59" s="214"/>
      <c r="O59" s="188">
        <v>2088.21</v>
      </c>
      <c r="P59" s="189">
        <v>1715.72</v>
      </c>
      <c r="Q59" s="190">
        <v>1624.32</v>
      </c>
      <c r="R59" s="191">
        <v>1493.41</v>
      </c>
      <c r="S59" s="62"/>
      <c r="T59" s="216"/>
      <c r="U59" s="217"/>
      <c r="V59" s="218"/>
      <c r="W59" s="219" t="s">
        <v>81</v>
      </c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</row>
    <row r="60">
      <c r="A60" s="120"/>
      <c r="E60" s="64"/>
      <c r="H60" s="64"/>
      <c r="I60" s="64"/>
      <c r="K60" s="121"/>
      <c r="N60" s="62"/>
      <c r="O60" s="188">
        <v>659.5</v>
      </c>
      <c r="P60" s="189">
        <v>518.63</v>
      </c>
      <c r="Q60" s="190">
        <v>518.63</v>
      </c>
      <c r="R60" s="188">
        <v>537.5</v>
      </c>
      <c r="S60" s="62"/>
      <c r="T60" s="216"/>
      <c r="U60" s="217"/>
      <c r="V60" s="218"/>
      <c r="W60" s="192" t="s">
        <v>82</v>
      </c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</row>
    <row r="61">
      <c r="A61" s="120"/>
      <c r="E61" s="64"/>
      <c r="H61" s="64"/>
      <c r="I61" s="64"/>
      <c r="K61" s="121"/>
      <c r="N61" s="62"/>
      <c r="O61" s="188">
        <v>13.39</v>
      </c>
      <c r="P61" s="189">
        <v>10.54</v>
      </c>
      <c r="Q61" s="190">
        <v>10.54</v>
      </c>
      <c r="R61" s="191">
        <v>10.92</v>
      </c>
      <c r="S61" s="62"/>
      <c r="T61" s="216"/>
      <c r="U61" s="217"/>
      <c r="V61" s="218"/>
      <c r="W61" s="192" t="s">
        <v>83</v>
      </c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>
      <c r="A62" s="220" t="s">
        <v>59</v>
      </c>
      <c r="B62" s="200">
        <v>2141.62</v>
      </c>
      <c r="C62" s="193">
        <v>1610.34</v>
      </c>
      <c r="D62" s="26">
        <v>1686.34</v>
      </c>
      <c r="E62" s="27">
        <v>1560.87</v>
      </c>
      <c r="F62" s="198"/>
      <c r="G62" s="221"/>
      <c r="H62" s="203"/>
      <c r="I62" s="264">
        <v>501.13</v>
      </c>
      <c r="J62" s="222">
        <v>62.25</v>
      </c>
      <c r="K62" s="197"/>
      <c r="L62" s="198"/>
      <c r="M62" s="103"/>
      <c r="N62" s="223"/>
      <c r="O62" s="224">
        <v>1109.6</v>
      </c>
      <c r="P62" s="193">
        <v>1496.49</v>
      </c>
      <c r="Q62" s="26">
        <v>805.06</v>
      </c>
      <c r="R62" s="202">
        <v>894.19</v>
      </c>
      <c r="S62" s="62"/>
      <c r="T62" s="32"/>
      <c r="U62" s="42"/>
      <c r="V62" s="105"/>
      <c r="W62" s="204" t="s">
        <v>84</v>
      </c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</row>
    <row r="63">
      <c r="A63" s="106" t="s">
        <v>60</v>
      </c>
      <c r="B63" s="107">
        <v>1905.99</v>
      </c>
      <c r="C63" s="108">
        <v>1392.42</v>
      </c>
      <c r="D63" s="190">
        <v>1473.17</v>
      </c>
      <c r="E63" s="82">
        <v>1560.88</v>
      </c>
      <c r="F63" s="216"/>
      <c r="G63" s="217"/>
      <c r="H63" s="218"/>
      <c r="I63" s="265">
        <v>971.56</v>
      </c>
      <c r="J63" s="184">
        <v>62.25</v>
      </c>
      <c r="K63" s="225"/>
      <c r="L63" s="110"/>
      <c r="M63" s="110"/>
      <c r="N63" s="226"/>
      <c r="O63" s="188">
        <v>922.76</v>
      </c>
      <c r="P63" s="189">
        <v>1446.76</v>
      </c>
      <c r="Q63" s="190">
        <v>650.37</v>
      </c>
      <c r="R63" s="191">
        <v>750.51</v>
      </c>
      <c r="S63" s="62"/>
      <c r="T63" s="110"/>
      <c r="U63" s="111"/>
      <c r="V63" s="227"/>
      <c r="W63" s="219" t="s">
        <v>85</v>
      </c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</row>
    <row r="64">
      <c r="A64" s="78" t="s">
        <v>61</v>
      </c>
      <c r="B64" s="200">
        <v>1905.99</v>
      </c>
      <c r="C64" s="193">
        <v>1397.17</v>
      </c>
      <c r="D64" s="26">
        <v>1473.17</v>
      </c>
      <c r="E64" s="27">
        <v>1560.88</v>
      </c>
      <c r="F64" s="32"/>
      <c r="G64" s="32"/>
      <c r="H64" s="105"/>
      <c r="I64" s="266">
        <v>-90.08</v>
      </c>
      <c r="J64" s="195">
        <v>62.25</v>
      </c>
      <c r="K64" s="102"/>
      <c r="L64" s="32"/>
      <c r="M64" s="229"/>
      <c r="N64" s="230"/>
      <c r="O64" s="200">
        <v>359.82</v>
      </c>
      <c r="P64" s="193">
        <v>1556.51</v>
      </c>
      <c r="Q64" s="26">
        <v>185.45</v>
      </c>
      <c r="R64" s="202">
        <v>215.24</v>
      </c>
      <c r="S64" s="62"/>
      <c r="T64" s="32"/>
      <c r="U64" s="32"/>
      <c r="V64" s="105"/>
      <c r="W64" s="231" t="s">
        <v>86</v>
      </c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>
      <c r="A65" s="78" t="s">
        <v>62</v>
      </c>
      <c r="B65" s="107">
        <v>1980.6</v>
      </c>
      <c r="C65" s="108">
        <v>1464.68</v>
      </c>
      <c r="D65" s="190">
        <v>1540.68</v>
      </c>
      <c r="E65" s="82">
        <v>1560.88</v>
      </c>
      <c r="F65" s="118"/>
      <c r="G65" s="118"/>
      <c r="H65" s="129"/>
      <c r="I65" s="267"/>
      <c r="J65" s="232">
        <v>62.25</v>
      </c>
      <c r="K65" s="107">
        <v>759.0</v>
      </c>
      <c r="L65" s="233">
        <v>664.81</v>
      </c>
      <c r="M65" s="190">
        <v>664.81</v>
      </c>
      <c r="N65" s="234">
        <v>672.5</v>
      </c>
      <c r="O65" s="188">
        <v>2163.25</v>
      </c>
      <c r="P65" s="189">
        <v>1768.05</v>
      </c>
      <c r="Q65" s="190">
        <v>1685.25</v>
      </c>
      <c r="R65" s="191">
        <v>1623.17</v>
      </c>
      <c r="S65" s="62"/>
      <c r="T65" s="118"/>
      <c r="U65" s="118"/>
      <c r="V65" s="129"/>
      <c r="W65" s="235" t="s">
        <v>87</v>
      </c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</row>
    <row r="66">
      <c r="A66" s="78" t="s">
        <v>63</v>
      </c>
      <c r="B66" s="200">
        <v>2211.7</v>
      </c>
      <c r="C66" s="193">
        <v>1642.95</v>
      </c>
      <c r="D66" s="26">
        <v>1742.7</v>
      </c>
      <c r="E66" s="27">
        <v>1611.91</v>
      </c>
      <c r="F66" s="32"/>
      <c r="G66" s="32"/>
      <c r="H66" s="105"/>
      <c r="I66" s="268"/>
      <c r="J66" s="195">
        <v>62.25</v>
      </c>
      <c r="K66" s="102"/>
      <c r="L66" s="32"/>
      <c r="M66" s="99"/>
      <c r="N66" s="237"/>
      <c r="O66" s="200">
        <v>2079.24</v>
      </c>
      <c r="P66" s="193">
        <v>1635.25</v>
      </c>
      <c r="Q66" s="26">
        <v>1589.18</v>
      </c>
      <c r="R66" s="202">
        <v>1691.11</v>
      </c>
      <c r="S66" s="62"/>
      <c r="T66" s="32"/>
      <c r="U66" s="32"/>
      <c r="V66" s="105"/>
      <c r="W66" s="231" t="s">
        <v>88</v>
      </c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</row>
    <row r="67">
      <c r="A67" s="78" t="s">
        <v>64</v>
      </c>
      <c r="B67" s="107">
        <v>1864.06</v>
      </c>
      <c r="C67" s="108">
        <v>1416.22</v>
      </c>
      <c r="D67" s="190">
        <v>1439.97</v>
      </c>
      <c r="E67" s="82">
        <v>1526.48</v>
      </c>
      <c r="F67" s="115"/>
      <c r="G67" s="115"/>
      <c r="H67" s="119"/>
      <c r="I67" s="267"/>
      <c r="J67" s="232">
        <v>62.25</v>
      </c>
      <c r="K67" s="133"/>
      <c r="L67" s="115"/>
      <c r="M67" s="238"/>
      <c r="N67" s="239"/>
      <c r="O67" s="188">
        <v>1883.69</v>
      </c>
      <c r="P67" s="189">
        <v>1510.36</v>
      </c>
      <c r="Q67" s="190">
        <v>1444.88</v>
      </c>
      <c r="R67" s="188">
        <v>1494.8</v>
      </c>
      <c r="S67" s="62"/>
      <c r="T67" s="115"/>
      <c r="U67" s="115"/>
      <c r="V67" s="119"/>
      <c r="W67" s="235" t="s">
        <v>89</v>
      </c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</row>
    <row r="68">
      <c r="A68" s="78" t="s">
        <v>65</v>
      </c>
      <c r="B68" s="200">
        <v>1905.99</v>
      </c>
      <c r="C68" s="193">
        <v>1392.42</v>
      </c>
      <c r="D68" s="26">
        <v>1473.17</v>
      </c>
      <c r="E68" s="27">
        <v>1560.88</v>
      </c>
      <c r="F68" s="32"/>
      <c r="G68" s="32"/>
      <c r="H68" s="105"/>
      <c r="I68" s="268"/>
      <c r="J68" s="195">
        <v>62.25</v>
      </c>
      <c r="K68" s="102"/>
      <c r="L68" s="32"/>
      <c r="M68" s="240"/>
      <c r="N68" s="230"/>
      <c r="O68" s="224">
        <v>2046.5</v>
      </c>
      <c r="P68" s="193">
        <v>1669.79</v>
      </c>
      <c r="Q68" s="26">
        <v>1569.75</v>
      </c>
      <c r="R68" s="202">
        <v>1624.11</v>
      </c>
      <c r="S68" s="62"/>
      <c r="T68" s="32"/>
      <c r="U68" s="32"/>
      <c r="V68" s="105"/>
      <c r="W68" s="231" t="s">
        <v>89</v>
      </c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</row>
    <row r="69">
      <c r="A69" s="78" t="s">
        <v>66</v>
      </c>
      <c r="B69" s="107">
        <v>1905.99</v>
      </c>
      <c r="C69" s="108">
        <v>2680.03</v>
      </c>
      <c r="D69" s="190">
        <v>2770.28</v>
      </c>
      <c r="E69" s="82">
        <v>1560.88</v>
      </c>
      <c r="F69" s="115"/>
      <c r="G69" s="115"/>
      <c r="H69" s="119"/>
      <c r="I69" s="267">
        <v>319.9</v>
      </c>
      <c r="J69" s="232">
        <v>62.25</v>
      </c>
      <c r="K69" s="242"/>
      <c r="L69" s="243"/>
      <c r="M69" s="118"/>
      <c r="N69" s="239"/>
      <c r="O69" s="188">
        <v>2147.42</v>
      </c>
      <c r="P69" s="189">
        <v>1726.03</v>
      </c>
      <c r="Q69" s="190">
        <v>1647.59</v>
      </c>
      <c r="R69" s="191">
        <v>1701.02</v>
      </c>
      <c r="S69" s="62"/>
      <c r="T69" s="115"/>
      <c r="U69" s="115"/>
      <c r="V69" s="119"/>
      <c r="W69" s="235" t="s">
        <v>89</v>
      </c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</row>
    <row r="70">
      <c r="A70" s="78" t="s">
        <v>67</v>
      </c>
      <c r="B70" s="200">
        <v>1939.94</v>
      </c>
      <c r="C70" s="193">
        <v>1428.79</v>
      </c>
      <c r="D70" s="26">
        <v>1500.04</v>
      </c>
      <c r="E70" s="27">
        <v>1588.72</v>
      </c>
      <c r="F70" s="136"/>
      <c r="G70" s="136"/>
      <c r="H70" s="143"/>
      <c r="I70" s="269"/>
      <c r="J70" s="195">
        <v>62.25</v>
      </c>
      <c r="K70" s="139"/>
      <c r="L70" s="136"/>
      <c r="M70" s="136"/>
      <c r="N70" s="244"/>
      <c r="O70" s="200">
        <v>3491.05</v>
      </c>
      <c r="P70" s="193">
        <v>2760.41</v>
      </c>
      <c r="Q70" s="26">
        <v>2681.97</v>
      </c>
      <c r="R70" s="270">
        <v>2740.0</v>
      </c>
      <c r="S70" s="142"/>
      <c r="T70" s="136"/>
      <c r="U70" s="136"/>
      <c r="V70" s="143"/>
      <c r="W70" s="231" t="s">
        <v>90</v>
      </c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>
      <c r="A71" s="144" t="s">
        <v>68</v>
      </c>
      <c r="B71" s="145">
        <f t="shared" ref="B71:I71" si="9">SUM(B57:B70)</f>
        <v>23668.32</v>
      </c>
      <c r="C71" s="145">
        <f t="shared" si="9"/>
        <v>18404.88</v>
      </c>
      <c r="D71" s="146">
        <f t="shared" si="9"/>
        <v>19288.38</v>
      </c>
      <c r="E71" s="147">
        <f t="shared" si="9"/>
        <v>18771.37</v>
      </c>
      <c r="F71" s="145">
        <f t="shared" si="9"/>
        <v>0</v>
      </c>
      <c r="G71" s="145">
        <f t="shared" si="9"/>
        <v>0</v>
      </c>
      <c r="H71" s="147">
        <f t="shared" si="9"/>
        <v>0</v>
      </c>
      <c r="I71" s="148">
        <f t="shared" si="9"/>
        <v>4271.19</v>
      </c>
      <c r="J71" s="149">
        <f>sum(J57:J70)</f>
        <v>747</v>
      </c>
      <c r="K71" s="150">
        <f t="shared" ref="K71:L71" si="10">K65</f>
        <v>759</v>
      </c>
      <c r="L71" s="151">
        <f t="shared" si="10"/>
        <v>664.81</v>
      </c>
      <c r="M71" s="55">
        <f t="shared" ref="M71:R71" si="11">SUM(M57:M70)</f>
        <v>664.81</v>
      </c>
      <c r="N71" s="153">
        <f t="shared" si="11"/>
        <v>672.5</v>
      </c>
      <c r="O71" s="154">
        <f t="shared" si="11"/>
        <v>23712.12</v>
      </c>
      <c r="P71" s="154">
        <f t="shared" si="11"/>
        <v>21288.14</v>
      </c>
      <c r="Q71" s="155">
        <f t="shared" si="11"/>
        <v>18172.9</v>
      </c>
      <c r="R71" s="156">
        <f t="shared" si="11"/>
        <v>18408.15</v>
      </c>
      <c r="S71" s="157"/>
      <c r="T71" s="158">
        <f t="shared" ref="T71:V71" si="12">SUM(T57:T70)</f>
        <v>0</v>
      </c>
      <c r="U71" s="145">
        <f t="shared" si="12"/>
        <v>0</v>
      </c>
      <c r="V71" s="159">
        <f t="shared" si="12"/>
        <v>0</v>
      </c>
      <c r="W71" s="160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</row>
    <row r="72">
      <c r="A72" s="77"/>
      <c r="B72" s="246" t="s">
        <v>69</v>
      </c>
      <c r="C72" s="162" t="s">
        <v>70</v>
      </c>
      <c r="D72" s="151">
        <f>B71+F71+I71+J71</f>
        <v>28686.51</v>
      </c>
      <c r="E72" s="163"/>
      <c r="F72" s="164" t="s">
        <v>71</v>
      </c>
      <c r="G72" s="247">
        <f>C71+G71+I71+J71</f>
        <v>23423.07</v>
      </c>
      <c r="H72" s="248" t="s">
        <v>72</v>
      </c>
      <c r="I72" s="167"/>
      <c r="J72" s="247">
        <f>E71+H71+I71+J71</f>
        <v>23789.56</v>
      </c>
      <c r="K72" s="246" t="s">
        <v>73</v>
      </c>
      <c r="L72" s="249" t="s">
        <v>70</v>
      </c>
      <c r="M72" s="73" t="s">
        <v>71</v>
      </c>
      <c r="N72" s="271" t="s">
        <v>91</v>
      </c>
      <c r="O72" s="169" t="s">
        <v>70</v>
      </c>
      <c r="P72" s="162"/>
      <c r="Q72" s="169" t="s">
        <v>71</v>
      </c>
      <c r="R72" s="57"/>
      <c r="S72" s="163"/>
      <c r="T72" s="250" t="s">
        <v>72</v>
      </c>
      <c r="U72" s="57"/>
      <c r="V72" s="272" t="s">
        <v>92</v>
      </c>
      <c r="W72" s="273" t="s">
        <v>93</v>
      </c>
      <c r="X72" s="252" t="s">
        <v>72</v>
      </c>
      <c r="Z72" s="253"/>
      <c r="AA72" s="32"/>
      <c r="AB72" s="32"/>
      <c r="AC72" s="32"/>
      <c r="AD72" s="32"/>
      <c r="AE72" s="32"/>
      <c r="AF72" s="32"/>
      <c r="AG72" s="32"/>
      <c r="AH72" s="32"/>
      <c r="AI72" s="32"/>
    </row>
    <row r="73">
      <c r="A73" s="32"/>
      <c r="B73" s="32"/>
      <c r="C73" s="32"/>
      <c r="D73" s="32"/>
      <c r="E73" s="32"/>
      <c r="F73" s="32"/>
      <c r="G73" s="32"/>
      <c r="H73" s="53"/>
      <c r="I73" s="32"/>
      <c r="J73" s="32"/>
      <c r="K73" s="32"/>
      <c r="L73" s="254"/>
      <c r="M73" s="254"/>
      <c r="N73" s="254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</row>
    <row r="75">
      <c r="A75" s="32"/>
      <c r="B75" s="32"/>
      <c r="C75" s="32"/>
      <c r="D75" s="32"/>
      <c r="E75" s="32"/>
      <c r="F75" s="32"/>
      <c r="G75" s="32"/>
      <c r="H75" s="53">
        <v>2023.0</v>
      </c>
      <c r="I75" s="32"/>
      <c r="J75" s="32"/>
      <c r="K75" s="32"/>
      <c r="L75" s="32"/>
      <c r="M75" s="32"/>
      <c r="N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</row>
    <row r="77">
      <c r="A77" s="55"/>
      <c r="B77" s="56" t="s">
        <v>42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9" t="s">
        <v>44</v>
      </c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</row>
    <row r="78">
      <c r="A78" s="60"/>
      <c r="B78" s="61" t="s">
        <v>45</v>
      </c>
      <c r="E78" s="62"/>
      <c r="F78" s="63" t="s">
        <v>46</v>
      </c>
      <c r="H78" s="64"/>
      <c r="I78" s="255" t="s">
        <v>75</v>
      </c>
      <c r="J78" s="72" t="s">
        <v>48</v>
      </c>
      <c r="K78" s="274" t="s">
        <v>94</v>
      </c>
      <c r="L78" s="76" t="s">
        <v>95</v>
      </c>
      <c r="M78" s="63" t="s">
        <v>96</v>
      </c>
      <c r="N78" s="255" t="s">
        <v>97</v>
      </c>
      <c r="O78" s="275" t="s">
        <v>98</v>
      </c>
      <c r="R78" s="64"/>
      <c r="S78" s="76"/>
      <c r="T78" s="176" t="s">
        <v>99</v>
      </c>
      <c r="V78" s="64"/>
      <c r="W78" s="70" t="s">
        <v>50</v>
      </c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</row>
    <row r="79">
      <c r="A79" s="71" t="s">
        <v>51</v>
      </c>
      <c r="B79" s="61" t="s">
        <v>52</v>
      </c>
      <c r="C79" s="61" t="s">
        <v>53</v>
      </c>
      <c r="D79" s="176" t="s">
        <v>54</v>
      </c>
      <c r="E79" s="72" t="s">
        <v>55</v>
      </c>
      <c r="F79" s="32" t="s">
        <v>52</v>
      </c>
      <c r="G79" s="61" t="s">
        <v>53</v>
      </c>
      <c r="H79" s="72" t="s">
        <v>55</v>
      </c>
      <c r="I79" s="255" t="s">
        <v>78</v>
      </c>
      <c r="J79" s="105"/>
      <c r="K79" s="105"/>
      <c r="L79" s="77"/>
      <c r="M79" s="32"/>
      <c r="N79" s="274"/>
      <c r="O79" s="61" t="s">
        <v>52</v>
      </c>
      <c r="P79" s="61" t="s">
        <v>53</v>
      </c>
      <c r="Q79" s="176" t="s">
        <v>54</v>
      </c>
      <c r="R79" s="72" t="s">
        <v>55</v>
      </c>
      <c r="S79" s="77"/>
      <c r="T79" s="61" t="s">
        <v>52</v>
      </c>
      <c r="U79" s="61" t="s">
        <v>53</v>
      </c>
      <c r="V79" s="72" t="s">
        <v>55</v>
      </c>
      <c r="W79" s="77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</row>
    <row r="80">
      <c r="A80" s="78" t="s">
        <v>56</v>
      </c>
      <c r="B80" s="107">
        <v>1768.4</v>
      </c>
      <c r="C80" s="108">
        <v>1205.13</v>
      </c>
      <c r="D80" s="190">
        <v>0.0</v>
      </c>
      <c r="E80" s="82">
        <v>1447.47</v>
      </c>
      <c r="F80" s="181"/>
      <c r="G80" s="181"/>
      <c r="H80" s="182"/>
      <c r="I80" s="276"/>
      <c r="J80" s="277">
        <v>62.25</v>
      </c>
      <c r="K80" s="182"/>
      <c r="L80" s="278"/>
      <c r="M80" s="186"/>
      <c r="N80" s="82"/>
      <c r="O80" s="117"/>
      <c r="P80" s="279"/>
      <c r="Q80" s="280"/>
      <c r="R80" s="129"/>
      <c r="S80" s="281"/>
      <c r="T80" s="186"/>
      <c r="U80" s="181"/>
      <c r="V80" s="182"/>
      <c r="W80" s="28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</row>
    <row r="81">
      <c r="A81" s="106" t="s">
        <v>57</v>
      </c>
      <c r="B81" s="224">
        <v>1542.06</v>
      </c>
      <c r="C81" s="283">
        <v>1002.21</v>
      </c>
      <c r="D81" s="284">
        <v>0.0</v>
      </c>
      <c r="E81" s="27">
        <v>1261.85</v>
      </c>
      <c r="F81" s="257"/>
      <c r="G81" s="104"/>
      <c r="H81" s="258"/>
      <c r="I81" s="285"/>
      <c r="J81" s="286">
        <v>62.25</v>
      </c>
      <c r="K81" s="203"/>
      <c r="L81" s="287"/>
      <c r="M81" s="198"/>
      <c r="N81" s="98"/>
      <c r="O81" s="229"/>
      <c r="P81" s="10"/>
      <c r="Q81" s="288"/>
      <c r="R81" s="289"/>
      <c r="S81" s="290"/>
      <c r="T81" s="198"/>
      <c r="U81" s="198"/>
      <c r="V81" s="203"/>
      <c r="W81" s="29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</row>
    <row r="82">
      <c r="A82" s="106" t="s">
        <v>58</v>
      </c>
      <c r="B82" s="107">
        <v>2011.7</v>
      </c>
      <c r="C82" s="108">
        <v>1388.22</v>
      </c>
      <c r="D82" s="190">
        <v>0.0</v>
      </c>
      <c r="E82" s="82">
        <v>1646.99</v>
      </c>
      <c r="F82" s="115"/>
      <c r="G82" s="111"/>
      <c r="H82" s="227"/>
      <c r="I82" s="292"/>
      <c r="J82" s="277">
        <v>62.25</v>
      </c>
      <c r="K82" s="227"/>
      <c r="L82" s="293"/>
      <c r="M82" s="110"/>
      <c r="N82" s="294"/>
      <c r="O82" s="110"/>
      <c r="P82" s="217"/>
      <c r="Q82" s="280"/>
      <c r="R82" s="129"/>
      <c r="S82" s="295"/>
      <c r="T82" s="216"/>
      <c r="U82" s="217"/>
      <c r="V82" s="218"/>
      <c r="W82" s="296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</row>
    <row r="83">
      <c r="A83" s="297" t="s">
        <v>59</v>
      </c>
      <c r="B83" s="200">
        <v>1850.48</v>
      </c>
      <c r="C83" s="193">
        <v>1241.61</v>
      </c>
      <c r="D83" s="50">
        <v>0.0</v>
      </c>
      <c r="E83" s="27">
        <v>1514.79</v>
      </c>
      <c r="F83" s="198"/>
      <c r="G83" s="221"/>
      <c r="H83" s="203"/>
      <c r="I83" s="203"/>
      <c r="J83" s="298">
        <v>62.25</v>
      </c>
      <c r="K83" s="203"/>
      <c r="L83" s="287"/>
      <c r="M83" s="103"/>
      <c r="N83" s="196">
        <v>47.49</v>
      </c>
      <c r="O83" s="229"/>
      <c r="P83" s="100"/>
      <c r="Q83" s="288"/>
      <c r="R83" s="289"/>
      <c r="S83" s="77"/>
      <c r="T83" s="32"/>
      <c r="U83" s="30"/>
      <c r="V83" s="105"/>
      <c r="W83" s="204" t="s">
        <v>100</v>
      </c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</row>
    <row r="84">
      <c r="A84" s="120"/>
      <c r="E84" s="64"/>
      <c r="H84" s="64"/>
      <c r="I84" s="64"/>
      <c r="J84" s="64"/>
      <c r="K84" s="64"/>
      <c r="L84" s="62"/>
      <c r="N84" s="299">
        <v>712.4</v>
      </c>
      <c r="R84" s="64"/>
      <c r="S84" s="62"/>
      <c r="V84" s="64"/>
      <c r="W84" s="204" t="s">
        <v>101</v>
      </c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</row>
    <row r="85">
      <c r="A85" s="106" t="s">
        <v>60</v>
      </c>
      <c r="B85" s="117">
        <v>2043.24</v>
      </c>
      <c r="C85" s="108">
        <v>1409.73</v>
      </c>
      <c r="D85" s="190">
        <v>0.0</v>
      </c>
      <c r="E85" s="300">
        <v>1594.7</v>
      </c>
      <c r="F85" s="216"/>
      <c r="G85" s="217"/>
      <c r="H85" s="218"/>
      <c r="I85" s="292"/>
      <c r="J85" s="277">
        <v>62.25</v>
      </c>
      <c r="K85" s="292"/>
      <c r="L85" s="293"/>
      <c r="M85" s="110"/>
      <c r="N85" s="301">
        <v>723.36</v>
      </c>
      <c r="O85" s="302"/>
      <c r="P85" s="303"/>
      <c r="Q85" s="280"/>
      <c r="R85" s="129"/>
      <c r="S85" s="295"/>
      <c r="T85" s="110"/>
      <c r="U85" s="111"/>
      <c r="V85" s="227"/>
      <c r="W85" s="219" t="s">
        <v>102</v>
      </c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</row>
    <row r="86">
      <c r="A86" s="78" t="s">
        <v>61</v>
      </c>
      <c r="B86" s="224">
        <v>2275.22</v>
      </c>
      <c r="C86" s="283">
        <v>1584.28</v>
      </c>
      <c r="D86" s="284">
        <v>0.0</v>
      </c>
      <c r="E86" s="27">
        <v>1747.41</v>
      </c>
      <c r="F86" s="32"/>
      <c r="G86" s="32"/>
      <c r="H86" s="105"/>
      <c r="I86" s="268">
        <v>605.97</v>
      </c>
      <c r="J86" s="286">
        <v>62.25</v>
      </c>
      <c r="K86" s="105"/>
      <c r="L86" s="77"/>
      <c r="M86" s="229"/>
      <c r="N86" s="304">
        <v>699.25</v>
      </c>
      <c r="O86" s="305">
        <v>819.47</v>
      </c>
      <c r="P86" s="306">
        <v>637.63</v>
      </c>
      <c r="Q86" s="307">
        <v>0.0</v>
      </c>
      <c r="R86" s="304">
        <v>661.07</v>
      </c>
      <c r="S86" s="128"/>
      <c r="T86" s="32"/>
      <c r="U86" s="32"/>
      <c r="V86" s="105"/>
      <c r="W86" s="77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</row>
    <row r="87">
      <c r="A87" s="78" t="s">
        <v>62</v>
      </c>
      <c r="B87" s="117">
        <v>1903.86</v>
      </c>
      <c r="C87" s="108">
        <v>1294.64</v>
      </c>
      <c r="D87" s="190">
        <v>1468.67</v>
      </c>
      <c r="E87" s="300">
        <v>1514.78</v>
      </c>
      <c r="F87" s="118"/>
      <c r="G87" s="118"/>
      <c r="H87" s="129"/>
      <c r="I87" s="267">
        <v>827.78</v>
      </c>
      <c r="J87" s="308">
        <v>62.25</v>
      </c>
      <c r="K87" s="119"/>
      <c r="L87" s="116"/>
      <c r="M87" s="238"/>
      <c r="N87" s="309">
        <v>675.14</v>
      </c>
      <c r="O87" s="118"/>
      <c r="P87" s="118"/>
      <c r="Q87" s="280"/>
      <c r="R87" s="129"/>
      <c r="S87" s="134"/>
      <c r="T87" s="118"/>
      <c r="U87" s="118"/>
      <c r="V87" s="129"/>
      <c r="W87" s="89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</row>
    <row r="88">
      <c r="A88" s="78" t="s">
        <v>63</v>
      </c>
      <c r="B88" s="200">
        <v>1863.58</v>
      </c>
      <c r="C88" s="193">
        <v>1256.72</v>
      </c>
      <c r="D88" s="26">
        <v>1430.35</v>
      </c>
      <c r="E88" s="27">
        <v>1525.52</v>
      </c>
      <c r="F88" s="32"/>
      <c r="G88" s="32"/>
      <c r="H88" s="105"/>
      <c r="I88" s="268">
        <v>827.78</v>
      </c>
      <c r="J88" s="286">
        <v>62.25</v>
      </c>
      <c r="K88" s="105"/>
      <c r="L88" s="77"/>
      <c r="M88" s="99"/>
      <c r="N88" s="304">
        <v>711.3</v>
      </c>
      <c r="O88" s="99"/>
      <c r="P88" s="100"/>
      <c r="Q88" s="288"/>
      <c r="R88" s="289"/>
      <c r="S88" s="128"/>
      <c r="T88" s="32"/>
      <c r="U88" s="32"/>
      <c r="V88" s="105"/>
      <c r="W88" s="77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</row>
    <row r="89">
      <c r="A89" s="78" t="s">
        <v>64</v>
      </c>
      <c r="B89" s="117">
        <v>1850.48</v>
      </c>
      <c r="C89" s="108">
        <v>1298.61</v>
      </c>
      <c r="D89" s="190">
        <v>1419.99</v>
      </c>
      <c r="E89" s="300">
        <v>1514.79</v>
      </c>
      <c r="F89" s="115"/>
      <c r="G89" s="117"/>
      <c r="H89" s="129"/>
      <c r="I89" s="267">
        <v>827.78</v>
      </c>
      <c r="J89" s="308">
        <v>62.25</v>
      </c>
      <c r="K89" s="119"/>
      <c r="L89" s="116"/>
      <c r="M89" s="238"/>
      <c r="N89" s="309">
        <v>711.3</v>
      </c>
      <c r="O89" s="118"/>
      <c r="P89" s="118"/>
      <c r="Q89" s="280"/>
      <c r="R89" s="129"/>
      <c r="S89" s="134"/>
      <c r="T89" s="115"/>
      <c r="U89" s="115"/>
      <c r="V89" s="119"/>
      <c r="W89" s="89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</row>
    <row r="90">
      <c r="A90" s="205" t="s">
        <v>65</v>
      </c>
      <c r="B90" s="200">
        <v>1850.48</v>
      </c>
      <c r="C90" s="193">
        <v>1251.11</v>
      </c>
      <c r="D90" s="26">
        <v>1419.99</v>
      </c>
      <c r="E90" s="27">
        <v>1514.79</v>
      </c>
      <c r="F90" s="32"/>
      <c r="G90" s="32"/>
      <c r="H90" s="105"/>
      <c r="I90" s="310">
        <v>827.78</v>
      </c>
      <c r="J90" s="298">
        <v>62.25</v>
      </c>
      <c r="K90" s="105"/>
      <c r="L90" s="77"/>
      <c r="M90" s="240"/>
      <c r="N90" s="311">
        <v>578.69</v>
      </c>
      <c r="O90" s="305">
        <v>63.36</v>
      </c>
      <c r="P90" s="312">
        <v>49.89</v>
      </c>
      <c r="Q90" s="307">
        <v>50.18</v>
      </c>
      <c r="R90" s="304">
        <v>51.7</v>
      </c>
      <c r="S90" s="128"/>
      <c r="T90" s="32"/>
      <c r="U90" s="32"/>
      <c r="V90" s="105"/>
      <c r="W90" s="231" t="s">
        <v>103</v>
      </c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</row>
    <row r="91">
      <c r="A91" s="120"/>
      <c r="E91" s="64"/>
      <c r="H91" s="64"/>
      <c r="I91" s="64"/>
      <c r="J91" s="64"/>
      <c r="K91" s="64"/>
      <c r="L91" s="62"/>
      <c r="N91" s="64"/>
      <c r="O91" s="99">
        <v>1077.24</v>
      </c>
      <c r="P91" s="100">
        <v>848.04</v>
      </c>
      <c r="Q91" s="288">
        <v>853.0</v>
      </c>
      <c r="R91" s="289">
        <v>878.85</v>
      </c>
      <c r="S91" s="128"/>
      <c r="T91" s="32"/>
      <c r="U91" s="32"/>
      <c r="V91" s="105"/>
      <c r="W91" s="6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</row>
    <row r="92">
      <c r="A92" s="78" t="s">
        <v>66</v>
      </c>
      <c r="B92" s="117">
        <v>1850.48</v>
      </c>
      <c r="C92" s="108">
        <v>2530.16</v>
      </c>
      <c r="D92" s="190">
        <v>2708.54</v>
      </c>
      <c r="E92" s="300">
        <v>1514.79</v>
      </c>
      <c r="F92" s="115"/>
      <c r="G92" s="115"/>
      <c r="H92" s="119"/>
      <c r="I92" s="267">
        <v>827.78</v>
      </c>
      <c r="J92" s="308">
        <v>62.25</v>
      </c>
      <c r="K92" s="313"/>
      <c r="L92" s="314"/>
      <c r="M92" s="118"/>
      <c r="N92" s="309">
        <v>723.36</v>
      </c>
      <c r="O92" s="315">
        <v>1923.23</v>
      </c>
      <c r="P92" s="316">
        <v>1529.64</v>
      </c>
      <c r="Q92" s="317">
        <v>1538.49</v>
      </c>
      <c r="R92" s="309">
        <v>1455.79</v>
      </c>
      <c r="S92" s="134"/>
      <c r="T92" s="115"/>
      <c r="U92" s="115"/>
      <c r="V92" s="119"/>
      <c r="W92" s="235" t="s">
        <v>104</v>
      </c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</row>
    <row r="93">
      <c r="A93" s="78" t="s">
        <v>67</v>
      </c>
      <c r="B93" s="200">
        <v>1855.16</v>
      </c>
      <c r="C93" s="193">
        <v>1250.06</v>
      </c>
      <c r="D93" s="26">
        <v>1423.69</v>
      </c>
      <c r="E93" s="27">
        <v>1518.62</v>
      </c>
      <c r="F93" s="136"/>
      <c r="G93" s="136"/>
      <c r="H93" s="143"/>
      <c r="I93" s="269">
        <v>827.78</v>
      </c>
      <c r="J93" s="286">
        <v>62.25</v>
      </c>
      <c r="K93" s="143"/>
      <c r="L93" s="318"/>
      <c r="M93" s="319"/>
      <c r="N93" s="320">
        <v>723.36</v>
      </c>
      <c r="O93" s="321">
        <v>1691.6</v>
      </c>
      <c r="P93" s="322">
        <v>1344.97</v>
      </c>
      <c r="Q93" s="323">
        <v>1352.75</v>
      </c>
      <c r="R93" s="320">
        <v>1283.56</v>
      </c>
      <c r="S93" s="140"/>
      <c r="T93" s="136"/>
      <c r="U93" s="136"/>
      <c r="V93" s="324">
        <v>92.0</v>
      </c>
      <c r="W93" s="231" t="s">
        <v>105</v>
      </c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</row>
    <row r="94">
      <c r="A94" s="144" t="s">
        <v>68</v>
      </c>
      <c r="B94" s="325">
        <f t="shared" ref="B94:C94" si="13">SUM(B80:B93)</f>
        <v>22665.14</v>
      </c>
      <c r="C94" s="326">
        <f t="shared" si="13"/>
        <v>16712.48</v>
      </c>
      <c r="D94" s="327">
        <f>D87+D88+D89+D90+D92+D93</f>
        <v>9871.23</v>
      </c>
      <c r="E94" s="147">
        <f t="shared" ref="E94:I94" si="14">SUM(E80:E93)</f>
        <v>18316.5</v>
      </c>
      <c r="F94" s="145">
        <f t="shared" si="14"/>
        <v>0</v>
      </c>
      <c r="G94" s="145">
        <f t="shared" si="14"/>
        <v>0</v>
      </c>
      <c r="H94" s="328">
        <f t="shared" si="14"/>
        <v>0</v>
      </c>
      <c r="I94" s="329">
        <f t="shared" si="14"/>
        <v>5572.65</v>
      </c>
      <c r="J94" s="147">
        <f>sum(J80:J93)</f>
        <v>747</v>
      </c>
      <c r="K94" s="330"/>
      <c r="L94" s="160"/>
      <c r="M94" s="152">
        <f t="shared" ref="M94:V94" si="15">SUM(M80:M93)</f>
        <v>0</v>
      </c>
      <c r="N94" s="331">
        <f t="shared" si="15"/>
        <v>6305.65</v>
      </c>
      <c r="O94" s="145">
        <f t="shared" si="15"/>
        <v>5574.9</v>
      </c>
      <c r="P94" s="145">
        <f t="shared" si="15"/>
        <v>4410.17</v>
      </c>
      <c r="Q94" s="332">
        <f t="shared" si="15"/>
        <v>3794.42</v>
      </c>
      <c r="R94" s="147">
        <f t="shared" si="15"/>
        <v>4330.97</v>
      </c>
      <c r="S94" s="148">
        <f t="shared" si="15"/>
        <v>0</v>
      </c>
      <c r="T94" s="145">
        <f t="shared" si="15"/>
        <v>0</v>
      </c>
      <c r="U94" s="145">
        <f t="shared" si="15"/>
        <v>0</v>
      </c>
      <c r="V94" s="159">
        <f t="shared" si="15"/>
        <v>92</v>
      </c>
      <c r="W94" s="160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</row>
    <row r="95">
      <c r="A95" s="77"/>
      <c r="B95" s="246" t="s">
        <v>106</v>
      </c>
      <c r="C95" s="162" t="s">
        <v>70</v>
      </c>
      <c r="D95" s="57"/>
      <c r="E95" s="247">
        <f>B94+F94+I94+J94</f>
        <v>28984.79</v>
      </c>
      <c r="F95" s="164" t="s">
        <v>71</v>
      </c>
      <c r="G95" s="151">
        <f>C94+G94+I94+J94</f>
        <v>23032.13</v>
      </c>
      <c r="H95" s="248" t="s">
        <v>72</v>
      </c>
      <c r="I95" s="167"/>
      <c r="J95" s="247">
        <f>E94+H94+I94+J94</f>
        <v>24636.15</v>
      </c>
      <c r="K95" s="32"/>
      <c r="L95" s="77"/>
      <c r="M95" s="333" t="s">
        <v>107</v>
      </c>
      <c r="N95" s="162" t="s">
        <v>70</v>
      </c>
      <c r="O95" s="57"/>
      <c r="P95" s="164"/>
      <c r="Q95" s="163"/>
      <c r="R95" s="162" t="s">
        <v>71</v>
      </c>
      <c r="S95" s="164"/>
      <c r="T95" s="57"/>
      <c r="U95" s="334" t="s">
        <v>72</v>
      </c>
      <c r="V95" s="57"/>
      <c r="W95" s="335">
        <f>N94+R94+V94</f>
        <v>10728.62</v>
      </c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36" t="s">
        <v>108</v>
      </c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37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</row>
    <row r="98">
      <c r="A98" s="32"/>
      <c r="B98" s="32"/>
      <c r="C98" s="32"/>
      <c r="D98" s="32"/>
      <c r="E98" s="32"/>
      <c r="F98" s="32"/>
      <c r="G98" s="32"/>
      <c r="H98" s="53">
        <v>2022.0</v>
      </c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</row>
    <row r="100">
      <c r="A100" s="55"/>
      <c r="B100" s="56" t="s">
        <v>42</v>
      </c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9" t="s">
        <v>44</v>
      </c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>
      <c r="A101" s="60"/>
      <c r="B101" s="132" t="s">
        <v>45</v>
      </c>
      <c r="E101" s="62"/>
      <c r="F101" s="66" t="s">
        <v>46</v>
      </c>
      <c r="H101" s="64"/>
      <c r="I101" s="65" t="s">
        <v>109</v>
      </c>
      <c r="J101" s="65" t="s">
        <v>48</v>
      </c>
      <c r="K101" s="338" t="s">
        <v>94</v>
      </c>
      <c r="L101" s="339" t="s">
        <v>95</v>
      </c>
      <c r="M101" s="340" t="s">
        <v>96</v>
      </c>
      <c r="N101" s="341" t="s">
        <v>110</v>
      </c>
      <c r="O101" s="342" t="s">
        <v>111</v>
      </c>
      <c r="S101" s="62"/>
      <c r="T101" s="66" t="s">
        <v>46</v>
      </c>
      <c r="V101" s="64"/>
      <c r="W101" s="343" t="s">
        <v>50</v>
      </c>
    </row>
    <row r="102">
      <c r="A102" s="344" t="s">
        <v>51</v>
      </c>
      <c r="B102" s="132" t="s">
        <v>52</v>
      </c>
      <c r="C102" s="132" t="s">
        <v>53</v>
      </c>
      <c r="D102" s="66"/>
      <c r="E102" s="65" t="s">
        <v>55</v>
      </c>
      <c r="F102" s="32" t="s">
        <v>52</v>
      </c>
      <c r="G102" s="132" t="s">
        <v>53</v>
      </c>
      <c r="H102" s="65" t="s">
        <v>55</v>
      </c>
      <c r="I102" s="203"/>
      <c r="J102" s="203"/>
      <c r="K102" s="203"/>
      <c r="L102" s="287"/>
      <c r="M102" s="198"/>
      <c r="N102" s="338"/>
      <c r="O102" s="132" t="s">
        <v>52</v>
      </c>
      <c r="P102" s="132" t="s">
        <v>53</v>
      </c>
      <c r="Q102" s="66" t="s">
        <v>55</v>
      </c>
      <c r="S102" s="62"/>
      <c r="T102" s="132" t="s">
        <v>52</v>
      </c>
      <c r="U102" s="132" t="s">
        <v>53</v>
      </c>
      <c r="V102" s="65" t="s">
        <v>55</v>
      </c>
      <c r="W102" s="77"/>
    </row>
    <row r="103">
      <c r="A103" s="78" t="s">
        <v>56</v>
      </c>
      <c r="B103" s="345">
        <v>1391.86</v>
      </c>
      <c r="C103" s="346">
        <v>935.99</v>
      </c>
      <c r="D103" s="347"/>
      <c r="E103" s="348">
        <v>1064.87</v>
      </c>
      <c r="F103" s="345"/>
      <c r="G103" s="345"/>
      <c r="H103" s="348"/>
      <c r="I103" s="349"/>
      <c r="J103" s="350">
        <v>60.54</v>
      </c>
      <c r="K103" s="348"/>
      <c r="L103" s="351"/>
      <c r="M103" s="352"/>
      <c r="N103" s="180">
        <v>180.56</v>
      </c>
      <c r="O103" s="215">
        <v>206.37</v>
      </c>
      <c r="P103" s="353">
        <v>241.62</v>
      </c>
      <c r="Q103" s="354">
        <v>168.36</v>
      </c>
      <c r="S103" s="62"/>
      <c r="T103" s="347"/>
      <c r="U103" s="345"/>
      <c r="V103" s="348"/>
      <c r="W103" s="282" t="s">
        <v>112</v>
      </c>
    </row>
    <row r="104">
      <c r="A104" s="205" t="s">
        <v>57</v>
      </c>
      <c r="B104" s="200">
        <v>2000.36</v>
      </c>
      <c r="C104" s="283">
        <v>1416.17</v>
      </c>
      <c r="D104" s="200"/>
      <c r="E104" s="200">
        <v>1638.35</v>
      </c>
      <c r="F104" s="355">
        <v>283.2</v>
      </c>
      <c r="G104" s="222">
        <v>264.2</v>
      </c>
      <c r="H104" s="356">
        <v>272.44</v>
      </c>
      <c r="I104" s="357"/>
      <c r="J104" s="298">
        <v>62.25</v>
      </c>
      <c r="K104" s="358"/>
      <c r="L104" s="359"/>
      <c r="M104" s="360"/>
      <c r="N104" s="27">
        <v>180.56</v>
      </c>
      <c r="O104" s="361">
        <v>155.91</v>
      </c>
      <c r="P104" s="11">
        <v>121.28</v>
      </c>
      <c r="Q104" s="362">
        <v>125.74</v>
      </c>
      <c r="S104" s="62"/>
      <c r="T104" s="363"/>
      <c r="U104" s="360"/>
      <c r="V104" s="358"/>
      <c r="W104" s="364" t="s">
        <v>113</v>
      </c>
    </row>
    <row r="105">
      <c r="A105" s="120"/>
      <c r="D105" s="200"/>
      <c r="F105" s="365"/>
      <c r="H105" s="64"/>
      <c r="I105" s="64"/>
      <c r="J105" s="64"/>
      <c r="K105" s="64"/>
      <c r="L105" s="62"/>
      <c r="N105" s="64"/>
      <c r="O105" s="361">
        <v>129.47</v>
      </c>
      <c r="P105" s="11">
        <v>139.19</v>
      </c>
      <c r="Q105" s="366">
        <v>105.63</v>
      </c>
      <c r="S105" s="62"/>
      <c r="V105" s="64"/>
      <c r="W105" s="62"/>
    </row>
    <row r="106">
      <c r="A106" s="205" t="s">
        <v>58</v>
      </c>
      <c r="B106" s="241">
        <v>1978.56</v>
      </c>
      <c r="C106" s="367">
        <v>1390.16</v>
      </c>
      <c r="D106" s="241"/>
      <c r="E106" s="241">
        <v>1525.16</v>
      </c>
      <c r="F106" s="368"/>
      <c r="G106" s="369"/>
      <c r="H106" s="370"/>
      <c r="I106" s="371"/>
      <c r="J106" s="350">
        <v>62.25</v>
      </c>
      <c r="K106" s="370"/>
      <c r="L106" s="372"/>
      <c r="M106" s="373"/>
      <c r="N106" s="374">
        <v>180.56</v>
      </c>
      <c r="O106" s="373">
        <v>678.63</v>
      </c>
      <c r="P106" s="375">
        <v>537.09</v>
      </c>
      <c r="Q106" s="376">
        <v>507.22</v>
      </c>
      <c r="S106" s="62"/>
      <c r="T106" s="377">
        <v>54.45</v>
      </c>
      <c r="U106" s="375">
        <v>50.76</v>
      </c>
      <c r="V106" s="378">
        <v>52.38</v>
      </c>
      <c r="W106" s="379" t="s">
        <v>114</v>
      </c>
    </row>
    <row r="107">
      <c r="A107" s="120"/>
      <c r="D107" s="241"/>
      <c r="F107" s="365"/>
      <c r="H107" s="64"/>
      <c r="I107" s="64"/>
      <c r="J107" s="64"/>
      <c r="K107" s="64"/>
      <c r="L107" s="62"/>
      <c r="N107" s="64"/>
      <c r="O107" s="373">
        <v>132.12</v>
      </c>
      <c r="P107" s="375">
        <v>102.77</v>
      </c>
      <c r="Q107" s="380">
        <v>106.56</v>
      </c>
      <c r="S107" s="62"/>
      <c r="V107" s="64"/>
      <c r="W107" s="62"/>
    </row>
    <row r="108">
      <c r="A108" s="297" t="s">
        <v>59</v>
      </c>
      <c r="B108" s="200">
        <v>2154.52</v>
      </c>
      <c r="C108" s="283">
        <v>1534.54</v>
      </c>
      <c r="D108" s="360"/>
      <c r="E108" s="381">
        <v>1443.15</v>
      </c>
      <c r="F108" s="363"/>
      <c r="G108" s="382"/>
      <c r="H108" s="358"/>
      <c r="I108" s="383"/>
      <c r="J108" s="298">
        <v>62.25</v>
      </c>
      <c r="K108" s="358"/>
      <c r="L108" s="359"/>
      <c r="M108" s="202">
        <v>13.17</v>
      </c>
      <c r="N108" s="27">
        <v>216.73</v>
      </c>
      <c r="O108" s="384">
        <v>76.74</v>
      </c>
      <c r="P108" s="195">
        <v>78.56</v>
      </c>
      <c r="Q108" s="385">
        <v>62.59</v>
      </c>
      <c r="S108" s="62"/>
      <c r="T108" s="103"/>
      <c r="U108" s="257"/>
      <c r="V108" s="258"/>
      <c r="W108" s="364" t="s">
        <v>115</v>
      </c>
    </row>
    <row r="109">
      <c r="A109" s="120"/>
      <c r="D109" s="360"/>
      <c r="E109" s="64"/>
      <c r="H109" s="64"/>
      <c r="I109" s="64"/>
      <c r="J109" s="64"/>
      <c r="K109" s="64"/>
      <c r="L109" s="62"/>
      <c r="N109" s="64"/>
      <c r="O109" s="384">
        <v>386.71</v>
      </c>
      <c r="P109" s="195">
        <v>300.82</v>
      </c>
      <c r="Q109" s="386">
        <v>311.9</v>
      </c>
      <c r="S109" s="62"/>
      <c r="V109" s="64"/>
      <c r="W109" s="62"/>
    </row>
    <row r="110">
      <c r="A110" s="205" t="s">
        <v>60</v>
      </c>
      <c r="B110" s="387">
        <v>1717.19</v>
      </c>
      <c r="C110" s="388">
        <v>1193.22</v>
      </c>
      <c r="D110" s="387"/>
      <c r="E110" s="389">
        <v>1156.26</v>
      </c>
      <c r="F110" s="377">
        <v>70.32</v>
      </c>
      <c r="G110" s="375">
        <v>65.6</v>
      </c>
      <c r="H110" s="378">
        <v>67.65</v>
      </c>
      <c r="I110" s="371"/>
      <c r="J110" s="350">
        <v>62.25</v>
      </c>
      <c r="K110" s="371"/>
      <c r="L110" s="372"/>
      <c r="M110" s="373">
        <v>13.17</v>
      </c>
      <c r="N110" s="374">
        <v>216.73</v>
      </c>
      <c r="O110" s="390">
        <v>136.19</v>
      </c>
      <c r="P110" s="316">
        <v>118.01</v>
      </c>
      <c r="Q110" s="366">
        <v>110.93</v>
      </c>
      <c r="S110" s="62"/>
      <c r="T110" s="391"/>
      <c r="U110" s="369"/>
      <c r="V110" s="370"/>
      <c r="W110" s="379" t="s">
        <v>116</v>
      </c>
    </row>
    <row r="111">
      <c r="A111" s="120"/>
      <c r="D111" s="387"/>
      <c r="E111" s="64"/>
      <c r="H111" s="64"/>
      <c r="I111" s="64"/>
      <c r="J111" s="64"/>
      <c r="K111" s="64"/>
      <c r="L111" s="62"/>
      <c r="N111" s="64"/>
      <c r="O111" s="390">
        <v>100.36</v>
      </c>
      <c r="P111" s="316">
        <v>152.75</v>
      </c>
      <c r="Q111" s="362">
        <v>80.96</v>
      </c>
      <c r="S111" s="62"/>
      <c r="V111" s="64"/>
      <c r="W111" s="62"/>
    </row>
    <row r="112">
      <c r="A112" s="78" t="s">
        <v>61</v>
      </c>
      <c r="B112" s="200">
        <v>1817.96</v>
      </c>
      <c r="C112" s="283">
        <v>1266.52</v>
      </c>
      <c r="D112" s="229"/>
      <c r="E112" s="392">
        <v>1488.75</v>
      </c>
      <c r="F112" s="393"/>
      <c r="G112" s="229"/>
      <c r="H112" s="394"/>
      <c r="I112" s="395"/>
      <c r="J112" s="396">
        <v>62.25</v>
      </c>
      <c r="K112" s="394"/>
      <c r="L112" s="397"/>
      <c r="M112" s="361">
        <v>13.17</v>
      </c>
      <c r="N112" s="304">
        <v>216.73</v>
      </c>
      <c r="O112" s="305">
        <v>0.0</v>
      </c>
      <c r="P112" s="306">
        <v>0.0</v>
      </c>
      <c r="Q112" s="305">
        <v>0.0</v>
      </c>
      <c r="S112" s="62"/>
      <c r="T112" s="393"/>
      <c r="U112" s="229"/>
      <c r="V112" s="394"/>
      <c r="W112" s="62"/>
    </row>
    <row r="113">
      <c r="A113" s="78" t="s">
        <v>62</v>
      </c>
      <c r="B113" s="398">
        <v>1762.36</v>
      </c>
      <c r="C113" s="399">
        <v>1208.26</v>
      </c>
      <c r="D113" s="373"/>
      <c r="E113" s="374">
        <v>1443.16</v>
      </c>
      <c r="F113" s="238"/>
      <c r="G113" s="400"/>
      <c r="H113" s="401"/>
      <c r="I113" s="401"/>
      <c r="J113" s="308">
        <v>62.25</v>
      </c>
      <c r="K113" s="402"/>
      <c r="L113" s="314"/>
      <c r="M113" s="403">
        <v>59.8</v>
      </c>
      <c r="N113" s="309">
        <v>210.31</v>
      </c>
      <c r="O113" s="238">
        <v>0.0</v>
      </c>
      <c r="P113" s="238">
        <v>0.0</v>
      </c>
      <c r="Q113" s="238">
        <v>0.0</v>
      </c>
      <c r="S113" s="62"/>
      <c r="T113" s="238"/>
      <c r="U113" s="400"/>
      <c r="V113" s="401"/>
      <c r="W113" s="89"/>
    </row>
    <row r="114">
      <c r="A114" s="78" t="s">
        <v>63</v>
      </c>
      <c r="B114" s="200">
        <v>1853.43</v>
      </c>
      <c r="C114" s="283">
        <v>1289.85</v>
      </c>
      <c r="D114" s="202"/>
      <c r="E114" s="27">
        <v>1517.84</v>
      </c>
      <c r="F114" s="393"/>
      <c r="G114" s="229"/>
      <c r="H114" s="394"/>
      <c r="I114" s="395"/>
      <c r="J114" s="396">
        <v>62.25</v>
      </c>
      <c r="K114" s="394"/>
      <c r="L114" s="397"/>
      <c r="M114" s="305">
        <v>59.8</v>
      </c>
      <c r="N114" s="404">
        <v>210.31</v>
      </c>
      <c r="O114" s="305">
        <v>0.0</v>
      </c>
      <c r="P114" s="306">
        <v>0.0</v>
      </c>
      <c r="Q114" s="305">
        <v>0.0</v>
      </c>
      <c r="S114" s="62"/>
      <c r="T114" s="393"/>
      <c r="U114" s="229"/>
      <c r="V114" s="394"/>
      <c r="W114" s="62"/>
    </row>
    <row r="115">
      <c r="A115" s="78" t="s">
        <v>64</v>
      </c>
      <c r="B115" s="398">
        <v>1672.35</v>
      </c>
      <c r="C115" s="399">
        <v>1189.26</v>
      </c>
      <c r="D115" s="373"/>
      <c r="E115" s="374">
        <v>1369.34</v>
      </c>
      <c r="F115" s="216"/>
      <c r="G115" s="216"/>
      <c r="H115" s="218"/>
      <c r="I115" s="401"/>
      <c r="J115" s="308">
        <v>62.25</v>
      </c>
      <c r="K115" s="402"/>
      <c r="L115" s="314"/>
      <c r="M115" s="403">
        <v>59.8</v>
      </c>
      <c r="N115" s="309">
        <v>210.31</v>
      </c>
      <c r="O115" s="238">
        <v>0.0</v>
      </c>
      <c r="P115" s="238">
        <v>0.0</v>
      </c>
      <c r="Q115" s="238">
        <v>0.0</v>
      </c>
      <c r="S115" s="62"/>
      <c r="T115" s="216"/>
      <c r="U115" s="216"/>
      <c r="V115" s="218"/>
      <c r="W115" s="89"/>
    </row>
    <row r="116">
      <c r="A116" s="78" t="s">
        <v>65</v>
      </c>
      <c r="B116" s="200">
        <v>1852.37</v>
      </c>
      <c r="C116" s="283">
        <v>1274.76</v>
      </c>
      <c r="D116" s="202"/>
      <c r="E116" s="27">
        <v>1516.97</v>
      </c>
      <c r="F116" s="405"/>
      <c r="G116" s="103"/>
      <c r="H116" s="258"/>
      <c r="I116" s="395"/>
      <c r="J116" s="396">
        <v>62.25</v>
      </c>
      <c r="K116" s="394"/>
      <c r="L116" s="397"/>
      <c r="M116" s="406">
        <v>519.97</v>
      </c>
      <c r="N116" s="299">
        <v>0.0</v>
      </c>
      <c r="O116" s="305">
        <v>0.0</v>
      </c>
      <c r="P116" s="306">
        <v>0.0</v>
      </c>
      <c r="Q116" s="305">
        <v>0.0</v>
      </c>
      <c r="S116" s="62"/>
      <c r="T116" s="405"/>
      <c r="U116" s="103"/>
      <c r="V116" s="258"/>
      <c r="W116" s="62"/>
    </row>
    <row r="117">
      <c r="A117" s="106" t="s">
        <v>66</v>
      </c>
      <c r="B117" s="398">
        <v>1768.43</v>
      </c>
      <c r="C117" s="399">
        <v>2656.17</v>
      </c>
      <c r="D117" s="373"/>
      <c r="E117" s="374">
        <v>1448.13</v>
      </c>
      <c r="F117" s="216"/>
      <c r="G117" s="216"/>
      <c r="H117" s="218"/>
      <c r="I117" s="407"/>
      <c r="J117" s="308">
        <v>62.25</v>
      </c>
      <c r="K117" s="408" t="s">
        <v>117</v>
      </c>
      <c r="L117" s="409">
        <v>1438.36</v>
      </c>
      <c r="M117" s="387"/>
      <c r="N117" s="410">
        <v>0.0</v>
      </c>
      <c r="O117" s="387">
        <v>0.0</v>
      </c>
      <c r="P117" s="387">
        <v>0.0</v>
      </c>
      <c r="Q117" s="387">
        <v>0.0</v>
      </c>
      <c r="S117" s="62"/>
      <c r="T117" s="216"/>
      <c r="U117" s="216"/>
      <c r="V117" s="218"/>
      <c r="W117" s="89"/>
    </row>
    <row r="118">
      <c r="A118" s="106" t="s">
        <v>67</v>
      </c>
      <c r="B118" s="200">
        <v>1689.04</v>
      </c>
      <c r="C118" s="283">
        <v>1150.21</v>
      </c>
      <c r="D118" s="202"/>
      <c r="E118" s="27">
        <v>1383.02</v>
      </c>
      <c r="F118" s="411"/>
      <c r="G118" s="141"/>
      <c r="H118" s="412"/>
      <c r="I118" s="413"/>
      <c r="J118" s="396">
        <v>62.25</v>
      </c>
      <c r="K118" s="414"/>
      <c r="L118" s="415"/>
      <c r="M118" s="416"/>
      <c r="N118" s="417">
        <v>0.0</v>
      </c>
      <c r="O118" s="418">
        <v>0.0</v>
      </c>
      <c r="P118" s="419">
        <v>0.0</v>
      </c>
      <c r="Q118" s="418">
        <v>0.0</v>
      </c>
      <c r="R118" s="420"/>
      <c r="S118" s="142"/>
      <c r="T118" s="411"/>
      <c r="U118" s="141"/>
      <c r="V118" s="412"/>
      <c r="W118" s="62"/>
    </row>
    <row r="119">
      <c r="A119" s="144" t="s">
        <v>68</v>
      </c>
      <c r="B119" s="145">
        <f t="shared" ref="B119:C119" si="16">SUM(B103:B118)</f>
        <v>21658.43</v>
      </c>
      <c r="C119" s="145">
        <f t="shared" si="16"/>
        <v>16505.11</v>
      </c>
      <c r="D119" s="149"/>
      <c r="E119" s="147">
        <f t="shared" ref="E119:I119" si="17">SUM(E103:E118)</f>
        <v>16995</v>
      </c>
      <c r="F119" s="145">
        <f t="shared" si="17"/>
        <v>353.52</v>
      </c>
      <c r="G119" s="145">
        <f t="shared" si="17"/>
        <v>329.8</v>
      </c>
      <c r="H119" s="328">
        <f t="shared" si="17"/>
        <v>340.09</v>
      </c>
      <c r="I119" s="329">
        <f t="shared" si="17"/>
        <v>0</v>
      </c>
      <c r="J119" s="328">
        <f>sum(J103:J118)</f>
        <v>745.29</v>
      </c>
      <c r="K119" s="330"/>
      <c r="L119" s="421">
        <v>1438.36</v>
      </c>
      <c r="M119" s="152">
        <f t="shared" ref="M119:P119" si="18">SUM(M103:M118)</f>
        <v>738.88</v>
      </c>
      <c r="N119" s="422">
        <f t="shared" si="18"/>
        <v>1822.8</v>
      </c>
      <c r="O119" s="145">
        <f t="shared" si="18"/>
        <v>2002.5</v>
      </c>
      <c r="P119" s="145">
        <f t="shared" si="18"/>
        <v>1792.09</v>
      </c>
      <c r="Q119" s="149"/>
      <c r="R119" s="147">
        <f t="shared" ref="R119:V119" si="19">SUM(R103:R118)</f>
        <v>0</v>
      </c>
      <c r="S119" s="148">
        <f t="shared" si="19"/>
        <v>0</v>
      </c>
      <c r="T119" s="145">
        <f t="shared" si="19"/>
        <v>54.45</v>
      </c>
      <c r="U119" s="145">
        <f t="shared" si="19"/>
        <v>50.76</v>
      </c>
      <c r="V119" s="159">
        <f t="shared" si="19"/>
        <v>52.38</v>
      </c>
      <c r="W119" s="160"/>
    </row>
    <row r="120">
      <c r="B120" s="423" t="s">
        <v>118</v>
      </c>
      <c r="C120" s="164" t="s">
        <v>70</v>
      </c>
      <c r="D120" s="424"/>
      <c r="E120" s="425">
        <f>B119+F119+J119</f>
        <v>22757.24</v>
      </c>
      <c r="F120" s="164" t="s">
        <v>71</v>
      </c>
      <c r="G120" s="424">
        <f>C119+G119+J119+L119</f>
        <v>19018.56</v>
      </c>
      <c r="H120" s="426" t="s">
        <v>72</v>
      </c>
      <c r="I120" s="167"/>
      <c r="J120" s="427">
        <f>E119+H119+J119</f>
        <v>18080.38</v>
      </c>
      <c r="K120" s="32"/>
      <c r="L120" s="77"/>
      <c r="M120" s="333" t="s">
        <v>119</v>
      </c>
      <c r="N120" s="164" t="s">
        <v>70</v>
      </c>
      <c r="O120" s="57"/>
      <c r="P120" s="163"/>
      <c r="Q120" s="253"/>
      <c r="R120" s="164" t="s">
        <v>71</v>
      </c>
      <c r="S120" s="57"/>
      <c r="T120" s="57"/>
      <c r="U120" s="163"/>
      <c r="V120" s="164" t="s">
        <v>72</v>
      </c>
      <c r="W120" s="163"/>
    </row>
    <row r="121">
      <c r="V121" s="428"/>
      <c r="W121" s="428"/>
    </row>
    <row r="122">
      <c r="V122" s="428"/>
      <c r="W122" s="429"/>
    </row>
    <row r="123">
      <c r="H123" s="1">
        <v>2021.0</v>
      </c>
    </row>
    <row r="125" ht="27.0" customHeight="1">
      <c r="B125" s="430" t="s">
        <v>42</v>
      </c>
      <c r="M125" s="431" t="s">
        <v>44</v>
      </c>
    </row>
    <row r="126">
      <c r="A126" s="432"/>
      <c r="B126" s="433" t="s">
        <v>45</v>
      </c>
      <c r="C126" s="68"/>
      <c r="D126" s="68"/>
      <c r="E126" s="68"/>
      <c r="F126" s="434" t="s">
        <v>46</v>
      </c>
      <c r="G126" s="68"/>
      <c r="H126" s="435"/>
      <c r="I126" s="436" t="s">
        <v>109</v>
      </c>
      <c r="J126" s="434" t="s">
        <v>48</v>
      </c>
      <c r="K126" s="437" t="s">
        <v>94</v>
      </c>
      <c r="L126" s="438" t="s">
        <v>95</v>
      </c>
      <c r="M126" s="439" t="s">
        <v>120</v>
      </c>
      <c r="N126" s="436" t="s">
        <v>121</v>
      </c>
      <c r="O126" s="434" t="s">
        <v>122</v>
      </c>
      <c r="P126" s="68"/>
      <c r="Q126" s="68"/>
      <c r="R126" s="435"/>
      <c r="S126" s="440" t="s">
        <v>123</v>
      </c>
      <c r="T126" s="434" t="s">
        <v>46</v>
      </c>
      <c r="U126" s="68"/>
      <c r="V126" s="435"/>
      <c r="W126" s="441" t="s">
        <v>50</v>
      </c>
    </row>
    <row r="127">
      <c r="A127" s="442" t="s">
        <v>51</v>
      </c>
      <c r="B127" s="443" t="s">
        <v>52</v>
      </c>
      <c r="C127" s="236" t="s">
        <v>53</v>
      </c>
      <c r="D127" s="444"/>
      <c r="E127" s="444" t="s">
        <v>55</v>
      </c>
      <c r="F127" s="445" t="s">
        <v>52</v>
      </c>
      <c r="G127" s="236" t="s">
        <v>53</v>
      </c>
      <c r="H127" s="446" t="s">
        <v>55</v>
      </c>
      <c r="I127" s="447"/>
      <c r="J127" s="448"/>
      <c r="K127" s="449"/>
      <c r="L127" s="450"/>
      <c r="M127" s="447"/>
      <c r="N127" s="236"/>
      <c r="O127" s="445" t="s">
        <v>52</v>
      </c>
      <c r="P127" s="236" t="s">
        <v>53</v>
      </c>
      <c r="Q127" s="444" t="s">
        <v>55</v>
      </c>
      <c r="R127" s="64"/>
      <c r="S127" s="451"/>
      <c r="T127" s="445" t="s">
        <v>52</v>
      </c>
      <c r="U127" s="236" t="s">
        <v>53</v>
      </c>
      <c r="V127" s="446" t="s">
        <v>55</v>
      </c>
      <c r="W127" s="62"/>
    </row>
    <row r="128">
      <c r="A128" s="78" t="s">
        <v>56</v>
      </c>
      <c r="B128" s="452">
        <v>1554.62</v>
      </c>
      <c r="C128" s="453">
        <v>1075.14</v>
      </c>
      <c r="D128" s="452"/>
      <c r="E128" s="452">
        <v>1272.85</v>
      </c>
      <c r="F128" s="454"/>
      <c r="G128" s="455"/>
      <c r="H128" s="456"/>
      <c r="I128" s="457"/>
      <c r="J128" s="458">
        <v>60.0</v>
      </c>
      <c r="K128" s="459"/>
      <c r="L128" s="460"/>
      <c r="M128" s="461">
        <v>497.01</v>
      </c>
      <c r="N128" s="462"/>
      <c r="O128" s="454"/>
      <c r="P128" s="463"/>
      <c r="Q128" s="464"/>
      <c r="R128" s="64"/>
      <c r="S128" s="465"/>
      <c r="T128" s="454"/>
      <c r="U128" s="455"/>
      <c r="V128" s="456"/>
      <c r="W128" s="62"/>
    </row>
    <row r="129">
      <c r="A129" s="78" t="s">
        <v>57</v>
      </c>
      <c r="B129" s="466">
        <v>1803.16</v>
      </c>
      <c r="C129" s="467">
        <v>1247.53</v>
      </c>
      <c r="D129" s="466"/>
      <c r="E129" s="466">
        <v>1399.47</v>
      </c>
      <c r="F129" s="468"/>
      <c r="G129" s="466"/>
      <c r="H129" s="469"/>
      <c r="I129" s="470"/>
      <c r="J129" s="471">
        <v>60.54</v>
      </c>
      <c r="K129" s="472"/>
      <c r="L129" s="473"/>
      <c r="M129" s="474">
        <v>497.01</v>
      </c>
      <c r="N129" s="466"/>
      <c r="O129" s="468"/>
      <c r="P129" s="467"/>
      <c r="Q129" s="467"/>
      <c r="R129" s="64"/>
      <c r="S129" s="475"/>
      <c r="T129" s="468"/>
      <c r="U129" s="466"/>
      <c r="V129" s="469"/>
      <c r="W129" s="62"/>
    </row>
    <row r="130">
      <c r="A130" s="78" t="s">
        <v>58</v>
      </c>
      <c r="B130" s="452">
        <v>1862.95</v>
      </c>
      <c r="C130" s="453">
        <v>1316.13</v>
      </c>
      <c r="D130" s="452"/>
      <c r="E130" s="452">
        <v>1418.35</v>
      </c>
      <c r="F130" s="476"/>
      <c r="G130" s="477"/>
      <c r="H130" s="478"/>
      <c r="I130" s="479"/>
      <c r="J130" s="458">
        <v>60.54</v>
      </c>
      <c r="K130" s="480"/>
      <c r="L130" s="481"/>
      <c r="M130" s="482">
        <v>497.01</v>
      </c>
      <c r="N130" s="483"/>
      <c r="O130" s="476">
        <v>112.75</v>
      </c>
      <c r="P130" s="484">
        <v>87.85</v>
      </c>
      <c r="Q130" s="485">
        <v>91.07</v>
      </c>
      <c r="R130" s="64"/>
      <c r="S130" s="486"/>
      <c r="T130" s="476"/>
      <c r="U130" s="477"/>
      <c r="V130" s="478"/>
      <c r="W130" s="487" t="s">
        <v>113</v>
      </c>
    </row>
    <row r="131">
      <c r="A131" s="220" t="s">
        <v>59</v>
      </c>
      <c r="B131" s="200">
        <v>1762.95</v>
      </c>
      <c r="C131" s="193">
        <v>1213.91</v>
      </c>
      <c r="D131" s="224"/>
      <c r="E131" s="488">
        <v>1336.22</v>
      </c>
      <c r="F131" s="200"/>
      <c r="G131" s="224"/>
      <c r="H131" s="489"/>
      <c r="I131" s="193"/>
      <c r="J131" s="471">
        <v>60.54</v>
      </c>
      <c r="K131" s="490"/>
      <c r="L131" s="491"/>
      <c r="M131" s="474">
        <v>497.01</v>
      </c>
      <c r="N131" s="200"/>
      <c r="O131" s="492"/>
      <c r="P131" s="201"/>
      <c r="Q131" s="200"/>
      <c r="R131" s="64"/>
      <c r="S131" s="493">
        <v>499.79</v>
      </c>
      <c r="T131" s="200"/>
      <c r="U131" s="224"/>
      <c r="V131" s="489"/>
      <c r="W131" s="487" t="s">
        <v>124</v>
      </c>
    </row>
    <row r="132">
      <c r="A132" s="205" t="s">
        <v>60</v>
      </c>
      <c r="B132" s="494">
        <v>1895.23</v>
      </c>
      <c r="C132" s="453">
        <v>1327.37</v>
      </c>
      <c r="D132" s="477"/>
      <c r="E132" s="477">
        <v>1444.7</v>
      </c>
      <c r="F132" s="495"/>
      <c r="G132" s="477"/>
      <c r="H132" s="478"/>
      <c r="I132" s="496"/>
      <c r="J132" s="458">
        <v>60.54</v>
      </c>
      <c r="K132" s="497"/>
      <c r="L132" s="481"/>
      <c r="M132" s="474">
        <v>497.01</v>
      </c>
      <c r="N132" s="452"/>
      <c r="O132" s="495"/>
      <c r="P132" s="484"/>
      <c r="Q132" s="452"/>
      <c r="R132" s="64"/>
      <c r="S132" s="498">
        <v>685.1</v>
      </c>
      <c r="T132" s="495"/>
      <c r="U132" s="477"/>
      <c r="V132" s="478"/>
      <c r="W132" s="487" t="s">
        <v>125</v>
      </c>
    </row>
    <row r="133">
      <c r="A133" s="78" t="s">
        <v>61</v>
      </c>
      <c r="B133" s="466">
        <v>1956.61</v>
      </c>
      <c r="C133" s="467">
        <v>1398.57</v>
      </c>
      <c r="D133" s="466"/>
      <c r="E133" s="466">
        <v>1362.68</v>
      </c>
      <c r="F133" s="468"/>
      <c r="G133" s="466"/>
      <c r="H133" s="469"/>
      <c r="I133" s="470"/>
      <c r="J133" s="471">
        <v>60.54</v>
      </c>
      <c r="K133" s="365"/>
      <c r="L133" s="499"/>
      <c r="M133" s="474">
        <v>497.01</v>
      </c>
      <c r="N133" s="500"/>
      <c r="O133" s="501">
        <v>82.0</v>
      </c>
      <c r="P133" s="467">
        <v>63.88</v>
      </c>
      <c r="Q133" s="485">
        <v>66.23</v>
      </c>
      <c r="R133" s="64"/>
      <c r="S133" s="502">
        <v>626.97</v>
      </c>
      <c r="T133" s="468"/>
      <c r="U133" s="466"/>
      <c r="V133" s="469"/>
      <c r="W133" s="487" t="s">
        <v>126</v>
      </c>
    </row>
    <row r="134">
      <c r="A134" s="78" t="s">
        <v>62</v>
      </c>
      <c r="B134" s="503">
        <v>2081.49</v>
      </c>
      <c r="C134" s="484">
        <v>1490.77</v>
      </c>
      <c r="D134" s="477"/>
      <c r="E134" s="504">
        <v>1418.22</v>
      </c>
      <c r="F134" s="503"/>
      <c r="G134" s="477"/>
      <c r="H134" s="505"/>
      <c r="I134" s="479"/>
      <c r="J134" s="458">
        <v>60.54</v>
      </c>
      <c r="K134" s="506"/>
      <c r="L134" s="507"/>
      <c r="M134" s="482">
        <v>331.01</v>
      </c>
      <c r="N134" s="477">
        <v>115.47</v>
      </c>
      <c r="O134" s="503">
        <v>876.39</v>
      </c>
      <c r="P134" s="484">
        <v>731.08</v>
      </c>
      <c r="Q134" s="508">
        <v>707.89</v>
      </c>
      <c r="R134" s="64"/>
      <c r="S134" s="509">
        <v>176.8</v>
      </c>
      <c r="T134" s="503"/>
      <c r="U134" s="477"/>
      <c r="V134" s="505"/>
      <c r="W134" s="487" t="s">
        <v>127</v>
      </c>
    </row>
    <row r="135">
      <c r="A135" s="78" t="s">
        <v>63</v>
      </c>
      <c r="B135" s="466">
        <v>1852.68</v>
      </c>
      <c r="C135" s="467">
        <v>1298.06</v>
      </c>
      <c r="D135" s="466"/>
      <c r="E135" s="466">
        <v>1409.81</v>
      </c>
      <c r="F135" s="468"/>
      <c r="G135" s="466"/>
      <c r="H135" s="469"/>
      <c r="I135" s="470"/>
      <c r="J135" s="471">
        <v>60.54</v>
      </c>
      <c r="K135" s="365"/>
      <c r="L135" s="499"/>
      <c r="M135" s="510">
        <v>331.01</v>
      </c>
      <c r="N135" s="466">
        <v>115.47</v>
      </c>
      <c r="O135" s="468">
        <v>223.45</v>
      </c>
      <c r="P135" s="467">
        <v>187.91</v>
      </c>
      <c r="Q135" s="485">
        <v>180.51</v>
      </c>
      <c r="R135" s="64"/>
      <c r="S135" s="502">
        <v>0.0</v>
      </c>
      <c r="T135" s="468"/>
      <c r="U135" s="466"/>
      <c r="V135" s="469"/>
      <c r="W135" s="487" t="s">
        <v>128</v>
      </c>
    </row>
    <row r="136">
      <c r="A136" s="78" t="s">
        <v>64</v>
      </c>
      <c r="B136" s="200">
        <v>1631.82</v>
      </c>
      <c r="C136" s="193">
        <v>1165.27</v>
      </c>
      <c r="D136" s="200"/>
      <c r="E136" s="200">
        <v>1336.22</v>
      </c>
      <c r="F136" s="511"/>
      <c r="G136" s="398"/>
      <c r="H136" s="512"/>
      <c r="I136" s="479"/>
      <c r="J136" s="458">
        <v>60.54</v>
      </c>
      <c r="K136" s="506"/>
      <c r="L136" s="507"/>
      <c r="M136" s="482">
        <v>331.01</v>
      </c>
      <c r="N136" s="477">
        <v>115.47</v>
      </c>
      <c r="O136" s="511">
        <v>684.94</v>
      </c>
      <c r="P136" s="513">
        <v>603.22</v>
      </c>
      <c r="Q136" s="514">
        <v>553.24</v>
      </c>
      <c r="R136" s="64"/>
      <c r="S136" s="509">
        <v>0.0</v>
      </c>
      <c r="T136" s="511"/>
      <c r="U136" s="398"/>
      <c r="V136" s="512"/>
      <c r="W136" s="487" t="s">
        <v>129</v>
      </c>
    </row>
    <row r="137">
      <c r="A137" s="78" t="s">
        <v>65</v>
      </c>
      <c r="B137" s="466">
        <v>1738.54</v>
      </c>
      <c r="C137" s="467">
        <v>1198.02</v>
      </c>
      <c r="D137" s="466"/>
      <c r="E137" s="466">
        <v>1418.24</v>
      </c>
      <c r="F137" s="492"/>
      <c r="G137" s="200"/>
      <c r="H137" s="489"/>
      <c r="I137" s="470"/>
      <c r="J137" s="471">
        <v>60.54</v>
      </c>
      <c r="K137" s="490"/>
      <c r="L137" s="515"/>
      <c r="M137" s="406">
        <v>0.0</v>
      </c>
      <c r="N137" s="200">
        <v>227.13</v>
      </c>
      <c r="O137" s="492">
        <v>1409.41</v>
      </c>
      <c r="P137" s="193">
        <v>1115.14</v>
      </c>
      <c r="Q137" s="514">
        <v>1072.31</v>
      </c>
      <c r="R137" s="64"/>
      <c r="S137" s="502">
        <v>0.0</v>
      </c>
      <c r="T137" s="492"/>
      <c r="U137" s="200"/>
      <c r="V137" s="489"/>
      <c r="W137" s="487" t="s">
        <v>130</v>
      </c>
    </row>
    <row r="138">
      <c r="A138" s="205" t="s">
        <v>66</v>
      </c>
      <c r="B138" s="398">
        <v>1752.86</v>
      </c>
      <c r="C138" s="513">
        <v>2217.89</v>
      </c>
      <c r="D138" s="398"/>
      <c r="E138" s="398">
        <v>1336.22</v>
      </c>
      <c r="F138" s="511"/>
      <c r="G138" s="398"/>
      <c r="H138" s="512"/>
      <c r="I138" s="496"/>
      <c r="J138" s="516">
        <v>60.54</v>
      </c>
      <c r="K138" s="517" t="s">
        <v>131</v>
      </c>
      <c r="L138" s="518">
        <v>1000.0</v>
      </c>
      <c r="M138" s="519">
        <v>0.0</v>
      </c>
      <c r="N138" s="398">
        <v>227.13</v>
      </c>
      <c r="O138" s="511">
        <v>545.92</v>
      </c>
      <c r="P138" s="513">
        <v>439.83</v>
      </c>
      <c r="Q138" s="520">
        <v>439.65</v>
      </c>
      <c r="R138" s="64"/>
      <c r="S138" s="498">
        <v>0.0</v>
      </c>
      <c r="T138" s="511"/>
      <c r="U138" s="398"/>
      <c r="V138" s="512"/>
      <c r="W138" s="487" t="s">
        <v>132</v>
      </c>
    </row>
    <row r="139" ht="21.0" customHeight="1">
      <c r="A139" s="120"/>
      <c r="D139" s="398"/>
      <c r="F139" s="365"/>
      <c r="H139" s="64"/>
      <c r="I139" s="365"/>
      <c r="J139" s="365"/>
      <c r="K139" s="365"/>
      <c r="L139" s="499"/>
      <c r="O139" s="511">
        <v>109.23</v>
      </c>
      <c r="P139" s="513">
        <v>130.48</v>
      </c>
      <c r="Q139" s="521">
        <v>89.1</v>
      </c>
      <c r="R139" s="64"/>
      <c r="S139" s="499"/>
      <c r="T139" s="365"/>
      <c r="V139" s="64"/>
      <c r="W139" s="487" t="s">
        <v>133</v>
      </c>
    </row>
    <row r="140" ht="21.0" customHeight="1">
      <c r="A140" s="205" t="s">
        <v>67</v>
      </c>
      <c r="B140" s="466">
        <v>1677.86</v>
      </c>
      <c r="C140" s="522">
        <v>1152.26</v>
      </c>
      <c r="D140" s="466"/>
      <c r="E140" s="466">
        <v>1351.92</v>
      </c>
      <c r="F140" s="492"/>
      <c r="G140" s="200"/>
      <c r="H140" s="489"/>
      <c r="I140" s="523"/>
      <c r="J140" s="471">
        <v>60.54</v>
      </c>
      <c r="K140" s="524" t="s">
        <v>134</v>
      </c>
      <c r="L140" s="525">
        <v>100.0</v>
      </c>
      <c r="M140" s="526"/>
      <c r="N140" s="200"/>
      <c r="O140" s="492">
        <v>485.76</v>
      </c>
      <c r="P140" s="193">
        <v>445.58</v>
      </c>
      <c r="Q140" s="520">
        <v>391.19</v>
      </c>
      <c r="R140" s="64"/>
      <c r="S140" s="527">
        <v>0.0</v>
      </c>
      <c r="T140" s="492"/>
      <c r="U140" s="200"/>
      <c r="V140" s="489"/>
      <c r="W140" s="528" t="s">
        <v>135</v>
      </c>
    </row>
    <row r="141" ht="20.25" customHeight="1">
      <c r="A141" s="120"/>
      <c r="D141" s="466"/>
      <c r="F141" s="365"/>
      <c r="H141" s="64"/>
      <c r="I141" s="365"/>
      <c r="J141" s="365"/>
      <c r="K141" s="365"/>
      <c r="L141" s="499"/>
      <c r="M141" s="526">
        <v>0.0</v>
      </c>
      <c r="N141" s="200">
        <v>227.13</v>
      </c>
      <c r="O141" s="529">
        <v>205.6</v>
      </c>
      <c r="P141" s="193">
        <v>196.63</v>
      </c>
      <c r="Q141" s="530">
        <v>167.73</v>
      </c>
      <c r="R141" s="64"/>
      <c r="S141" s="499"/>
      <c r="T141" s="365"/>
      <c r="V141" s="64"/>
      <c r="W141" s="62"/>
    </row>
    <row r="142">
      <c r="A142" s="78" t="s">
        <v>68</v>
      </c>
      <c r="B142" s="531">
        <f t="shared" ref="B142:C142" si="20">SUM(B128:B141)</f>
        <v>21570.77</v>
      </c>
      <c r="C142" s="532">
        <f t="shared" si="20"/>
        <v>16100.92</v>
      </c>
      <c r="D142" s="533"/>
      <c r="E142" s="533">
        <f t="shared" ref="E142:J142" si="21">SUM(E128:E141)</f>
        <v>16504.9</v>
      </c>
      <c r="F142" s="534">
        <f t="shared" si="21"/>
        <v>0</v>
      </c>
      <c r="G142" s="535">
        <f t="shared" si="21"/>
        <v>0</v>
      </c>
      <c r="H142" s="536">
        <f t="shared" si="21"/>
        <v>0</v>
      </c>
      <c r="I142" s="537">
        <f t="shared" si="21"/>
        <v>0</v>
      </c>
      <c r="J142" s="538">
        <f t="shared" si="21"/>
        <v>725.94</v>
      </c>
      <c r="K142" s="539"/>
      <c r="L142" s="540">
        <v>1100.0</v>
      </c>
      <c r="M142" s="541">
        <f t="shared" ref="M142:Q142" si="22">SUM(M128:M141)</f>
        <v>3975.09</v>
      </c>
      <c r="N142" s="542">
        <f t="shared" si="22"/>
        <v>1027.8</v>
      </c>
      <c r="O142" s="543">
        <f t="shared" si="22"/>
        <v>4735.45</v>
      </c>
      <c r="P142" s="542">
        <f t="shared" si="22"/>
        <v>4001.6</v>
      </c>
      <c r="Q142" s="544">
        <f t="shared" si="22"/>
        <v>3758.92</v>
      </c>
      <c r="R142" s="157"/>
      <c r="S142" s="545">
        <f t="shared" ref="S142:V142" si="23">SUM(S128:S141)</f>
        <v>1988.66</v>
      </c>
      <c r="T142" s="534">
        <f t="shared" si="23"/>
        <v>0</v>
      </c>
      <c r="U142" s="535">
        <f t="shared" si="23"/>
        <v>0</v>
      </c>
      <c r="V142" s="536">
        <f t="shared" si="23"/>
        <v>0</v>
      </c>
      <c r="W142" s="546"/>
    </row>
    <row r="143">
      <c r="B143" s="547" t="s">
        <v>136</v>
      </c>
      <c r="C143" s="548" t="s">
        <v>70</v>
      </c>
      <c r="D143" s="549"/>
      <c r="E143" s="550">
        <f>B142+J142</f>
        <v>22296.71</v>
      </c>
      <c r="F143" s="548" t="s">
        <v>71</v>
      </c>
      <c r="G143" s="550">
        <f>C142+J142+L142</f>
        <v>17926.86</v>
      </c>
      <c r="H143" s="548" t="s">
        <v>72</v>
      </c>
      <c r="I143" s="167"/>
      <c r="J143" s="550">
        <f>E142+H142+J142</f>
        <v>17230.84</v>
      </c>
      <c r="K143" s="551"/>
      <c r="M143" s="552" t="s">
        <v>137</v>
      </c>
      <c r="N143" s="548" t="s">
        <v>70</v>
      </c>
      <c r="O143" s="553">
        <f>O142+S142</f>
        <v>6724.11</v>
      </c>
      <c r="P143" s="167"/>
      <c r="Q143" s="549"/>
      <c r="R143" s="548" t="s">
        <v>71</v>
      </c>
      <c r="S143" s="553">
        <f>M142+N142+P142+S142</f>
        <v>10993.15</v>
      </c>
      <c r="T143" s="167"/>
      <c r="U143" s="167"/>
      <c r="V143" s="547" t="s">
        <v>72</v>
      </c>
      <c r="W143" s="550">
        <f>Q142+S142</f>
        <v>5747.58</v>
      </c>
      <c r="X143" s="551"/>
    </row>
    <row r="144" ht="27.75" customHeight="1">
      <c r="V144" s="554" t="s">
        <v>138</v>
      </c>
    </row>
    <row r="145">
      <c r="V145" s="555" t="s">
        <v>139</v>
      </c>
    </row>
    <row r="146">
      <c r="V146" s="556" t="s">
        <v>140</v>
      </c>
    </row>
    <row r="148">
      <c r="H148" s="1">
        <v>2020.0</v>
      </c>
    </row>
    <row r="149">
      <c r="B149" s="430" t="s">
        <v>42</v>
      </c>
      <c r="M149" s="431" t="s">
        <v>44</v>
      </c>
    </row>
    <row r="150">
      <c r="A150" s="432"/>
      <c r="B150" s="433" t="s">
        <v>45</v>
      </c>
      <c r="C150" s="68"/>
      <c r="D150" s="68"/>
      <c r="E150" s="68"/>
      <c r="F150" s="437" t="s">
        <v>46</v>
      </c>
      <c r="G150" s="68"/>
      <c r="H150" s="435"/>
      <c r="I150" s="436" t="s">
        <v>109</v>
      </c>
      <c r="J150" s="434" t="s">
        <v>48</v>
      </c>
      <c r="K150" s="437" t="s">
        <v>94</v>
      </c>
      <c r="L150" s="438" t="s">
        <v>95</v>
      </c>
      <c r="M150" s="441" t="s">
        <v>120</v>
      </c>
    </row>
    <row r="151">
      <c r="A151" s="442" t="s">
        <v>51</v>
      </c>
      <c r="B151" s="443" t="s">
        <v>52</v>
      </c>
      <c r="C151" s="236" t="s">
        <v>53</v>
      </c>
      <c r="D151" s="444"/>
      <c r="E151" s="444" t="s">
        <v>55</v>
      </c>
      <c r="F151" s="445" t="s">
        <v>52</v>
      </c>
      <c r="G151" s="236" t="s">
        <v>53</v>
      </c>
      <c r="H151" s="446" t="s">
        <v>55</v>
      </c>
      <c r="I151" s="447"/>
      <c r="J151" s="448"/>
      <c r="K151" s="449"/>
      <c r="L151" s="450"/>
      <c r="M151" s="451"/>
    </row>
    <row r="152">
      <c r="A152" s="78" t="s">
        <v>56</v>
      </c>
      <c r="B152" s="241">
        <v>1720.25</v>
      </c>
      <c r="C152" s="241">
        <v>1229.74</v>
      </c>
      <c r="D152" s="178"/>
      <c r="E152" s="178">
        <v>1260.57</v>
      </c>
      <c r="F152" s="454"/>
      <c r="G152" s="455"/>
      <c r="H152" s="456"/>
      <c r="I152" s="457">
        <v>0.0</v>
      </c>
      <c r="J152" s="458">
        <v>60.0</v>
      </c>
      <c r="K152" s="459"/>
      <c r="L152" s="460"/>
      <c r="M152" s="557">
        <v>492.57</v>
      </c>
    </row>
    <row r="153">
      <c r="A153" s="78" t="s">
        <v>57</v>
      </c>
      <c r="B153" s="558">
        <v>1539.45</v>
      </c>
      <c r="C153" s="466">
        <v>1057.42</v>
      </c>
      <c r="D153" s="467"/>
      <c r="E153" s="467">
        <v>1260.57</v>
      </c>
      <c r="F153" s="468"/>
      <c r="G153" s="466"/>
      <c r="H153" s="469"/>
      <c r="I153" s="470">
        <v>0.0</v>
      </c>
      <c r="J153" s="471">
        <v>60.0</v>
      </c>
      <c r="K153" s="472"/>
      <c r="L153" s="473"/>
      <c r="M153" s="559">
        <v>492.57</v>
      </c>
    </row>
    <row r="154">
      <c r="A154" s="78" t="s">
        <v>58</v>
      </c>
      <c r="B154" s="560">
        <v>640.97</v>
      </c>
      <c r="C154" s="477">
        <v>328.69</v>
      </c>
      <c r="D154" s="484"/>
      <c r="E154" s="484">
        <v>523.74</v>
      </c>
      <c r="F154" s="476">
        <v>359.45</v>
      </c>
      <c r="G154" s="477">
        <v>335.4</v>
      </c>
      <c r="H154" s="478">
        <v>359.45</v>
      </c>
      <c r="I154" s="479">
        <v>0.0</v>
      </c>
      <c r="J154" s="561">
        <v>60.0</v>
      </c>
      <c r="K154" s="480"/>
      <c r="L154" s="481"/>
      <c r="M154" s="562">
        <v>492.57</v>
      </c>
    </row>
    <row r="155">
      <c r="A155" s="220" t="s">
        <v>59</v>
      </c>
      <c r="B155" s="200">
        <v>617.83</v>
      </c>
      <c r="C155" s="200">
        <v>389.12</v>
      </c>
      <c r="D155" s="201"/>
      <c r="E155" s="563">
        <v>504.76</v>
      </c>
      <c r="F155" s="200">
        <v>967.75</v>
      </c>
      <c r="G155" s="224">
        <v>903.0</v>
      </c>
      <c r="H155" s="489">
        <v>967.75</v>
      </c>
      <c r="I155" s="564">
        <v>37.88</v>
      </c>
      <c r="J155" s="565">
        <v>60.0</v>
      </c>
      <c r="K155" s="472"/>
      <c r="L155" s="566" t="s">
        <v>141</v>
      </c>
      <c r="M155" s="567">
        <v>492.57</v>
      </c>
    </row>
    <row r="156">
      <c r="A156" s="120"/>
      <c r="D156" s="201"/>
      <c r="E156" s="64"/>
      <c r="H156" s="64"/>
      <c r="J156" s="365"/>
      <c r="K156" s="568">
        <v>1290.0</v>
      </c>
      <c r="L156" s="569" t="s">
        <v>142</v>
      </c>
      <c r="M156" s="62"/>
    </row>
    <row r="157">
      <c r="A157" s="120"/>
      <c r="D157" s="201"/>
      <c r="E157" s="64"/>
      <c r="H157" s="64"/>
      <c r="J157" s="365"/>
      <c r="K157" s="570">
        <v>32.69</v>
      </c>
      <c r="L157" s="571" t="s">
        <v>143</v>
      </c>
      <c r="M157" s="62"/>
    </row>
    <row r="158">
      <c r="A158" s="120"/>
      <c r="D158" s="201"/>
      <c r="E158" s="64"/>
      <c r="H158" s="64"/>
      <c r="J158" s="365"/>
      <c r="K158" s="572">
        <v>894.69</v>
      </c>
      <c r="L158" s="573" t="s">
        <v>144</v>
      </c>
      <c r="M158" s="62"/>
    </row>
    <row r="159">
      <c r="A159" s="205" t="s">
        <v>60</v>
      </c>
      <c r="B159" s="494">
        <v>1639.93</v>
      </c>
      <c r="C159" s="452">
        <v>1185.01</v>
      </c>
      <c r="D159" s="453"/>
      <c r="E159" s="453">
        <v>1342.89</v>
      </c>
      <c r="F159" s="495"/>
      <c r="G159" s="477"/>
      <c r="H159" s="478"/>
      <c r="I159" s="496">
        <v>0.0</v>
      </c>
      <c r="J159" s="497">
        <v>60.0</v>
      </c>
      <c r="K159" s="568">
        <v>919.72</v>
      </c>
      <c r="L159" s="569" t="s">
        <v>145</v>
      </c>
      <c r="M159" s="562">
        <v>492.57</v>
      </c>
    </row>
    <row r="160">
      <c r="A160" s="78" t="s">
        <v>61</v>
      </c>
      <c r="B160" s="500">
        <v>1569.9</v>
      </c>
      <c r="C160" s="466">
        <v>1077.17</v>
      </c>
      <c r="D160" s="467"/>
      <c r="E160" s="467">
        <v>1285.55</v>
      </c>
      <c r="F160" s="468"/>
      <c r="G160" s="466"/>
      <c r="H160" s="469"/>
      <c r="I160" s="470">
        <v>0.0</v>
      </c>
      <c r="J160" s="471">
        <v>60.0</v>
      </c>
      <c r="K160" s="365"/>
      <c r="L160" s="499"/>
      <c r="M160" s="574">
        <v>492.57</v>
      </c>
    </row>
    <row r="161">
      <c r="A161" s="78" t="s">
        <v>62</v>
      </c>
      <c r="B161" s="494">
        <v>1691.7</v>
      </c>
      <c r="C161" s="452">
        <v>1164.53</v>
      </c>
      <c r="D161" s="453"/>
      <c r="E161" s="453">
        <v>1260.56</v>
      </c>
      <c r="F161" s="503"/>
      <c r="G161" s="477"/>
      <c r="H161" s="505"/>
      <c r="I161" s="479">
        <v>0.0</v>
      </c>
      <c r="J161" s="561">
        <v>60.0</v>
      </c>
      <c r="K161" s="506"/>
      <c r="L161" s="507"/>
      <c r="M161" s="562">
        <v>495.53</v>
      </c>
    </row>
    <row r="162">
      <c r="A162" s="78" t="s">
        <v>63</v>
      </c>
      <c r="B162" s="200">
        <v>1778.55</v>
      </c>
      <c r="C162" s="224">
        <v>1233.3</v>
      </c>
      <c r="D162" s="201"/>
      <c r="E162" s="201">
        <v>1331.8</v>
      </c>
      <c r="F162" s="468"/>
      <c r="G162" s="466"/>
      <c r="H162" s="469"/>
      <c r="I162" s="470">
        <v>0.0</v>
      </c>
      <c r="J162" s="471">
        <v>60.0</v>
      </c>
      <c r="K162" s="365"/>
      <c r="L162" s="499"/>
      <c r="M162" s="574">
        <v>495.53</v>
      </c>
    </row>
    <row r="163">
      <c r="A163" s="78" t="s">
        <v>64</v>
      </c>
      <c r="B163" s="494">
        <v>1648.97</v>
      </c>
      <c r="C163" s="452">
        <v>1188.95</v>
      </c>
      <c r="D163" s="453"/>
      <c r="E163" s="453">
        <v>1342.58</v>
      </c>
      <c r="F163" s="511"/>
      <c r="G163" s="398"/>
      <c r="H163" s="512"/>
      <c r="I163" s="479">
        <v>0.0</v>
      </c>
      <c r="J163" s="561">
        <v>60.0</v>
      </c>
      <c r="K163" s="506"/>
      <c r="L163" s="507"/>
      <c r="M163" s="562">
        <v>495.53</v>
      </c>
    </row>
    <row r="164">
      <c r="A164" s="78" t="s">
        <v>65</v>
      </c>
      <c r="B164" s="224">
        <v>1539.45</v>
      </c>
      <c r="C164" s="224">
        <v>1044.3</v>
      </c>
      <c r="D164" s="201"/>
      <c r="E164" s="201">
        <v>1260.57</v>
      </c>
      <c r="F164" s="492"/>
      <c r="G164" s="200"/>
      <c r="H164" s="489"/>
      <c r="I164" s="470">
        <v>0.0</v>
      </c>
      <c r="J164" s="471">
        <v>60.0</v>
      </c>
      <c r="K164" s="575">
        <v>6600.0</v>
      </c>
      <c r="L164" s="576" t="s">
        <v>146</v>
      </c>
      <c r="M164" s="559">
        <v>497.01</v>
      </c>
    </row>
    <row r="165">
      <c r="A165" s="78" t="s">
        <v>66</v>
      </c>
      <c r="B165" s="494">
        <v>1589.45</v>
      </c>
      <c r="C165" s="452">
        <v>1088.25</v>
      </c>
      <c r="D165" s="453"/>
      <c r="E165" s="453">
        <v>1301.57</v>
      </c>
      <c r="F165" s="511"/>
      <c r="G165" s="398"/>
      <c r="H165" s="512"/>
      <c r="I165" s="479">
        <v>0.0</v>
      </c>
      <c r="J165" s="561">
        <v>60.0</v>
      </c>
      <c r="K165" s="577"/>
      <c r="L165" s="578"/>
      <c r="M165" s="579">
        <v>497.01</v>
      </c>
    </row>
    <row r="166">
      <c r="A166" s="205" t="s">
        <v>67</v>
      </c>
      <c r="B166" s="200">
        <v>1436.15</v>
      </c>
      <c r="C166" s="200">
        <v>966.91</v>
      </c>
      <c r="D166" s="193"/>
      <c r="E166" s="193">
        <v>1175.86</v>
      </c>
      <c r="F166" s="580" t="s">
        <v>147</v>
      </c>
      <c r="G166" s="581" t="s">
        <v>148</v>
      </c>
      <c r="H166" s="582" t="s">
        <v>148</v>
      </c>
      <c r="I166" s="523">
        <v>0.0</v>
      </c>
      <c r="J166" s="565">
        <v>60.0</v>
      </c>
      <c r="K166" s="365"/>
      <c r="L166" s="583" t="s">
        <v>149</v>
      </c>
      <c r="M166" s="584">
        <v>497.01</v>
      </c>
    </row>
    <row r="167">
      <c r="A167" s="120"/>
      <c r="D167" s="193"/>
      <c r="F167" s="365"/>
      <c r="H167" s="64"/>
      <c r="I167" s="365"/>
      <c r="J167" s="365"/>
      <c r="K167" s="585">
        <v>608.46</v>
      </c>
      <c r="L167" s="585" t="s">
        <v>150</v>
      </c>
      <c r="M167" s="62"/>
    </row>
    <row r="168">
      <c r="A168" s="120"/>
      <c r="D168" s="193"/>
      <c r="F168" s="365"/>
      <c r="H168" s="64"/>
      <c r="I168" s="365"/>
      <c r="J168" s="365"/>
      <c r="K168" s="586">
        <v>667.31</v>
      </c>
      <c r="L168" s="586" t="s">
        <v>151</v>
      </c>
      <c r="M168" s="62"/>
    </row>
    <row r="169">
      <c r="A169" s="78" t="s">
        <v>68</v>
      </c>
      <c r="B169" s="531">
        <f t="shared" ref="B169:C169" si="24">SUM(B152:B166)</f>
        <v>17412.6</v>
      </c>
      <c r="C169" s="532">
        <f t="shared" si="24"/>
        <v>11953.39</v>
      </c>
      <c r="D169" s="587"/>
      <c r="E169" s="587">
        <f t="shared" ref="E169:G169" si="25">SUM(E152:E166)</f>
        <v>13851.02</v>
      </c>
      <c r="F169" s="534">
        <f t="shared" si="25"/>
        <v>1327.2</v>
      </c>
      <c r="G169" s="535">
        <f t="shared" si="25"/>
        <v>1238.4</v>
      </c>
      <c r="H169" s="536">
        <f>SUM(H152:H165)</f>
        <v>1327.2</v>
      </c>
      <c r="I169" s="533">
        <f t="shared" ref="I169:K169" si="26">SUM(I152:I166)</f>
        <v>37.88</v>
      </c>
      <c r="J169" s="538">
        <f t="shared" si="26"/>
        <v>720</v>
      </c>
      <c r="K169" s="543">
        <f t="shared" si="26"/>
        <v>9737.1</v>
      </c>
      <c r="L169" s="588"/>
      <c r="M169" s="589">
        <f>SUM(M152:M166)</f>
        <v>5933.04</v>
      </c>
    </row>
    <row r="170">
      <c r="B170" s="547" t="s">
        <v>152</v>
      </c>
      <c r="C170" s="548" t="s">
        <v>70</v>
      </c>
      <c r="D170" s="549"/>
      <c r="E170" s="550">
        <f>B169+F169+J169+I169</f>
        <v>19497.68</v>
      </c>
      <c r="F170" s="548" t="s">
        <v>71</v>
      </c>
      <c r="G170" s="550">
        <f>C169+G169+J169+I169</f>
        <v>13949.67</v>
      </c>
      <c r="H170" s="590" t="s">
        <v>72</v>
      </c>
      <c r="I170" s="591"/>
      <c r="J170" s="592">
        <f>E169+H169+J169+I169</f>
        <v>15936.1</v>
      </c>
      <c r="L170" s="593"/>
    </row>
    <row r="171" ht="28.5" customHeight="1">
      <c r="A171" s="594"/>
      <c r="B171" s="594"/>
      <c r="C171" s="594"/>
      <c r="D171" s="594"/>
      <c r="E171" s="594"/>
      <c r="F171" s="594"/>
      <c r="G171" s="594"/>
      <c r="H171" s="595" t="s">
        <v>153</v>
      </c>
      <c r="I171" s="167"/>
      <c r="J171" s="596"/>
    </row>
    <row r="172">
      <c r="A172" s="594">
        <v>2019.0</v>
      </c>
    </row>
    <row r="173">
      <c r="A173" s="57"/>
      <c r="B173" s="597" t="s">
        <v>42</v>
      </c>
      <c r="G173" s="597" t="s">
        <v>44</v>
      </c>
      <c r="J173" s="597"/>
    </row>
    <row r="174">
      <c r="A174" s="598"/>
      <c r="B174" s="599" t="s">
        <v>45</v>
      </c>
      <c r="C174" s="68"/>
      <c r="D174" s="68"/>
      <c r="E174" s="68"/>
      <c r="F174" s="600" t="s">
        <v>154</v>
      </c>
      <c r="G174" s="599" t="s">
        <v>155</v>
      </c>
      <c r="H174" s="601" t="s">
        <v>156</v>
      </c>
      <c r="I174" s="602" t="s">
        <v>120</v>
      </c>
      <c r="J174" s="603"/>
    </row>
    <row r="175">
      <c r="A175" s="604" t="s">
        <v>51</v>
      </c>
      <c r="B175" s="605" t="s">
        <v>52</v>
      </c>
      <c r="C175" s="597" t="s">
        <v>53</v>
      </c>
      <c r="D175" s="597"/>
      <c r="E175" s="597" t="s">
        <v>55</v>
      </c>
      <c r="F175" s="606"/>
      <c r="G175" s="607"/>
      <c r="H175" s="603"/>
      <c r="I175" s="606"/>
      <c r="J175" s="603"/>
    </row>
    <row r="176">
      <c r="A176" s="608" t="s">
        <v>56</v>
      </c>
      <c r="B176" s="558">
        <v>1705.05</v>
      </c>
      <c r="C176" s="609">
        <v>1863.2</v>
      </c>
      <c r="D176" s="466"/>
      <c r="E176" s="466">
        <v>1396.46</v>
      </c>
      <c r="F176" s="610">
        <v>60.0</v>
      </c>
      <c r="G176" s="121"/>
      <c r="I176" s="62"/>
    </row>
    <row r="177">
      <c r="A177" s="608" t="s">
        <v>57</v>
      </c>
      <c r="B177" s="558">
        <v>1789.25</v>
      </c>
      <c r="C177" s="466">
        <v>1310.44</v>
      </c>
      <c r="D177" s="466"/>
      <c r="E177" s="466">
        <v>1343.19</v>
      </c>
      <c r="F177" s="610">
        <v>60.0</v>
      </c>
      <c r="G177" s="121"/>
      <c r="I177" s="62"/>
    </row>
    <row r="178">
      <c r="A178" s="608" t="s">
        <v>58</v>
      </c>
      <c r="B178" s="611">
        <v>1893.46</v>
      </c>
      <c r="C178" s="466">
        <v>1410.21</v>
      </c>
      <c r="D178" s="466"/>
      <c r="E178" s="466">
        <v>1327.63</v>
      </c>
      <c r="F178" s="610">
        <v>60.0</v>
      </c>
      <c r="G178" s="121"/>
      <c r="I178" s="62"/>
    </row>
    <row r="179">
      <c r="A179" s="608" t="s">
        <v>59</v>
      </c>
      <c r="B179" s="558">
        <v>1785.19</v>
      </c>
      <c r="C179" s="466">
        <v>1309.43</v>
      </c>
      <c r="D179" s="466"/>
      <c r="E179" s="466">
        <v>1322.59</v>
      </c>
      <c r="F179" s="610">
        <v>60.0</v>
      </c>
      <c r="G179" s="121"/>
      <c r="I179" s="62"/>
    </row>
    <row r="180">
      <c r="A180" s="608" t="s">
        <v>60</v>
      </c>
      <c r="B180" s="558">
        <v>1657.49</v>
      </c>
      <c r="C180" s="466">
        <v>1204.08</v>
      </c>
      <c r="D180" s="466"/>
      <c r="E180" s="466">
        <v>1251.37</v>
      </c>
      <c r="F180" s="610">
        <v>60.0</v>
      </c>
      <c r="G180" s="121"/>
      <c r="I180" s="62"/>
    </row>
    <row r="181">
      <c r="A181" s="608" t="s">
        <v>61</v>
      </c>
      <c r="B181" s="558">
        <v>1663.06</v>
      </c>
      <c r="C181" s="466">
        <v>1208.08</v>
      </c>
      <c r="D181" s="466"/>
      <c r="E181" s="466">
        <v>1362.02</v>
      </c>
      <c r="F181" s="610">
        <v>60.0</v>
      </c>
      <c r="G181" s="121"/>
      <c r="I181" s="62"/>
    </row>
    <row r="182">
      <c r="A182" s="608" t="s">
        <v>62</v>
      </c>
      <c r="B182" s="612">
        <v>1967.77</v>
      </c>
      <c r="C182" s="500">
        <v>1479.0</v>
      </c>
      <c r="D182" s="500"/>
      <c r="E182" s="500">
        <v>1310.4</v>
      </c>
      <c r="F182" s="610">
        <v>60.0</v>
      </c>
      <c r="G182" s="121"/>
      <c r="I182" s="62"/>
    </row>
    <row r="183">
      <c r="A183" s="608" t="s">
        <v>63</v>
      </c>
      <c r="B183" s="558">
        <v>2020.55</v>
      </c>
      <c r="C183" s="466">
        <v>1514.87</v>
      </c>
      <c r="D183" s="466"/>
      <c r="E183" s="466">
        <v>1331.34</v>
      </c>
      <c r="F183" s="610">
        <v>60.0</v>
      </c>
      <c r="G183" s="121"/>
      <c r="I183" s="62"/>
    </row>
    <row r="184">
      <c r="A184" s="608" t="s">
        <v>64</v>
      </c>
      <c r="B184" s="613">
        <v>1540.39</v>
      </c>
      <c r="C184" s="200">
        <v>1107.84</v>
      </c>
      <c r="D184" s="200"/>
      <c r="E184" s="200">
        <v>1250.25</v>
      </c>
      <c r="F184" s="610">
        <v>60.0</v>
      </c>
      <c r="G184" s="121"/>
      <c r="I184" s="62"/>
    </row>
    <row r="185">
      <c r="A185" s="608" t="s">
        <v>65</v>
      </c>
      <c r="B185" s="613">
        <v>1637.98</v>
      </c>
      <c r="C185" s="200">
        <v>1130.51</v>
      </c>
      <c r="D185" s="200"/>
      <c r="E185" s="200">
        <v>1243.73</v>
      </c>
      <c r="F185" s="610">
        <v>60.0</v>
      </c>
      <c r="G185" s="121"/>
      <c r="I185" s="614">
        <v>859.14</v>
      </c>
    </row>
    <row r="186">
      <c r="A186" s="608" t="s">
        <v>66</v>
      </c>
      <c r="B186" s="613">
        <v>1697.05</v>
      </c>
      <c r="C186" s="200">
        <v>1168.25</v>
      </c>
      <c r="D186" s="200"/>
      <c r="E186" s="200">
        <v>1328.47</v>
      </c>
      <c r="F186" s="610">
        <v>60.0</v>
      </c>
      <c r="G186" s="121"/>
      <c r="I186" s="614">
        <v>492.57</v>
      </c>
    </row>
    <row r="187">
      <c r="A187" s="608" t="s">
        <v>67</v>
      </c>
      <c r="B187" s="613">
        <v>1786.92</v>
      </c>
      <c r="C187" s="200">
        <v>1244.69</v>
      </c>
      <c r="D187" s="200"/>
      <c r="E187" s="200">
        <v>1463.59</v>
      </c>
      <c r="F187" s="610">
        <v>60.0</v>
      </c>
      <c r="G187" s="121"/>
      <c r="I187" s="614">
        <v>645.02</v>
      </c>
    </row>
    <row r="188">
      <c r="A188" s="615" t="s">
        <v>68</v>
      </c>
      <c r="B188" s="616">
        <f t="shared" ref="B188:C188" si="27">SUM(B176:B187)</f>
        <v>21144.16</v>
      </c>
      <c r="C188" s="617">
        <f t="shared" si="27"/>
        <v>15950.6</v>
      </c>
      <c r="D188" s="57"/>
      <c r="E188" s="57">
        <f t="shared" ref="E188:F188" si="28">SUM(E176:E187)</f>
        <v>15931.04</v>
      </c>
      <c r="F188" s="618">
        <f t="shared" si="28"/>
        <v>720</v>
      </c>
      <c r="G188" s="616"/>
      <c r="H188" s="57"/>
      <c r="I188" s="163"/>
    </row>
    <row r="189">
      <c r="A189" s="594"/>
      <c r="B189" s="594"/>
      <c r="C189" s="594"/>
      <c r="D189" s="594"/>
      <c r="E189" s="594"/>
      <c r="F189" s="594"/>
      <c r="G189" s="594"/>
      <c r="H189" s="594"/>
      <c r="I189" s="594"/>
    </row>
    <row r="190">
      <c r="A190" s="594">
        <v>2018.0</v>
      </c>
    </row>
    <row r="191">
      <c r="B191" s="597" t="s">
        <v>42</v>
      </c>
      <c r="G191" s="597" t="s">
        <v>44</v>
      </c>
    </row>
    <row r="192">
      <c r="A192" s="619"/>
      <c r="B192" s="599" t="s">
        <v>45</v>
      </c>
      <c r="C192" s="68"/>
      <c r="D192" s="68"/>
      <c r="E192" s="68"/>
      <c r="F192" s="600" t="s">
        <v>154</v>
      </c>
      <c r="G192" s="599" t="s">
        <v>155</v>
      </c>
      <c r="H192" s="601" t="s">
        <v>156</v>
      </c>
      <c r="I192" s="602" t="s">
        <v>120</v>
      </c>
    </row>
    <row r="193">
      <c r="A193" s="604" t="s">
        <v>51</v>
      </c>
      <c r="B193" s="605" t="s">
        <v>52</v>
      </c>
      <c r="C193" s="597" t="s">
        <v>53</v>
      </c>
      <c r="D193" s="597"/>
      <c r="E193" s="597" t="s">
        <v>55</v>
      </c>
      <c r="F193" s="606"/>
      <c r="G193" s="605"/>
      <c r="H193" s="597"/>
      <c r="I193" s="620"/>
    </row>
    <row r="194">
      <c r="A194" s="608" t="s">
        <v>56</v>
      </c>
      <c r="B194" s="121"/>
      <c r="F194" s="62"/>
      <c r="G194" s="621">
        <v>505.92</v>
      </c>
      <c r="H194" s="622"/>
      <c r="I194" s="623"/>
    </row>
    <row r="195">
      <c r="A195" s="608" t="s">
        <v>57</v>
      </c>
      <c r="B195" s="121"/>
      <c r="F195" s="62"/>
      <c r="G195" s="621">
        <v>505.92</v>
      </c>
      <c r="H195" s="622"/>
      <c r="I195" s="623"/>
    </row>
    <row r="196">
      <c r="A196" s="608" t="s">
        <v>58</v>
      </c>
      <c r="B196" s="121"/>
      <c r="F196" s="62"/>
      <c r="G196" s="621">
        <v>228.48</v>
      </c>
      <c r="H196" s="622"/>
      <c r="I196" s="623"/>
    </row>
    <row r="197">
      <c r="A197" s="608" t="s">
        <v>59</v>
      </c>
      <c r="B197" s="121"/>
      <c r="F197" s="62"/>
      <c r="G197" s="621">
        <v>212.16</v>
      </c>
      <c r="H197" s="622"/>
      <c r="I197" s="623"/>
    </row>
    <row r="198">
      <c r="A198" s="608" t="s">
        <v>60</v>
      </c>
      <c r="B198" s="121"/>
      <c r="F198" s="62"/>
      <c r="G198" s="621">
        <v>494.4</v>
      </c>
      <c r="H198" s="622"/>
      <c r="I198" s="610">
        <v>67.35</v>
      </c>
    </row>
    <row r="199">
      <c r="A199" s="608" t="s">
        <v>61</v>
      </c>
      <c r="B199" s="121"/>
      <c r="F199" s="62"/>
      <c r="G199" s="621">
        <v>510.88</v>
      </c>
      <c r="H199" s="622"/>
      <c r="I199" s="610">
        <v>67.35</v>
      </c>
    </row>
    <row r="200">
      <c r="A200" s="608" t="s">
        <v>62</v>
      </c>
      <c r="B200" s="121"/>
      <c r="F200" s="62"/>
      <c r="G200" s="621">
        <v>494.4</v>
      </c>
      <c r="H200" s="622"/>
      <c r="I200" s="610">
        <v>67.35</v>
      </c>
    </row>
    <row r="201">
      <c r="A201" s="608" t="s">
        <v>63</v>
      </c>
      <c r="B201" s="121"/>
      <c r="F201" s="62"/>
      <c r="G201" s="121"/>
      <c r="H201" s="47">
        <v>510.88</v>
      </c>
      <c r="I201" s="610">
        <v>79.49</v>
      </c>
    </row>
    <row r="202">
      <c r="A202" s="608" t="s">
        <v>64</v>
      </c>
      <c r="B202" s="121"/>
      <c r="F202" s="62"/>
      <c r="G202" s="121"/>
      <c r="H202" s="47">
        <v>510.88</v>
      </c>
      <c r="I202" s="610">
        <v>79.49</v>
      </c>
    </row>
    <row r="203">
      <c r="A203" s="608" t="s">
        <v>65</v>
      </c>
      <c r="B203" s="121"/>
      <c r="F203" s="62"/>
      <c r="G203" s="121"/>
      <c r="H203" s="47">
        <v>494.4</v>
      </c>
      <c r="I203" s="610">
        <v>79.49</v>
      </c>
    </row>
    <row r="204">
      <c r="A204" s="608" t="s">
        <v>66</v>
      </c>
      <c r="B204" s="121"/>
      <c r="F204" s="62"/>
      <c r="G204" s="121"/>
      <c r="H204" s="47">
        <v>510.88</v>
      </c>
      <c r="I204" s="623"/>
    </row>
    <row r="205">
      <c r="A205" s="608" t="s">
        <v>67</v>
      </c>
      <c r="B205" s="121"/>
      <c r="F205" s="62"/>
      <c r="G205" s="121"/>
      <c r="H205" s="47">
        <v>494.4</v>
      </c>
      <c r="I205" s="623"/>
    </row>
    <row r="206">
      <c r="A206" s="624" t="s">
        <v>68</v>
      </c>
      <c r="B206" s="616"/>
      <c r="C206" s="57"/>
      <c r="D206" s="57"/>
      <c r="E206" s="57"/>
      <c r="F206" s="163"/>
      <c r="G206" s="625">
        <f t="shared" ref="G206:I206" si="29">SUM(G194:G205)</f>
        <v>2952.16</v>
      </c>
      <c r="H206" s="617">
        <f t="shared" si="29"/>
        <v>2521.44</v>
      </c>
      <c r="I206" s="618">
        <f t="shared" si="29"/>
        <v>440.52</v>
      </c>
    </row>
  </sheetData>
  <mergeCells count="373">
    <mergeCell ref="Q104:S104"/>
    <mergeCell ref="T104:T105"/>
    <mergeCell ref="Q105:S105"/>
    <mergeCell ref="H104:H105"/>
    <mergeCell ref="I104:I105"/>
    <mergeCell ref="J104:J105"/>
    <mergeCell ref="K104:K105"/>
    <mergeCell ref="L104:L105"/>
    <mergeCell ref="M104:M105"/>
    <mergeCell ref="N104:N105"/>
    <mergeCell ref="M83:M84"/>
    <mergeCell ref="O83:O84"/>
    <mergeCell ref="F83:F84"/>
    <mergeCell ref="G83:G84"/>
    <mergeCell ref="H83:H84"/>
    <mergeCell ref="I83:I84"/>
    <mergeCell ref="J83:J84"/>
    <mergeCell ref="K83:K84"/>
    <mergeCell ref="L83:L84"/>
    <mergeCell ref="H90:H91"/>
    <mergeCell ref="I90:I91"/>
    <mergeCell ref="J90:J91"/>
    <mergeCell ref="K90:K91"/>
    <mergeCell ref="L90:L91"/>
    <mergeCell ref="M90:M91"/>
    <mergeCell ref="N90:N91"/>
    <mergeCell ref="W90:W91"/>
    <mergeCell ref="A90:A91"/>
    <mergeCell ref="B90:B91"/>
    <mergeCell ref="C90:C91"/>
    <mergeCell ref="D90:D91"/>
    <mergeCell ref="E90:E91"/>
    <mergeCell ref="F90:F91"/>
    <mergeCell ref="G90:G91"/>
    <mergeCell ref="C95:D95"/>
    <mergeCell ref="H95:I95"/>
    <mergeCell ref="N95:O95"/>
    <mergeCell ref="P95:Q95"/>
    <mergeCell ref="S95:T95"/>
    <mergeCell ref="U95:V95"/>
    <mergeCell ref="M96:W96"/>
    <mergeCell ref="U104:U105"/>
    <mergeCell ref="V104:V105"/>
    <mergeCell ref="W104:W105"/>
    <mergeCell ref="B100:L100"/>
    <mergeCell ref="M100:W100"/>
    <mergeCell ref="F101:H101"/>
    <mergeCell ref="O101:S101"/>
    <mergeCell ref="T101:V101"/>
    <mergeCell ref="Q102:S102"/>
    <mergeCell ref="Q103:S103"/>
    <mergeCell ref="B101:E101"/>
    <mergeCell ref="A104:A105"/>
    <mergeCell ref="B104:B105"/>
    <mergeCell ref="C104:C105"/>
    <mergeCell ref="E104:E105"/>
    <mergeCell ref="F104:F105"/>
    <mergeCell ref="G104:G105"/>
    <mergeCell ref="T106:T107"/>
    <mergeCell ref="U106:U107"/>
    <mergeCell ref="V106:V107"/>
    <mergeCell ref="W106:W107"/>
    <mergeCell ref="I106:I107"/>
    <mergeCell ref="J106:J107"/>
    <mergeCell ref="K106:K107"/>
    <mergeCell ref="L106:L107"/>
    <mergeCell ref="M106:M107"/>
    <mergeCell ref="N106:N107"/>
    <mergeCell ref="Q106:S106"/>
    <mergeCell ref="Q107:S107"/>
    <mergeCell ref="A106:A107"/>
    <mergeCell ref="B106:B107"/>
    <mergeCell ref="C106:C107"/>
    <mergeCell ref="E106:E107"/>
    <mergeCell ref="F106:F107"/>
    <mergeCell ref="G106:G107"/>
    <mergeCell ref="H106:H107"/>
    <mergeCell ref="T108:T109"/>
    <mergeCell ref="U108:U109"/>
    <mergeCell ref="V108:V109"/>
    <mergeCell ref="W108:W109"/>
    <mergeCell ref="I108:I109"/>
    <mergeCell ref="J108:J109"/>
    <mergeCell ref="K108:K109"/>
    <mergeCell ref="L108:L109"/>
    <mergeCell ref="M108:M109"/>
    <mergeCell ref="N108:N109"/>
    <mergeCell ref="Q108:S108"/>
    <mergeCell ref="Q109:S109"/>
    <mergeCell ref="A108:A109"/>
    <mergeCell ref="B108:B109"/>
    <mergeCell ref="C108:C109"/>
    <mergeCell ref="E108:E109"/>
    <mergeCell ref="F108:F109"/>
    <mergeCell ref="G108:G109"/>
    <mergeCell ref="H108:H109"/>
    <mergeCell ref="T110:T111"/>
    <mergeCell ref="U110:U111"/>
    <mergeCell ref="V110:V111"/>
    <mergeCell ref="W110:W111"/>
    <mergeCell ref="I110:I111"/>
    <mergeCell ref="J110:J111"/>
    <mergeCell ref="K110:K111"/>
    <mergeCell ref="L110:L111"/>
    <mergeCell ref="M110:M111"/>
    <mergeCell ref="N110:N111"/>
    <mergeCell ref="Q110:S110"/>
    <mergeCell ref="Q111:S111"/>
    <mergeCell ref="Q112:S112"/>
    <mergeCell ref="Q113:S113"/>
    <mergeCell ref="Q114:S114"/>
    <mergeCell ref="Q115:S115"/>
    <mergeCell ref="Q116:S116"/>
    <mergeCell ref="Q117:S117"/>
    <mergeCell ref="H120:I120"/>
    <mergeCell ref="B125:L125"/>
    <mergeCell ref="B126:E126"/>
    <mergeCell ref="F126:H126"/>
    <mergeCell ref="A110:A111"/>
    <mergeCell ref="B110:B111"/>
    <mergeCell ref="C110:C111"/>
    <mergeCell ref="E110:E111"/>
    <mergeCell ref="F110:F111"/>
    <mergeCell ref="G110:G111"/>
    <mergeCell ref="H110:H111"/>
    <mergeCell ref="Q118:S118"/>
    <mergeCell ref="N120:P120"/>
    <mergeCell ref="R120:U120"/>
    <mergeCell ref="V120:W120"/>
    <mergeCell ref="M125:W125"/>
    <mergeCell ref="O126:R126"/>
    <mergeCell ref="T126:V126"/>
    <mergeCell ref="Q127:R127"/>
    <mergeCell ref="Q128:R128"/>
    <mergeCell ref="Q129:R129"/>
    <mergeCell ref="Q130:R130"/>
    <mergeCell ref="Q131:R131"/>
    <mergeCell ref="Q132:R132"/>
    <mergeCell ref="Q133:R133"/>
    <mergeCell ref="Q138:R138"/>
    <mergeCell ref="S138:S139"/>
    <mergeCell ref="T138:T139"/>
    <mergeCell ref="U138:U139"/>
    <mergeCell ref="V138:V139"/>
    <mergeCell ref="Q139:R139"/>
    <mergeCell ref="Q140:R140"/>
    <mergeCell ref="V144:W144"/>
    <mergeCell ref="V145:W145"/>
    <mergeCell ref="V146:W146"/>
    <mergeCell ref="S140:S141"/>
    <mergeCell ref="T140:T141"/>
    <mergeCell ref="U140:U141"/>
    <mergeCell ref="V140:V141"/>
    <mergeCell ref="W140:W141"/>
    <mergeCell ref="Q141:R141"/>
    <mergeCell ref="Q142:R142"/>
    <mergeCell ref="G138:G139"/>
    <mergeCell ref="H138:H139"/>
    <mergeCell ref="G140:G141"/>
    <mergeCell ref="H140:H141"/>
    <mergeCell ref="I138:I139"/>
    <mergeCell ref="J138:J139"/>
    <mergeCell ref="I140:I141"/>
    <mergeCell ref="J140:J141"/>
    <mergeCell ref="H143:I143"/>
    <mergeCell ref="B149:L149"/>
    <mergeCell ref="B150:E150"/>
    <mergeCell ref="F150:H150"/>
    <mergeCell ref="K138:K139"/>
    <mergeCell ref="L138:L139"/>
    <mergeCell ref="K140:K141"/>
    <mergeCell ref="L140:L141"/>
    <mergeCell ref="M138:M139"/>
    <mergeCell ref="N138:N139"/>
    <mergeCell ref="Q134:R134"/>
    <mergeCell ref="Q135:R135"/>
    <mergeCell ref="Q136:R136"/>
    <mergeCell ref="Q137:R137"/>
    <mergeCell ref="A138:A139"/>
    <mergeCell ref="B138:B139"/>
    <mergeCell ref="C138:C139"/>
    <mergeCell ref="O143:P143"/>
    <mergeCell ref="S143:U143"/>
    <mergeCell ref="E138:E139"/>
    <mergeCell ref="F138:F139"/>
    <mergeCell ref="A140:A141"/>
    <mergeCell ref="B140:B141"/>
    <mergeCell ref="C140:C141"/>
    <mergeCell ref="E140:E141"/>
    <mergeCell ref="F140:F141"/>
    <mergeCell ref="K31:N31"/>
    <mergeCell ref="O31:S31"/>
    <mergeCell ref="T25:U25"/>
    <mergeCell ref="X25:Y25"/>
    <mergeCell ref="B30:J30"/>
    <mergeCell ref="K30:N30"/>
    <mergeCell ref="O30:W30"/>
    <mergeCell ref="B31:E31"/>
    <mergeCell ref="F31:H31"/>
    <mergeCell ref="T31:V31"/>
    <mergeCell ref="B1:J1"/>
    <mergeCell ref="B7:J7"/>
    <mergeCell ref="O7:W7"/>
    <mergeCell ref="B8:E8"/>
    <mergeCell ref="F8:H8"/>
    <mergeCell ref="I8:I9"/>
    <mergeCell ref="J8:J9"/>
    <mergeCell ref="R9:S9"/>
    <mergeCell ref="F12:F14"/>
    <mergeCell ref="G12:G14"/>
    <mergeCell ref="O8:S8"/>
    <mergeCell ref="T8:V8"/>
    <mergeCell ref="R10:S10"/>
    <mergeCell ref="A12:A14"/>
    <mergeCell ref="B12:B14"/>
    <mergeCell ref="C12:C14"/>
    <mergeCell ref="H12:H14"/>
    <mergeCell ref="I10:I23"/>
    <mergeCell ref="H25:I25"/>
    <mergeCell ref="I31:I32"/>
    <mergeCell ref="J31:J32"/>
    <mergeCell ref="K7:N7"/>
    <mergeCell ref="K8:N8"/>
    <mergeCell ref="J12:J14"/>
    <mergeCell ref="K12:K14"/>
    <mergeCell ref="L12:L14"/>
    <mergeCell ref="M12:M14"/>
    <mergeCell ref="N12:N14"/>
    <mergeCell ref="R11:S11"/>
    <mergeCell ref="O12:O14"/>
    <mergeCell ref="P12:P14"/>
    <mergeCell ref="Q12:Q14"/>
    <mergeCell ref="R12:S14"/>
    <mergeCell ref="R15:S15"/>
    <mergeCell ref="R16:S16"/>
    <mergeCell ref="R32:S32"/>
    <mergeCell ref="E35:E37"/>
    <mergeCell ref="F35:F37"/>
    <mergeCell ref="G35:G37"/>
    <mergeCell ref="H35:H37"/>
    <mergeCell ref="D12:D14"/>
    <mergeCell ref="E12:E14"/>
    <mergeCell ref="D25:E25"/>
    <mergeCell ref="A35:A37"/>
    <mergeCell ref="B35:B37"/>
    <mergeCell ref="C35:C37"/>
    <mergeCell ref="D35:D37"/>
    <mergeCell ref="R17:S17"/>
    <mergeCell ref="R18:S18"/>
    <mergeCell ref="R19:S19"/>
    <mergeCell ref="R20:S20"/>
    <mergeCell ref="R21:S21"/>
    <mergeCell ref="R22:S22"/>
    <mergeCell ref="R23:S23"/>
    <mergeCell ref="L35:L37"/>
    <mergeCell ref="M35:M37"/>
    <mergeCell ref="N35:N37"/>
    <mergeCell ref="O35:O37"/>
    <mergeCell ref="P35:P37"/>
    <mergeCell ref="Q35:Q37"/>
    <mergeCell ref="R39:S39"/>
    <mergeCell ref="R40:S40"/>
    <mergeCell ref="R41:S41"/>
    <mergeCell ref="R42:S42"/>
    <mergeCell ref="R43:S43"/>
    <mergeCell ref="R44:S44"/>
    <mergeCell ref="H48:I48"/>
    <mergeCell ref="B54:J54"/>
    <mergeCell ref="K54:N54"/>
    <mergeCell ref="O54:W54"/>
    <mergeCell ref="B55:E55"/>
    <mergeCell ref="F55:H55"/>
    <mergeCell ref="K55:N55"/>
    <mergeCell ref="K59:K61"/>
    <mergeCell ref="L59:L61"/>
    <mergeCell ref="M59:M61"/>
    <mergeCell ref="N59:N61"/>
    <mergeCell ref="R59:S59"/>
    <mergeCell ref="R60:S60"/>
    <mergeCell ref="O55:S55"/>
    <mergeCell ref="T55:V55"/>
    <mergeCell ref="R56:S56"/>
    <mergeCell ref="R57:S57"/>
    <mergeCell ref="R58:S58"/>
    <mergeCell ref="A59:A61"/>
    <mergeCell ref="B59:B61"/>
    <mergeCell ref="R61:S61"/>
    <mergeCell ref="T72:U72"/>
    <mergeCell ref="M77:W77"/>
    <mergeCell ref="R67:S67"/>
    <mergeCell ref="R68:S68"/>
    <mergeCell ref="R69:S69"/>
    <mergeCell ref="R70:S70"/>
    <mergeCell ref="R71:S71"/>
    <mergeCell ref="R72:S72"/>
    <mergeCell ref="X72:Y72"/>
    <mergeCell ref="R35:S37"/>
    <mergeCell ref="R38:S38"/>
    <mergeCell ref="R24:S24"/>
    <mergeCell ref="R25:S25"/>
    <mergeCell ref="I33:I46"/>
    <mergeCell ref="R33:S33"/>
    <mergeCell ref="R34:S34"/>
    <mergeCell ref="J35:J37"/>
    <mergeCell ref="K35:K37"/>
    <mergeCell ref="R45:S45"/>
    <mergeCell ref="R46:S46"/>
    <mergeCell ref="R47:S47"/>
    <mergeCell ref="D48:E48"/>
    <mergeCell ref="R48:S48"/>
    <mergeCell ref="T48:U48"/>
    <mergeCell ref="X48:Y48"/>
    <mergeCell ref="E59:E61"/>
    <mergeCell ref="F59:F61"/>
    <mergeCell ref="D72:E72"/>
    <mergeCell ref="I59:I61"/>
    <mergeCell ref="J59:J61"/>
    <mergeCell ref="R62:S62"/>
    <mergeCell ref="R63:S63"/>
    <mergeCell ref="R64:S64"/>
    <mergeCell ref="R65:S65"/>
    <mergeCell ref="R66:S66"/>
    <mergeCell ref="C59:C61"/>
    <mergeCell ref="D59:D61"/>
    <mergeCell ref="A83:A84"/>
    <mergeCell ref="B83:B84"/>
    <mergeCell ref="C83:C84"/>
    <mergeCell ref="D83:D84"/>
    <mergeCell ref="E83:E84"/>
    <mergeCell ref="O78:R78"/>
    <mergeCell ref="P83:P84"/>
    <mergeCell ref="Q83:Q84"/>
    <mergeCell ref="R83:R84"/>
    <mergeCell ref="S83:S84"/>
    <mergeCell ref="T83:T84"/>
    <mergeCell ref="U83:U84"/>
    <mergeCell ref="V83:V84"/>
    <mergeCell ref="G59:G61"/>
    <mergeCell ref="H59:H61"/>
    <mergeCell ref="H72:I72"/>
    <mergeCell ref="B77:L77"/>
    <mergeCell ref="B78:E78"/>
    <mergeCell ref="F78:H78"/>
    <mergeCell ref="T78:V78"/>
    <mergeCell ref="I155:I158"/>
    <mergeCell ref="J155:J158"/>
    <mergeCell ref="M155:M158"/>
    <mergeCell ref="A155:A158"/>
    <mergeCell ref="B155:B158"/>
    <mergeCell ref="C155:C158"/>
    <mergeCell ref="E155:E158"/>
    <mergeCell ref="F155:F158"/>
    <mergeCell ref="G155:G158"/>
    <mergeCell ref="H155:H158"/>
    <mergeCell ref="I166:I168"/>
    <mergeCell ref="J166:J168"/>
    <mergeCell ref="M166:M168"/>
    <mergeCell ref="H171:I171"/>
    <mergeCell ref="A172:I172"/>
    <mergeCell ref="B173:F173"/>
    <mergeCell ref="G173:I173"/>
    <mergeCell ref="B174:E174"/>
    <mergeCell ref="A190:I190"/>
    <mergeCell ref="B191:F191"/>
    <mergeCell ref="G191:I191"/>
    <mergeCell ref="B192:E192"/>
    <mergeCell ref="A166:A168"/>
    <mergeCell ref="B166:B168"/>
    <mergeCell ref="C166:C168"/>
    <mergeCell ref="E166:E168"/>
    <mergeCell ref="F166:F168"/>
    <mergeCell ref="G166:G168"/>
    <mergeCell ref="H166:H16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2">
      <c r="A2" s="51" t="s">
        <v>157</v>
      </c>
      <c r="B2" s="51">
        <v>98624.23</v>
      </c>
    </row>
    <row r="3">
      <c r="A3" s="51" t="s">
        <v>158</v>
      </c>
      <c r="B3" s="51">
        <v>98985.22</v>
      </c>
    </row>
    <row r="4">
      <c r="A4" s="51" t="s">
        <v>159</v>
      </c>
      <c r="B4" s="51">
        <v>96279.23</v>
      </c>
    </row>
    <row r="5">
      <c r="A5" s="51" t="s">
        <v>160</v>
      </c>
      <c r="B5" s="51">
        <v>98354.21</v>
      </c>
    </row>
    <row r="6">
      <c r="A6" s="51" t="s">
        <v>161</v>
      </c>
      <c r="B6" s="51">
        <v>97501.84</v>
      </c>
    </row>
    <row r="7">
      <c r="A7" s="51" t="s">
        <v>162</v>
      </c>
      <c r="B7" s="51">
        <v>97885.67</v>
      </c>
    </row>
    <row r="8">
      <c r="A8" s="51" t="s">
        <v>163</v>
      </c>
      <c r="B8" s="51">
        <v>96586.57</v>
      </c>
    </row>
    <row r="9">
      <c r="A9" s="51" t="s">
        <v>164</v>
      </c>
      <c r="B9" s="47">
        <v>97401.7</v>
      </c>
    </row>
    <row r="10">
      <c r="A10" s="51" t="s">
        <v>165</v>
      </c>
      <c r="B10" s="51">
        <v>98922.21</v>
      </c>
    </row>
    <row r="11">
      <c r="A11" s="51" t="s">
        <v>166</v>
      </c>
      <c r="B11" s="51">
        <v>99064.39</v>
      </c>
    </row>
    <row r="12">
      <c r="A12" s="51" t="s">
        <v>167</v>
      </c>
      <c r="B12" s="51">
        <v>98605.76</v>
      </c>
    </row>
    <row r="13">
      <c r="A13" s="51" t="s">
        <v>168</v>
      </c>
      <c r="B13" s="51">
        <v>99114.95</v>
      </c>
    </row>
    <row r="14">
      <c r="A14" s="51" t="s">
        <v>169</v>
      </c>
      <c r="B14" s="51">
        <v>99064.49</v>
      </c>
    </row>
    <row r="15">
      <c r="A15" s="51" t="s">
        <v>170</v>
      </c>
      <c r="B15" s="51">
        <v>100668.73</v>
      </c>
    </row>
    <row r="16">
      <c r="A16" s="51" t="s">
        <v>171</v>
      </c>
      <c r="B16" s="51">
        <v>99908.92</v>
      </c>
    </row>
    <row r="17">
      <c r="A17" s="51" t="s">
        <v>172</v>
      </c>
      <c r="B17" s="51">
        <v>100110.32</v>
      </c>
    </row>
    <row r="18">
      <c r="A18" s="51" t="s">
        <v>173</v>
      </c>
      <c r="B18" s="51">
        <v>102335.12</v>
      </c>
    </row>
    <row r="19">
      <c r="A19" s="51" t="s">
        <v>174</v>
      </c>
      <c r="B19" s="51">
        <v>101236.12</v>
      </c>
    </row>
    <row r="20">
      <c r="A20" s="51" t="s">
        <v>175</v>
      </c>
      <c r="B20" s="51">
        <v>101167.52</v>
      </c>
    </row>
    <row r="21">
      <c r="A21" s="51" t="s">
        <v>176</v>
      </c>
      <c r="B21" s="51">
        <v>102138.95</v>
      </c>
    </row>
    <row r="22">
      <c r="A22" s="51" t="s">
        <v>177</v>
      </c>
      <c r="B22" s="51">
        <v>103496.03</v>
      </c>
    </row>
    <row r="23">
      <c r="A23" s="51" t="s">
        <v>178</v>
      </c>
      <c r="B23" s="51">
        <v>101048.08</v>
      </c>
    </row>
    <row r="24">
      <c r="A24" s="51" t="s">
        <v>179</v>
      </c>
      <c r="B24" s="51">
        <v>102420.19</v>
      </c>
    </row>
    <row r="25">
      <c r="A25" s="51" t="s">
        <v>180</v>
      </c>
      <c r="B25" s="51">
        <v>98544.37</v>
      </c>
    </row>
    <row r="26">
      <c r="A26" s="51" t="s">
        <v>181</v>
      </c>
      <c r="B26" s="51">
        <v>100202.88</v>
      </c>
    </row>
    <row r="27">
      <c r="A27" s="51" t="s">
        <v>182</v>
      </c>
      <c r="B27" s="47">
        <v>99633.5</v>
      </c>
    </row>
    <row r="28">
      <c r="A28" s="51" t="s">
        <v>183</v>
      </c>
      <c r="B28" s="51">
        <v>100527.48</v>
      </c>
    </row>
    <row r="29">
      <c r="A29" s="51" t="s">
        <v>184</v>
      </c>
      <c r="B29" s="51">
        <v>100168.62</v>
      </c>
    </row>
    <row r="30">
      <c r="A30" s="51" t="s">
        <v>185</v>
      </c>
      <c r="B30" s="51">
        <v>101768.53</v>
      </c>
    </row>
    <row r="31">
      <c r="A31" s="51" t="s">
        <v>186</v>
      </c>
      <c r="B31" s="51">
        <v>96564.44</v>
      </c>
    </row>
    <row r="32">
      <c r="A32" s="51" t="s">
        <v>187</v>
      </c>
      <c r="B32" s="51">
        <v>97783.34</v>
      </c>
    </row>
    <row r="33">
      <c r="A33" s="51" t="s">
        <v>188</v>
      </c>
      <c r="B33" s="51">
        <v>97645.98</v>
      </c>
    </row>
    <row r="34">
      <c r="A34" s="51" t="s">
        <v>189</v>
      </c>
      <c r="B34" s="51">
        <v>96689.42</v>
      </c>
    </row>
    <row r="35">
      <c r="A35" s="51" t="s">
        <v>190</v>
      </c>
      <c r="B35" s="51">
        <v>99369.45</v>
      </c>
    </row>
    <row r="36">
      <c r="A36" s="51" t="s">
        <v>191</v>
      </c>
      <c r="B36" s="51">
        <v>98451.75</v>
      </c>
    </row>
    <row r="37">
      <c r="A37" s="51" t="s">
        <v>192</v>
      </c>
      <c r="B37" s="51">
        <v>99451.75</v>
      </c>
    </row>
    <row r="38">
      <c r="A38" s="51" t="s">
        <v>193</v>
      </c>
      <c r="B38" s="51">
        <v>100320.51</v>
      </c>
    </row>
    <row r="39">
      <c r="A39" s="51" t="s">
        <v>194</v>
      </c>
      <c r="B39" s="51">
        <v>100725.6</v>
      </c>
    </row>
    <row r="40">
      <c r="A40" s="51" t="s">
        <v>195</v>
      </c>
      <c r="B40" s="51">
        <v>102564.16</v>
      </c>
    </row>
    <row r="41">
      <c r="A41" s="51" t="s">
        <v>196</v>
      </c>
      <c r="B41" s="51">
        <v>102668.14</v>
      </c>
    </row>
    <row r="42">
      <c r="A42" s="51" t="s">
        <v>197</v>
      </c>
      <c r="B42" s="51">
        <v>102294.71</v>
      </c>
    </row>
    <row r="43">
      <c r="A43" s="51" t="s">
        <v>198</v>
      </c>
      <c r="B43" s="51">
        <v>103661.22</v>
      </c>
    </row>
    <row r="44">
      <c r="A44" s="51" t="s">
        <v>199</v>
      </c>
      <c r="B44" s="51">
        <v>102835.32</v>
      </c>
    </row>
    <row r="45">
      <c r="A45" s="51" t="s">
        <v>200</v>
      </c>
      <c r="B45" s="51">
        <v>103266.47</v>
      </c>
    </row>
    <row r="46">
      <c r="A46" s="51" t="s">
        <v>201</v>
      </c>
      <c r="B46" s="51">
        <v>101608.27</v>
      </c>
    </row>
    <row r="47">
      <c r="A47" s="51" t="s">
        <v>202</v>
      </c>
      <c r="B47" s="51">
        <v>95090.35</v>
      </c>
    </row>
    <row r="48">
      <c r="A48" s="51" t="s">
        <v>203</v>
      </c>
      <c r="B48" s="51">
        <v>94129.83</v>
      </c>
    </row>
    <row r="49">
      <c r="A49" s="51" t="s">
        <v>204</v>
      </c>
      <c r="B49" s="51">
        <v>95811.32</v>
      </c>
    </row>
    <row r="50">
      <c r="A50" s="51" t="s">
        <v>205</v>
      </c>
      <c r="B50" s="51">
        <v>95222.89</v>
      </c>
    </row>
    <row r="51">
      <c r="A51" s="51" t="s">
        <v>206</v>
      </c>
      <c r="B51" s="51">
        <v>95738.15</v>
      </c>
    </row>
    <row r="52">
      <c r="A52" s="51" t="s">
        <v>207</v>
      </c>
      <c r="B52" s="51">
        <v>95119.73</v>
      </c>
    </row>
    <row r="53">
      <c r="A53" s="51" t="s">
        <v>208</v>
      </c>
      <c r="B53" s="51">
        <v>92957.53</v>
      </c>
    </row>
    <row r="54">
      <c r="A54" s="51" t="s">
        <v>209</v>
      </c>
      <c r="B54" s="51">
        <v>93150.42</v>
      </c>
    </row>
    <row r="55">
      <c r="A55" s="51" t="s">
        <v>210</v>
      </c>
      <c r="B55" s="51">
        <v>92550.79</v>
      </c>
    </row>
    <row r="56">
      <c r="A56" s="51" t="s">
        <v>211</v>
      </c>
      <c r="B56" s="51">
        <v>93958.37</v>
      </c>
    </row>
    <row r="57">
      <c r="A57" s="51" t="s">
        <v>212</v>
      </c>
      <c r="B57" s="51">
        <v>84429.89</v>
      </c>
    </row>
    <row r="58">
      <c r="A58" s="51" t="s">
        <v>213</v>
      </c>
      <c r="B58" s="51">
        <v>82410.23</v>
      </c>
    </row>
    <row r="59">
      <c r="A59" s="51" t="s">
        <v>214</v>
      </c>
      <c r="B59" s="51">
        <v>83816.78</v>
      </c>
    </row>
    <row r="60">
      <c r="A60" s="51" t="s">
        <v>215</v>
      </c>
      <c r="B60" s="51">
        <v>78860.05</v>
      </c>
    </row>
    <row r="61">
      <c r="A61" s="51" t="s">
        <v>216</v>
      </c>
      <c r="B61" s="51">
        <v>80306.65</v>
      </c>
    </row>
    <row r="62">
      <c r="A62" s="51" t="s">
        <v>217</v>
      </c>
      <c r="B62" s="51">
        <v>80373.76</v>
      </c>
    </row>
    <row r="63">
      <c r="A63" s="51" t="s">
        <v>218</v>
      </c>
      <c r="B63" s="51">
        <v>78667.36</v>
      </c>
    </row>
    <row r="64">
      <c r="A64" s="51" t="s">
        <v>219</v>
      </c>
      <c r="B64" s="51">
        <v>78658.86</v>
      </c>
    </row>
    <row r="65">
      <c r="A65" s="51" t="s">
        <v>219</v>
      </c>
      <c r="B65" s="51">
        <v>80040.91</v>
      </c>
    </row>
    <row r="66">
      <c r="A66" s="51" t="s">
        <v>220</v>
      </c>
      <c r="B66" s="51">
        <v>77600.32</v>
      </c>
    </row>
    <row r="67">
      <c r="A67" s="51" t="s">
        <v>221</v>
      </c>
      <c r="B67" s="51">
        <v>77527.37</v>
      </c>
    </row>
    <row r="68">
      <c r="A68" s="51" t="s">
        <v>222</v>
      </c>
      <c r="B68" s="51">
        <v>77959.18</v>
      </c>
    </row>
    <row r="69">
      <c r="A69" s="51" t="s">
        <v>223</v>
      </c>
      <c r="B69" s="51">
        <v>77543.92</v>
      </c>
    </row>
    <row r="70">
      <c r="A70" s="51" t="s">
        <v>224</v>
      </c>
      <c r="B70" s="51">
        <v>77503.1</v>
      </c>
    </row>
    <row r="71">
      <c r="A71" s="51" t="s">
        <v>225</v>
      </c>
      <c r="B71" s="51">
        <v>78909.65</v>
      </c>
    </row>
    <row r="72">
      <c r="A72" s="51" t="s">
        <v>226</v>
      </c>
      <c r="B72" s="51">
        <v>78970.57</v>
      </c>
    </row>
    <row r="73">
      <c r="A73" s="51" t="s">
        <v>227</v>
      </c>
      <c r="B73" s="51">
        <v>76721.71</v>
      </c>
    </row>
    <row r="74">
      <c r="A74" s="51" t="s">
        <v>228</v>
      </c>
      <c r="B74" s="51">
        <v>78238.83</v>
      </c>
    </row>
    <row r="75">
      <c r="A75" s="51" t="s">
        <v>229</v>
      </c>
      <c r="B75" s="51">
        <v>78473.26</v>
      </c>
    </row>
    <row r="76">
      <c r="A76" s="51" t="s">
        <v>230</v>
      </c>
      <c r="B76" s="51">
        <v>75627.94</v>
      </c>
    </row>
    <row r="77">
      <c r="A77" s="51" t="s">
        <v>231</v>
      </c>
      <c r="B77" s="51">
        <v>76998.22</v>
      </c>
    </row>
    <row r="78">
      <c r="A78" s="51" t="s">
        <v>232</v>
      </c>
      <c r="B78" s="51">
        <v>76889.41</v>
      </c>
    </row>
    <row r="79">
      <c r="A79" s="51" t="s">
        <v>233</v>
      </c>
      <c r="B79" s="51">
        <v>77399.13</v>
      </c>
    </row>
    <row r="80">
      <c r="A80" s="51" t="s">
        <v>234</v>
      </c>
      <c r="B80" s="51">
        <v>75999.75</v>
      </c>
    </row>
    <row r="81">
      <c r="A81" s="51" t="s">
        <v>235</v>
      </c>
      <c r="B81" s="51">
        <v>78477.32</v>
      </c>
    </row>
    <row r="82">
      <c r="A82" s="51" t="s">
        <v>236</v>
      </c>
      <c r="B82" s="51">
        <v>78160.63</v>
      </c>
    </row>
    <row r="83">
      <c r="A83" s="51" t="s">
        <v>237</v>
      </c>
      <c r="B83" s="51">
        <v>78721.12</v>
      </c>
    </row>
    <row r="84">
      <c r="A84" s="51" t="s">
        <v>238</v>
      </c>
      <c r="B84" s="51">
        <v>78835.9</v>
      </c>
    </row>
    <row r="85">
      <c r="A85" s="51" t="s">
        <v>239</v>
      </c>
      <c r="B85" s="51">
        <v>78599.12</v>
      </c>
    </row>
    <row r="86">
      <c r="A86" s="51" t="s">
        <v>239</v>
      </c>
      <c r="B86" s="51">
        <v>80218.45</v>
      </c>
    </row>
    <row r="87">
      <c r="A87" s="51" t="s">
        <v>240</v>
      </c>
      <c r="B87" s="51">
        <v>80952.66</v>
      </c>
    </row>
    <row r="88">
      <c r="A88" s="51" t="s">
        <v>241</v>
      </c>
      <c r="B88" s="51">
        <v>80701.09</v>
      </c>
    </row>
    <row r="89">
      <c r="A89" s="51" t="s">
        <v>242</v>
      </c>
      <c r="B89" s="51">
        <v>81979.07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2">
      <c r="A2" s="626" t="s">
        <v>243</v>
      </c>
      <c r="B2" s="627" t="s">
        <v>43</v>
      </c>
      <c r="C2" s="627" t="s">
        <v>244</v>
      </c>
      <c r="F2" s="51" t="s">
        <v>245</v>
      </c>
    </row>
    <row r="3">
      <c r="A3" s="628" t="s">
        <v>246</v>
      </c>
      <c r="B3" s="47">
        <v>20.0</v>
      </c>
      <c r="C3" s="47">
        <v>20.0</v>
      </c>
      <c r="F3" s="51" t="s">
        <v>247</v>
      </c>
      <c r="G3" s="51">
        <v>1938.96</v>
      </c>
    </row>
    <row r="4">
      <c r="B4" s="47">
        <v>80.0</v>
      </c>
      <c r="C4" s="47">
        <v>80.0</v>
      </c>
    </row>
    <row r="5">
      <c r="A5" s="51" t="s">
        <v>248</v>
      </c>
      <c r="B5" s="47">
        <v>11.5</v>
      </c>
      <c r="C5" s="47">
        <v>10.0</v>
      </c>
    </row>
    <row r="6">
      <c r="A6" s="51" t="s">
        <v>249</v>
      </c>
      <c r="B6" s="47">
        <v>25.0</v>
      </c>
      <c r="C6" s="622"/>
    </row>
    <row r="7">
      <c r="A7" s="51" t="s">
        <v>250</v>
      </c>
      <c r="B7" s="47">
        <v>15.0</v>
      </c>
      <c r="C7" s="622"/>
    </row>
    <row r="8">
      <c r="A8" s="51" t="s">
        <v>251</v>
      </c>
      <c r="B8" s="47">
        <v>50.0</v>
      </c>
      <c r="C8" s="622"/>
    </row>
    <row r="9">
      <c r="A9" s="51" t="s">
        <v>252</v>
      </c>
      <c r="B9" s="47">
        <v>15.0</v>
      </c>
      <c r="C9" s="622"/>
    </row>
    <row r="10">
      <c r="A10" s="51" t="s">
        <v>253</v>
      </c>
      <c r="B10" s="47">
        <v>10.0</v>
      </c>
      <c r="C10" s="622"/>
    </row>
    <row r="11">
      <c r="A11" s="51" t="s">
        <v>254</v>
      </c>
      <c r="B11" s="47">
        <v>20.0</v>
      </c>
      <c r="C11" s="622"/>
    </row>
    <row r="12">
      <c r="A12" s="51" t="s">
        <v>255</v>
      </c>
      <c r="B12" s="47">
        <v>15.0</v>
      </c>
      <c r="C12" s="622"/>
    </row>
    <row r="13">
      <c r="A13" s="51" t="s">
        <v>256</v>
      </c>
      <c r="B13" s="47">
        <v>5.0</v>
      </c>
      <c r="C13" s="622"/>
    </row>
    <row r="14">
      <c r="A14" s="51" t="s">
        <v>257</v>
      </c>
      <c r="B14" s="47">
        <v>10.0</v>
      </c>
      <c r="C14" s="622"/>
      <c r="D14" s="51" t="s">
        <v>258</v>
      </c>
    </row>
    <row r="15">
      <c r="A15" s="51" t="s">
        <v>259</v>
      </c>
      <c r="B15" s="47">
        <v>15.0</v>
      </c>
      <c r="C15" s="622"/>
    </row>
    <row r="16">
      <c r="A16" s="629" t="s">
        <v>260</v>
      </c>
      <c r="B16" s="630">
        <f>B3+B4+B5+B6+B7+B8+B9+B10+B11+B12+B13+B14+B15</f>
        <v>291.5</v>
      </c>
      <c r="C16" s="630">
        <f>C3+C4+C5</f>
        <v>110</v>
      </c>
    </row>
    <row r="17">
      <c r="A17" s="51"/>
    </row>
    <row r="18">
      <c r="A18" s="51" t="s">
        <v>261</v>
      </c>
      <c r="B18" s="47">
        <v>10.0</v>
      </c>
      <c r="C18" s="622"/>
    </row>
    <row r="19">
      <c r="A19" s="51" t="s">
        <v>262</v>
      </c>
      <c r="B19" s="47">
        <v>10.0</v>
      </c>
      <c r="C19" s="622"/>
    </row>
    <row r="20">
      <c r="A20" s="51" t="s">
        <v>263</v>
      </c>
      <c r="B20" s="47">
        <v>10.0</v>
      </c>
      <c r="C20" s="622"/>
    </row>
    <row r="21">
      <c r="A21" s="51" t="s">
        <v>264</v>
      </c>
      <c r="B21" s="47">
        <v>10.0</v>
      </c>
      <c r="C21" s="622"/>
    </row>
    <row r="22">
      <c r="A22" s="51" t="s">
        <v>265</v>
      </c>
      <c r="B22" s="47">
        <v>20.0</v>
      </c>
      <c r="C22" s="622"/>
    </row>
    <row r="23">
      <c r="A23" s="51" t="s">
        <v>266</v>
      </c>
      <c r="B23" s="47">
        <v>10.0</v>
      </c>
      <c r="C23" s="622"/>
    </row>
    <row r="24">
      <c r="A24" s="51" t="s">
        <v>267</v>
      </c>
      <c r="B24" s="47">
        <v>15.0</v>
      </c>
      <c r="C24" s="622"/>
    </row>
    <row r="25">
      <c r="A25" s="51" t="s">
        <v>268</v>
      </c>
      <c r="B25" s="47">
        <v>40.0</v>
      </c>
      <c r="C25" s="622"/>
      <c r="D25" s="51" t="s">
        <v>269</v>
      </c>
    </row>
    <row r="26">
      <c r="A26" s="51" t="s">
        <v>270</v>
      </c>
      <c r="B26" s="47">
        <v>10.0</v>
      </c>
      <c r="D26" s="51" t="s">
        <v>271</v>
      </c>
    </row>
    <row r="27">
      <c r="A27" s="51" t="s">
        <v>272</v>
      </c>
      <c r="B27" s="47">
        <v>22.0</v>
      </c>
    </row>
    <row r="28">
      <c r="A28" s="51" t="s">
        <v>273</v>
      </c>
      <c r="B28" s="47">
        <v>18.0</v>
      </c>
    </row>
    <row r="29">
      <c r="B29" s="47">
        <v>0.0</v>
      </c>
    </row>
    <row r="30">
      <c r="B30" s="47">
        <v>0.0</v>
      </c>
    </row>
    <row r="31">
      <c r="B31" s="47">
        <v>0.0</v>
      </c>
    </row>
    <row r="32">
      <c r="B32" s="47">
        <v>0.0</v>
      </c>
    </row>
    <row r="33">
      <c r="B33" s="47">
        <v>0.0</v>
      </c>
    </row>
    <row r="34">
      <c r="A34" s="51" t="s">
        <v>274</v>
      </c>
      <c r="B34" s="47">
        <v>0.0</v>
      </c>
      <c r="C34" s="51">
        <v>7.0</v>
      </c>
      <c r="D34" s="51" t="s">
        <v>275</v>
      </c>
    </row>
    <row r="35">
      <c r="B35" s="47">
        <v>0.0</v>
      </c>
    </row>
    <row r="36">
      <c r="B36" s="47">
        <v>0.0</v>
      </c>
      <c r="G36" s="631" t="s">
        <v>276</v>
      </c>
    </row>
    <row r="37">
      <c r="B37" s="47">
        <v>0.0</v>
      </c>
    </row>
    <row r="38">
      <c r="B38" s="47">
        <v>0.0</v>
      </c>
    </row>
    <row r="39">
      <c r="A39" s="51" t="s">
        <v>277</v>
      </c>
      <c r="B39" s="47">
        <v>25.0</v>
      </c>
    </row>
    <row r="40">
      <c r="A40" s="51" t="s">
        <v>278</v>
      </c>
      <c r="B40" s="632">
        <v>20.0</v>
      </c>
    </row>
    <row r="41">
      <c r="B41" s="47">
        <v>0.0</v>
      </c>
    </row>
    <row r="42">
      <c r="B42" s="47">
        <v>0.0</v>
      </c>
    </row>
    <row r="43">
      <c r="B43" s="47">
        <v>0.0</v>
      </c>
    </row>
    <row r="44">
      <c r="B44" s="47">
        <v>0.0</v>
      </c>
    </row>
    <row r="45">
      <c r="B45" s="47">
        <v>0.0</v>
      </c>
    </row>
    <row r="46">
      <c r="B46" s="47">
        <v>0.0</v>
      </c>
    </row>
    <row r="47">
      <c r="B47" s="47">
        <v>0.0</v>
      </c>
    </row>
    <row r="48">
      <c r="B48" s="47">
        <v>0.0</v>
      </c>
    </row>
    <row r="49">
      <c r="B49" s="47">
        <v>0.0</v>
      </c>
    </row>
    <row r="50">
      <c r="B50" s="47">
        <v>0.0</v>
      </c>
    </row>
    <row r="51">
      <c r="B51" s="47">
        <v>0.0</v>
      </c>
    </row>
    <row r="56">
      <c r="A56" s="633">
        <v>45574.0</v>
      </c>
      <c r="C56" s="51">
        <v>20.0</v>
      </c>
      <c r="D56" s="51" t="s">
        <v>258</v>
      </c>
    </row>
    <row r="57">
      <c r="A57" s="633">
        <v>45602.0</v>
      </c>
      <c r="D57" s="51" t="s">
        <v>279</v>
      </c>
    </row>
  </sheetData>
  <mergeCells count="1">
    <mergeCell ref="A3:A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2.43"/>
    <col customWidth="1" min="2" max="2" width="13.14"/>
    <col customWidth="1" min="3" max="4" width="14.86"/>
    <col customWidth="1" min="5" max="5" width="12.29"/>
    <col customWidth="1" min="6" max="6" width="10.71"/>
    <col customWidth="1" min="7" max="7" width="4.43"/>
    <col customWidth="1" min="8" max="8" width="41.0"/>
    <col customWidth="1" min="9" max="9" width="14.14"/>
    <col customWidth="1" min="10" max="10" width="13.86"/>
    <col customWidth="1" min="11" max="11" width="13.0"/>
    <col customWidth="1" min="12" max="12" width="12.0"/>
    <col customWidth="1" min="13" max="13" width="10.29"/>
  </cols>
  <sheetData>
    <row r="2">
      <c r="A2" s="634" t="s">
        <v>280</v>
      </c>
    </row>
    <row r="3">
      <c r="A3" s="597" t="s">
        <v>281</v>
      </c>
      <c r="G3" s="635"/>
      <c r="H3" s="597" t="s">
        <v>282</v>
      </c>
    </row>
    <row r="4">
      <c r="A4" s="429"/>
      <c r="B4" s="429"/>
      <c r="C4" s="429"/>
      <c r="D4" s="429"/>
      <c r="F4" s="636"/>
      <c r="G4" s="635"/>
      <c r="H4" s="429"/>
      <c r="I4" s="429"/>
      <c r="J4" s="429"/>
      <c r="K4" s="429"/>
      <c r="L4" s="249"/>
      <c r="M4" s="636"/>
    </row>
    <row r="5">
      <c r="A5" s="429" t="s">
        <v>283</v>
      </c>
      <c r="B5" s="429" t="s">
        <v>284</v>
      </c>
      <c r="C5" s="429" t="s">
        <v>285</v>
      </c>
      <c r="D5" s="429" t="s">
        <v>286</v>
      </c>
      <c r="F5" s="636" t="s">
        <v>287</v>
      </c>
      <c r="G5" s="635"/>
      <c r="H5" s="429"/>
      <c r="I5" s="429"/>
      <c r="J5" s="429"/>
      <c r="K5" s="429"/>
      <c r="L5" s="249"/>
      <c r="M5" s="636"/>
    </row>
    <row r="6">
      <c r="A6" s="51" t="s">
        <v>288</v>
      </c>
      <c r="B6" s="47"/>
      <c r="C6" s="47"/>
      <c r="D6" s="47"/>
      <c r="E6" s="622">
        <f t="shared" ref="E6:E13" si="1">B6+C6+D6</f>
        <v>0</v>
      </c>
      <c r="F6" s="622">
        <f t="shared" ref="F6:F10" si="2">E6-E15</f>
        <v>0</v>
      </c>
      <c r="G6" s="635"/>
      <c r="H6" s="429"/>
      <c r="I6" s="429"/>
      <c r="J6" s="429"/>
      <c r="K6" s="429"/>
      <c r="L6" s="249"/>
      <c r="M6" s="636"/>
    </row>
    <row r="7">
      <c r="A7" s="51" t="s">
        <v>289</v>
      </c>
      <c r="B7" s="47"/>
      <c r="C7" s="47"/>
      <c r="D7" s="47"/>
      <c r="E7" s="622">
        <f t="shared" si="1"/>
        <v>0</v>
      </c>
      <c r="F7" s="622">
        <f t="shared" si="2"/>
        <v>-858</v>
      </c>
      <c r="G7" s="635"/>
      <c r="H7" s="429"/>
      <c r="I7" s="429"/>
      <c r="J7" s="429"/>
      <c r="K7" s="429"/>
      <c r="L7" s="249"/>
      <c r="M7" s="636"/>
    </row>
    <row r="8">
      <c r="A8" s="51" t="s">
        <v>290</v>
      </c>
      <c r="E8" s="622">
        <f t="shared" si="1"/>
        <v>0</v>
      </c>
      <c r="F8" s="622">
        <f t="shared" si="2"/>
        <v>-465.51</v>
      </c>
      <c r="G8" s="635"/>
      <c r="H8" s="429"/>
      <c r="I8" s="429"/>
      <c r="J8" s="429"/>
      <c r="K8" s="429"/>
      <c r="L8" s="249"/>
      <c r="M8" s="636"/>
    </row>
    <row r="9">
      <c r="A9" s="51" t="s">
        <v>291</v>
      </c>
      <c r="B9" s="47"/>
      <c r="C9" s="47"/>
      <c r="D9" s="47"/>
      <c r="E9" s="622">
        <f t="shared" si="1"/>
        <v>0</v>
      </c>
      <c r="F9" s="622">
        <f t="shared" si="2"/>
        <v>-989.34</v>
      </c>
      <c r="G9" s="635"/>
      <c r="H9" s="429"/>
      <c r="I9" s="429"/>
      <c r="J9" s="429"/>
      <c r="K9" s="429"/>
      <c r="L9" s="249"/>
      <c r="M9" s="636"/>
    </row>
    <row r="10">
      <c r="A10" s="51" t="s">
        <v>292</v>
      </c>
      <c r="B10" s="637"/>
      <c r="C10" s="638"/>
      <c r="D10" s="638"/>
      <c r="E10" s="639">
        <f t="shared" si="1"/>
        <v>0</v>
      </c>
      <c r="F10" s="622">
        <f t="shared" si="2"/>
        <v>-445.56</v>
      </c>
      <c r="G10" s="635"/>
      <c r="H10" s="429"/>
      <c r="I10" s="429"/>
      <c r="J10" s="429"/>
      <c r="K10" s="429"/>
      <c r="L10" s="249"/>
      <c r="M10" s="636"/>
    </row>
    <row r="11">
      <c r="A11" s="51" t="s">
        <v>293</v>
      </c>
      <c r="B11" s="640"/>
      <c r="C11" s="640"/>
      <c r="D11" s="640"/>
      <c r="E11" s="639">
        <f t="shared" si="1"/>
        <v>0</v>
      </c>
      <c r="G11" s="635"/>
      <c r="H11" s="429"/>
      <c r="I11" s="429"/>
      <c r="J11" s="429"/>
      <c r="K11" s="429"/>
      <c r="L11" s="249"/>
      <c r="M11" s="636"/>
    </row>
    <row r="12">
      <c r="A12" s="51" t="s">
        <v>294</v>
      </c>
      <c r="B12" s="637">
        <v>0.0</v>
      </c>
      <c r="C12" s="637">
        <v>0.0</v>
      </c>
      <c r="D12" s="637">
        <v>0.0</v>
      </c>
      <c r="E12" s="639">
        <f t="shared" si="1"/>
        <v>0</v>
      </c>
      <c r="F12" s="622">
        <f t="shared" ref="F12:F13" si="4">E12-E21</f>
        <v>-4723.35</v>
      </c>
      <c r="G12" s="635"/>
      <c r="H12" s="429"/>
      <c r="I12" s="429"/>
      <c r="J12" s="429"/>
      <c r="K12" s="429"/>
      <c r="L12" s="249"/>
      <c r="M12" s="636"/>
    </row>
    <row r="13">
      <c r="A13" s="51" t="s">
        <v>295</v>
      </c>
      <c r="B13" s="622">
        <f t="shared" ref="B13:D13" si="3">B6+B7+B8+B9+B10+B12</f>
        <v>0</v>
      </c>
      <c r="C13" s="622">
        <f t="shared" si="3"/>
        <v>0</v>
      </c>
      <c r="D13" s="622">
        <f t="shared" si="3"/>
        <v>0</v>
      </c>
      <c r="E13" s="641">
        <f t="shared" si="1"/>
        <v>0</v>
      </c>
      <c r="F13" s="622">
        <f t="shared" si="4"/>
        <v>0</v>
      </c>
      <c r="G13" s="635"/>
      <c r="H13" s="429"/>
      <c r="I13" s="429"/>
      <c r="J13" s="429"/>
      <c r="K13" s="429"/>
      <c r="L13" s="249"/>
      <c r="M13" s="636"/>
    </row>
    <row r="14">
      <c r="A14" s="429"/>
      <c r="B14" s="429"/>
      <c r="C14" s="429"/>
      <c r="D14" s="429"/>
      <c r="F14" s="636"/>
      <c r="G14" s="635"/>
      <c r="H14" s="429"/>
      <c r="I14" s="429"/>
      <c r="J14" s="429"/>
      <c r="K14" s="429"/>
      <c r="L14" s="249"/>
      <c r="M14" s="636"/>
    </row>
    <row r="15">
      <c r="A15" s="429" t="s">
        <v>283</v>
      </c>
      <c r="B15" s="429" t="s">
        <v>296</v>
      </c>
      <c r="C15" s="429" t="s">
        <v>297</v>
      </c>
      <c r="D15" s="429" t="s">
        <v>298</v>
      </c>
      <c r="F15" s="636" t="s">
        <v>287</v>
      </c>
      <c r="G15" s="635"/>
      <c r="H15" s="429"/>
      <c r="I15" s="429"/>
      <c r="J15" s="429"/>
      <c r="K15" s="429"/>
      <c r="L15" s="249"/>
      <c r="M15" s="636"/>
    </row>
    <row r="16">
      <c r="A16" s="51" t="s">
        <v>288</v>
      </c>
      <c r="B16" s="47">
        <v>286.0</v>
      </c>
      <c r="C16" s="47">
        <v>286.0</v>
      </c>
      <c r="D16" s="47">
        <v>286.0</v>
      </c>
      <c r="E16" s="622">
        <f t="shared" ref="E16:E23" si="5">B16+C16+D16</f>
        <v>858</v>
      </c>
      <c r="F16" s="622">
        <f t="shared" ref="F16:F20" si="6">E16-E26</f>
        <v>-24</v>
      </c>
      <c r="G16" s="635"/>
      <c r="H16" s="429"/>
      <c r="I16" s="429"/>
      <c r="J16" s="429"/>
      <c r="K16" s="429"/>
      <c r="L16" s="249"/>
      <c r="M16" s="636"/>
    </row>
    <row r="17">
      <c r="A17" s="51" t="s">
        <v>289</v>
      </c>
      <c r="B17" s="47">
        <v>155.17</v>
      </c>
      <c r="C17" s="47">
        <v>155.17</v>
      </c>
      <c r="D17" s="47">
        <v>155.17</v>
      </c>
      <c r="E17" s="622">
        <f t="shared" si="5"/>
        <v>465.51</v>
      </c>
      <c r="F17" s="622">
        <f t="shared" si="6"/>
        <v>-23.49</v>
      </c>
      <c r="G17" s="635"/>
      <c r="H17" s="429"/>
      <c r="I17" s="429"/>
      <c r="J17" s="429"/>
      <c r="K17" s="429"/>
      <c r="L17" s="249"/>
      <c r="M17" s="636"/>
    </row>
    <row r="18">
      <c r="A18" s="51" t="s">
        <v>290</v>
      </c>
      <c r="B18" s="51">
        <v>329.78</v>
      </c>
      <c r="C18" s="51">
        <v>329.78</v>
      </c>
      <c r="D18" s="51">
        <v>329.78</v>
      </c>
      <c r="E18" s="622">
        <f t="shared" si="5"/>
        <v>989.34</v>
      </c>
      <c r="F18" s="622">
        <f t="shared" si="6"/>
        <v>0</v>
      </c>
      <c r="G18" s="635"/>
      <c r="H18" s="429"/>
      <c r="I18" s="429"/>
      <c r="J18" s="429"/>
      <c r="K18" s="429"/>
      <c r="L18" s="249"/>
      <c r="M18" s="636"/>
    </row>
    <row r="19">
      <c r="A19" s="51" t="s">
        <v>291</v>
      </c>
      <c r="B19" s="47">
        <v>148.52</v>
      </c>
      <c r="C19" s="47">
        <v>148.52</v>
      </c>
      <c r="D19" s="47">
        <v>148.52</v>
      </c>
      <c r="E19" s="622">
        <f t="shared" si="5"/>
        <v>445.56</v>
      </c>
      <c r="F19" s="622">
        <f t="shared" si="6"/>
        <v>0</v>
      </c>
      <c r="G19" s="635"/>
      <c r="H19" s="429"/>
      <c r="I19" s="429"/>
      <c r="J19" s="429"/>
      <c r="K19" s="429"/>
      <c r="L19" s="249"/>
      <c r="M19" s="636"/>
    </row>
    <row r="20">
      <c r="A20" s="51" t="s">
        <v>292</v>
      </c>
      <c r="B20" s="637">
        <v>1464.68</v>
      </c>
      <c r="C20" s="638">
        <v>1642.95</v>
      </c>
      <c r="D20" s="638">
        <v>1416.22</v>
      </c>
      <c r="E20" s="639">
        <f t="shared" si="5"/>
        <v>4523.85</v>
      </c>
      <c r="F20" s="622">
        <f t="shared" si="6"/>
        <v>123.92</v>
      </c>
      <c r="G20" s="635"/>
      <c r="H20" s="429"/>
      <c r="I20" s="429"/>
      <c r="J20" s="429"/>
      <c r="K20" s="429"/>
      <c r="L20" s="249"/>
      <c r="M20" s="636"/>
    </row>
    <row r="21">
      <c r="A21" s="51" t="s">
        <v>293</v>
      </c>
      <c r="B21" s="640">
        <v>1540.68</v>
      </c>
      <c r="C21" s="640">
        <v>1742.7</v>
      </c>
      <c r="D21" s="640">
        <v>1439.97</v>
      </c>
      <c r="E21" s="639">
        <f t="shared" si="5"/>
        <v>4723.35</v>
      </c>
      <c r="G21" s="635"/>
      <c r="H21" s="429"/>
      <c r="I21" s="429"/>
      <c r="J21" s="429"/>
      <c r="K21" s="429"/>
      <c r="L21" s="249"/>
      <c r="M21" s="636"/>
    </row>
    <row r="22">
      <c r="A22" s="51" t="s">
        <v>294</v>
      </c>
      <c r="B22" s="637">
        <v>0.0</v>
      </c>
      <c r="C22" s="637">
        <v>0.0</v>
      </c>
      <c r="D22" s="637">
        <v>0.0</v>
      </c>
      <c r="E22" s="639">
        <f t="shared" si="5"/>
        <v>0</v>
      </c>
      <c r="F22" s="622">
        <f t="shared" ref="F22:F23" si="8">E22-E32</f>
        <v>-1382.61</v>
      </c>
      <c r="G22" s="635"/>
      <c r="H22" s="429"/>
      <c r="I22" s="429"/>
      <c r="J22" s="429"/>
      <c r="K22" s="429"/>
      <c r="L22" s="249"/>
      <c r="M22" s="636"/>
    </row>
    <row r="23">
      <c r="A23" s="51" t="s">
        <v>295</v>
      </c>
      <c r="B23" s="622">
        <f t="shared" ref="B23:D23" si="7">B16+B17+B18+B19+B20+B22</f>
        <v>2384.15</v>
      </c>
      <c r="C23" s="622">
        <f t="shared" si="7"/>
        <v>2562.42</v>
      </c>
      <c r="D23" s="622">
        <f t="shared" si="7"/>
        <v>2335.69</v>
      </c>
      <c r="E23" s="641">
        <f t="shared" si="5"/>
        <v>7282.26</v>
      </c>
      <c r="F23" s="622">
        <f t="shared" si="8"/>
        <v>-1306.18</v>
      </c>
      <c r="G23" s="635"/>
      <c r="H23" s="429"/>
      <c r="I23" s="429"/>
      <c r="J23" s="429"/>
      <c r="K23" s="429"/>
      <c r="L23" s="249"/>
      <c r="M23" s="636"/>
    </row>
    <row r="24">
      <c r="A24" s="429"/>
      <c r="B24" s="429"/>
      <c r="C24" s="429"/>
      <c r="D24" s="429"/>
      <c r="F24" s="636"/>
      <c r="G24" s="635"/>
      <c r="H24" s="429"/>
      <c r="I24" s="429"/>
      <c r="J24" s="429"/>
      <c r="K24" s="429"/>
      <c r="L24" s="249"/>
      <c r="M24" s="636"/>
    </row>
    <row r="25">
      <c r="A25" s="429" t="s">
        <v>283</v>
      </c>
      <c r="B25" s="429" t="s">
        <v>299</v>
      </c>
      <c r="C25" s="429" t="s">
        <v>300</v>
      </c>
      <c r="D25" s="429" t="s">
        <v>301</v>
      </c>
      <c r="F25" s="636" t="s">
        <v>287</v>
      </c>
      <c r="G25" s="635"/>
      <c r="H25" s="429" t="s">
        <v>283</v>
      </c>
      <c r="I25" s="429" t="s">
        <v>302</v>
      </c>
      <c r="J25" s="429" t="s">
        <v>303</v>
      </c>
      <c r="K25" s="429" t="s">
        <v>304</v>
      </c>
      <c r="L25" s="249" t="s">
        <v>305</v>
      </c>
      <c r="M25" s="636" t="s">
        <v>287</v>
      </c>
    </row>
    <row r="26">
      <c r="A26" s="51" t="s">
        <v>288</v>
      </c>
      <c r="B26" s="47">
        <v>294.0</v>
      </c>
      <c r="C26" s="47">
        <v>294.0</v>
      </c>
      <c r="D26" s="47">
        <v>294.0</v>
      </c>
      <c r="E26" s="622">
        <f t="shared" ref="E26:E33" si="9">B26+C26+D26</f>
        <v>882</v>
      </c>
      <c r="F26" s="622">
        <f t="shared" ref="F26:F30" si="10">E26-E36</f>
        <v>-30</v>
      </c>
      <c r="G26" s="635"/>
      <c r="H26" s="51" t="s">
        <v>288</v>
      </c>
      <c r="I26" s="47"/>
      <c r="J26" s="47"/>
      <c r="K26" s="47"/>
      <c r="L26" s="622">
        <f t="shared" ref="L26:L30" si="11">I26+J26+K26</f>
        <v>0</v>
      </c>
      <c r="M26" t="str">
        <f t="shared" ref="M26:M27" si="12">L26-#REF!</f>
        <v>#REF!</v>
      </c>
    </row>
    <row r="27">
      <c r="A27" s="51" t="s">
        <v>289</v>
      </c>
      <c r="B27" s="47">
        <v>163.0</v>
      </c>
      <c r="C27" s="47">
        <v>163.0</v>
      </c>
      <c r="D27" s="47">
        <v>163.0</v>
      </c>
      <c r="E27" s="622">
        <f t="shared" si="9"/>
        <v>489</v>
      </c>
      <c r="F27" s="622">
        <f t="shared" si="10"/>
        <v>149.49</v>
      </c>
      <c r="G27" s="635"/>
      <c r="H27" s="51" t="s">
        <v>120</v>
      </c>
      <c r="I27" s="47"/>
      <c r="J27" s="47"/>
      <c r="K27" s="47"/>
      <c r="L27" s="622">
        <f t="shared" si="11"/>
        <v>0</v>
      </c>
      <c r="M27" t="str">
        <f t="shared" si="12"/>
        <v>#REF!</v>
      </c>
    </row>
    <row r="28">
      <c r="A28" s="51" t="s">
        <v>290</v>
      </c>
      <c r="B28" s="51">
        <v>329.78</v>
      </c>
      <c r="C28" s="51">
        <v>329.78</v>
      </c>
      <c r="D28" s="51">
        <v>329.78</v>
      </c>
      <c r="E28" s="622">
        <f t="shared" si="9"/>
        <v>989.34</v>
      </c>
      <c r="F28" s="622">
        <f t="shared" si="10"/>
        <v>51.72</v>
      </c>
      <c r="G28" s="635"/>
      <c r="H28" s="51" t="s">
        <v>289</v>
      </c>
      <c r="I28" s="47"/>
      <c r="J28" s="47"/>
      <c r="K28" s="47"/>
      <c r="L28" s="622">
        <f t="shared" si="11"/>
        <v>0</v>
      </c>
      <c r="M28" s="622" t="str">
        <f t="shared" ref="M28:M30" si="13">L28-L35</f>
        <v>#VALUE!</v>
      </c>
    </row>
    <row r="29">
      <c r="A29" s="51" t="s">
        <v>291</v>
      </c>
      <c r="B29" s="47">
        <v>148.52</v>
      </c>
      <c r="C29" s="47">
        <v>148.52</v>
      </c>
      <c r="D29" s="47">
        <v>148.52</v>
      </c>
      <c r="E29" s="622">
        <f t="shared" si="9"/>
        <v>445.56</v>
      </c>
      <c r="F29" s="622">
        <f t="shared" si="10"/>
        <v>19.59</v>
      </c>
      <c r="G29" s="635"/>
      <c r="H29" s="51" t="s">
        <v>306</v>
      </c>
      <c r="I29" s="638"/>
      <c r="J29" s="638"/>
      <c r="K29" s="638"/>
      <c r="L29">
        <f t="shared" si="11"/>
        <v>0</v>
      </c>
      <c r="M29" s="622">
        <f t="shared" si="13"/>
        <v>0</v>
      </c>
    </row>
    <row r="30">
      <c r="A30" s="51" t="s">
        <v>292</v>
      </c>
      <c r="B30" s="637">
        <v>1610.34</v>
      </c>
      <c r="C30" s="638">
        <v>1392.42</v>
      </c>
      <c r="D30" s="638">
        <v>1397.17</v>
      </c>
      <c r="E30" s="639">
        <f t="shared" si="9"/>
        <v>4399.93</v>
      </c>
      <c r="F30" s="622">
        <f t="shared" si="10"/>
        <v>420.07</v>
      </c>
      <c r="G30" s="635"/>
      <c r="I30" s="638"/>
      <c r="J30" s="638"/>
      <c r="K30" s="638"/>
      <c r="L30" s="639">
        <f t="shared" si="11"/>
        <v>0</v>
      </c>
      <c r="M30" s="622">
        <f t="shared" si="13"/>
        <v>0</v>
      </c>
    </row>
    <row r="31">
      <c r="A31" s="51" t="s">
        <v>293</v>
      </c>
      <c r="B31" s="640">
        <v>1686.34</v>
      </c>
      <c r="C31" s="640">
        <v>1473.17</v>
      </c>
      <c r="D31" s="640">
        <v>1473.17</v>
      </c>
      <c r="E31" s="639">
        <f t="shared" si="9"/>
        <v>4632.68</v>
      </c>
      <c r="G31" s="635"/>
      <c r="H31" s="642"/>
      <c r="I31" s="642"/>
      <c r="J31" s="642"/>
      <c r="K31" s="642"/>
      <c r="L31" s="643"/>
      <c r="M31" s="643"/>
    </row>
    <row r="32">
      <c r="A32" s="51" t="s">
        <v>294</v>
      </c>
      <c r="B32" s="637">
        <v>501.13</v>
      </c>
      <c r="C32" s="637">
        <v>971.56</v>
      </c>
      <c r="D32" s="637">
        <v>-90.08</v>
      </c>
      <c r="E32" s="639">
        <f t="shared" si="9"/>
        <v>1382.61</v>
      </c>
      <c r="F32" s="622">
        <f t="shared" ref="F32:F33" si="15">E32-E42</f>
        <v>-1186.07</v>
      </c>
      <c r="G32" s="635"/>
      <c r="H32" s="642"/>
      <c r="I32" s="642"/>
      <c r="J32" s="642"/>
      <c r="K32" s="642"/>
      <c r="L32" s="643"/>
      <c r="M32" s="643"/>
    </row>
    <row r="33">
      <c r="A33" s="51" t="s">
        <v>295</v>
      </c>
      <c r="B33" s="622">
        <f t="shared" ref="B33:D33" si="14">B26+B27+B28+B29+B30+B32</f>
        <v>3046.77</v>
      </c>
      <c r="C33" s="622">
        <f t="shared" si="14"/>
        <v>3299.28</v>
      </c>
      <c r="D33" s="622">
        <f t="shared" si="14"/>
        <v>2242.39</v>
      </c>
      <c r="E33" s="641">
        <f t="shared" si="9"/>
        <v>8588.44</v>
      </c>
      <c r="F33" s="622">
        <f t="shared" si="15"/>
        <v>-575.2</v>
      </c>
      <c r="G33" s="635"/>
      <c r="H33" s="51" t="s">
        <v>295</v>
      </c>
      <c r="I33" s="622">
        <f t="shared" ref="I33:K33" si="16">I26+I27+I28+I29+I30</f>
        <v>0</v>
      </c>
      <c r="J33" s="622">
        <f t="shared" si="16"/>
        <v>0</v>
      </c>
      <c r="K33" s="622">
        <f t="shared" si="16"/>
        <v>0</v>
      </c>
      <c r="L33" s="641">
        <f>I33+J33+K33</f>
        <v>0</v>
      </c>
      <c r="M33" s="622">
        <f>L33-L39</f>
        <v>0</v>
      </c>
    </row>
    <row r="34">
      <c r="A34" s="429"/>
      <c r="B34" s="429"/>
      <c r="C34" s="429"/>
      <c r="D34" s="429"/>
      <c r="F34" s="636"/>
      <c r="G34" s="635"/>
      <c r="H34" s="429"/>
      <c r="I34" s="429"/>
      <c r="J34" s="429"/>
      <c r="K34" s="429"/>
      <c r="L34" s="249"/>
      <c r="M34" s="636"/>
    </row>
    <row r="35">
      <c r="A35" s="429" t="s">
        <v>283</v>
      </c>
      <c r="B35" s="429" t="s">
        <v>307</v>
      </c>
      <c r="C35" s="429" t="s">
        <v>308</v>
      </c>
      <c r="D35" s="429" t="s">
        <v>309</v>
      </c>
      <c r="F35" s="636" t="s">
        <v>287</v>
      </c>
      <c r="G35" s="635"/>
      <c r="H35" s="429" t="s">
        <v>283</v>
      </c>
      <c r="I35" s="429" t="s">
        <v>302</v>
      </c>
      <c r="J35" s="429" t="s">
        <v>303</v>
      </c>
      <c r="K35" s="429" t="s">
        <v>304</v>
      </c>
      <c r="L35" s="249" t="s">
        <v>305</v>
      </c>
      <c r="M35" s="636" t="s">
        <v>287</v>
      </c>
    </row>
    <row r="36">
      <c r="A36" s="51" t="s">
        <v>288</v>
      </c>
      <c r="B36" s="47">
        <v>304.0</v>
      </c>
      <c r="C36" s="47">
        <v>304.0</v>
      </c>
      <c r="D36" s="47">
        <v>304.0</v>
      </c>
      <c r="E36" s="622">
        <f t="shared" ref="E36:E43" si="17">B36+C36+D36</f>
        <v>912</v>
      </c>
      <c r="F36" s="622">
        <f t="shared" ref="F36:F40" si="18">E36-E46</f>
        <v>15</v>
      </c>
      <c r="G36" s="635"/>
      <c r="H36" s="51" t="s">
        <v>288</v>
      </c>
      <c r="I36" s="47"/>
      <c r="J36" s="47"/>
      <c r="K36" s="47"/>
      <c r="L36" s="622">
        <f t="shared" ref="L36:L40" si="19">I36+J36+K36</f>
        <v>0</v>
      </c>
      <c r="M36" t="str">
        <f t="shared" ref="M36:M37" si="20">L36-#REF!</f>
        <v>#REF!</v>
      </c>
    </row>
    <row r="37">
      <c r="A37" s="51" t="s">
        <v>289</v>
      </c>
      <c r="B37" s="47">
        <v>113.17</v>
      </c>
      <c r="C37" s="47">
        <v>113.17</v>
      </c>
      <c r="D37" s="47">
        <v>113.17</v>
      </c>
      <c r="E37" s="622">
        <f t="shared" si="17"/>
        <v>339.51</v>
      </c>
      <c r="F37" s="622">
        <f t="shared" si="18"/>
        <v>-148.77</v>
      </c>
      <c r="G37" s="635"/>
      <c r="H37" s="51" t="s">
        <v>120</v>
      </c>
      <c r="I37" s="47"/>
      <c r="J37" s="47"/>
      <c r="K37" s="47"/>
      <c r="L37" s="622">
        <f t="shared" si="19"/>
        <v>0</v>
      </c>
      <c r="M37" t="str">
        <f t="shared" si="20"/>
        <v>#REF!</v>
      </c>
    </row>
    <row r="38">
      <c r="A38" s="51" t="s">
        <v>290</v>
      </c>
      <c r="B38" s="51">
        <v>312.54</v>
      </c>
      <c r="C38" s="51">
        <v>312.54</v>
      </c>
      <c r="D38" s="51">
        <v>312.54</v>
      </c>
      <c r="E38" s="622">
        <f t="shared" si="17"/>
        <v>937.62</v>
      </c>
      <c r="F38" s="622">
        <f t="shared" si="18"/>
        <v>0</v>
      </c>
      <c r="G38" s="635"/>
      <c r="H38" s="51" t="s">
        <v>289</v>
      </c>
      <c r="I38" s="47"/>
      <c r="J38" s="47"/>
      <c r="K38" s="47"/>
      <c r="L38" s="622">
        <f t="shared" si="19"/>
        <v>0</v>
      </c>
      <c r="M38" s="622" t="str">
        <f t="shared" ref="M38:M40" si="21">L38-L45</f>
        <v>#VALUE!</v>
      </c>
    </row>
    <row r="39">
      <c r="A39" s="51" t="s">
        <v>291</v>
      </c>
      <c r="B39" s="47">
        <v>141.99</v>
      </c>
      <c r="C39" s="47">
        <v>141.99</v>
      </c>
      <c r="D39" s="47">
        <v>141.99</v>
      </c>
      <c r="E39" s="622">
        <f t="shared" si="17"/>
        <v>425.97</v>
      </c>
      <c r="F39" s="622">
        <f t="shared" si="18"/>
        <v>0</v>
      </c>
      <c r="G39" s="635"/>
      <c r="H39" s="51" t="s">
        <v>306</v>
      </c>
      <c r="I39" s="638"/>
      <c r="J39" s="638"/>
      <c r="K39" s="638"/>
      <c r="L39">
        <f t="shared" si="19"/>
        <v>0</v>
      </c>
      <c r="M39" s="622">
        <f t="shared" si="21"/>
        <v>0</v>
      </c>
    </row>
    <row r="40">
      <c r="A40" s="51" t="s">
        <v>292</v>
      </c>
      <c r="B40" s="637">
        <v>1239.98</v>
      </c>
      <c r="C40" s="638">
        <v>1219.51</v>
      </c>
      <c r="D40" s="638">
        <v>1520.37</v>
      </c>
      <c r="E40" s="639">
        <f t="shared" si="17"/>
        <v>3979.86</v>
      </c>
      <c r="F40" s="622">
        <f t="shared" si="18"/>
        <v>-1051.47</v>
      </c>
      <c r="G40" s="635"/>
      <c r="I40" s="638"/>
      <c r="J40" s="638"/>
      <c r="K40" s="638"/>
      <c r="L40" s="639">
        <f t="shared" si="19"/>
        <v>0</v>
      </c>
      <c r="M40" s="622">
        <f t="shared" si="21"/>
        <v>0</v>
      </c>
    </row>
    <row r="41">
      <c r="A41" s="51" t="s">
        <v>293</v>
      </c>
      <c r="B41" s="640">
        <v>1296.98</v>
      </c>
      <c r="C41" s="640">
        <v>1295.51</v>
      </c>
      <c r="D41" s="640">
        <v>1596.37</v>
      </c>
      <c r="E41" s="639">
        <f t="shared" si="17"/>
        <v>4188.86</v>
      </c>
      <c r="G41" s="635"/>
      <c r="H41" s="642"/>
      <c r="I41" s="642"/>
      <c r="J41" s="642"/>
      <c r="K41" s="642"/>
      <c r="L41" s="643"/>
      <c r="M41" s="643"/>
    </row>
    <row r="42">
      <c r="A42" s="51" t="s">
        <v>294</v>
      </c>
      <c r="B42" s="637">
        <v>854.98</v>
      </c>
      <c r="C42" s="637">
        <v>856.85</v>
      </c>
      <c r="D42" s="637">
        <v>856.85</v>
      </c>
      <c r="E42" s="639">
        <f t="shared" si="17"/>
        <v>2568.68</v>
      </c>
      <c r="F42" s="622">
        <f t="shared" ref="F42:F43" si="23">E42-E52</f>
        <v>85.34</v>
      </c>
      <c r="G42" s="635"/>
      <c r="H42" s="642"/>
      <c r="I42" s="642"/>
      <c r="J42" s="642"/>
      <c r="K42" s="642"/>
      <c r="L42" s="643"/>
      <c r="M42" s="643"/>
    </row>
    <row r="43">
      <c r="A43" s="51" t="s">
        <v>295</v>
      </c>
      <c r="B43" s="622">
        <f t="shared" ref="B43:D43" si="22">B36+B37+B38+B39+B40+B42</f>
        <v>2966.66</v>
      </c>
      <c r="C43" s="622">
        <f t="shared" si="22"/>
        <v>2948.06</v>
      </c>
      <c r="D43" s="622">
        <f t="shared" si="22"/>
        <v>3248.92</v>
      </c>
      <c r="E43" s="641">
        <f t="shared" si="17"/>
        <v>9163.64</v>
      </c>
      <c r="F43" s="622">
        <f t="shared" si="23"/>
        <v>-1099.9</v>
      </c>
      <c r="G43" s="635"/>
      <c r="H43" s="51" t="s">
        <v>295</v>
      </c>
      <c r="I43" s="622">
        <f t="shared" ref="I43:K43" si="24">I36+I37+I38+I39+I40</f>
        <v>0</v>
      </c>
      <c r="J43" s="622">
        <f t="shared" si="24"/>
        <v>0</v>
      </c>
      <c r="K43" s="622">
        <f t="shared" si="24"/>
        <v>0</v>
      </c>
      <c r="L43" s="641">
        <f>I43+J43+K43</f>
        <v>0</v>
      </c>
      <c r="M43" s="622">
        <f>L43-L49</f>
        <v>0</v>
      </c>
    </row>
    <row r="44">
      <c r="A44" s="429"/>
      <c r="B44" s="429"/>
      <c r="C44" s="429"/>
      <c r="D44" s="429"/>
      <c r="F44" s="636"/>
      <c r="G44" s="635"/>
      <c r="H44" s="429"/>
      <c r="I44" s="429"/>
      <c r="J44" s="429"/>
      <c r="K44" s="429"/>
      <c r="L44" s="249"/>
      <c r="M44" s="636"/>
    </row>
    <row r="45">
      <c r="A45" s="429" t="s">
        <v>283</v>
      </c>
      <c r="B45" s="429" t="s">
        <v>304</v>
      </c>
      <c r="C45" s="429" t="s">
        <v>310</v>
      </c>
      <c r="D45" s="429" t="s">
        <v>311</v>
      </c>
      <c r="F45" s="636" t="s">
        <v>287</v>
      </c>
      <c r="G45" s="635"/>
      <c r="H45" s="429" t="s">
        <v>283</v>
      </c>
      <c r="I45" s="429" t="s">
        <v>302</v>
      </c>
      <c r="J45" s="429" t="s">
        <v>303</v>
      </c>
      <c r="K45" s="429" t="s">
        <v>304</v>
      </c>
      <c r="L45" s="249" t="s">
        <v>305</v>
      </c>
      <c r="M45" s="636" t="s">
        <v>287</v>
      </c>
    </row>
    <row r="46">
      <c r="A46" s="51" t="s">
        <v>288</v>
      </c>
      <c r="B46" s="47">
        <v>299.0</v>
      </c>
      <c r="C46" s="47">
        <v>299.0</v>
      </c>
      <c r="D46" s="47">
        <v>299.0</v>
      </c>
      <c r="E46" s="622">
        <f t="shared" ref="E46:E53" si="25">B46+C46+D46</f>
        <v>897</v>
      </c>
      <c r="F46" s="622">
        <f t="shared" ref="F46:F50" si="26">E46-E56</f>
        <v>144</v>
      </c>
      <c r="G46" s="635"/>
      <c r="H46" s="51" t="s">
        <v>288</v>
      </c>
      <c r="I46" s="47"/>
      <c r="J46" s="47"/>
      <c r="K46" s="47"/>
      <c r="L46" s="622">
        <f t="shared" ref="L46:L50" si="27">I46+J46+K46</f>
        <v>0</v>
      </c>
      <c r="M46" t="str">
        <f t="shared" ref="M46:M50" si="28">L46-L55</f>
        <v>#VALUE!</v>
      </c>
    </row>
    <row r="47">
      <c r="A47" s="51" t="s">
        <v>289</v>
      </c>
      <c r="B47" s="47">
        <v>162.76</v>
      </c>
      <c r="C47" s="47">
        <v>162.76</v>
      </c>
      <c r="D47" s="47">
        <v>162.76</v>
      </c>
      <c r="E47" s="622">
        <f t="shared" si="25"/>
        <v>488.28</v>
      </c>
      <c r="F47" s="622">
        <f t="shared" si="26"/>
        <v>-4.26</v>
      </c>
      <c r="G47" s="635"/>
      <c r="H47" s="51" t="s">
        <v>120</v>
      </c>
      <c r="I47" s="47"/>
      <c r="J47" s="47"/>
      <c r="K47" s="47"/>
      <c r="L47" s="622">
        <f t="shared" si="27"/>
        <v>0</v>
      </c>
      <c r="M47" s="622">
        <f t="shared" si="28"/>
        <v>-281</v>
      </c>
    </row>
    <row r="48">
      <c r="A48" s="51" t="s">
        <v>290</v>
      </c>
      <c r="B48" s="51">
        <v>312.54</v>
      </c>
      <c r="C48" s="51">
        <v>312.54</v>
      </c>
      <c r="D48" s="51">
        <v>312.54</v>
      </c>
      <c r="E48" s="622">
        <f t="shared" si="25"/>
        <v>937.62</v>
      </c>
      <c r="F48" s="622">
        <f t="shared" si="26"/>
        <v>0</v>
      </c>
      <c r="G48" s="635"/>
      <c r="H48" s="51" t="s">
        <v>289</v>
      </c>
      <c r="I48" s="47"/>
      <c r="J48" s="47"/>
      <c r="K48" s="47"/>
      <c r="L48" s="622">
        <f t="shared" si="27"/>
        <v>0</v>
      </c>
      <c r="M48" s="622">
        <f t="shared" si="28"/>
        <v>-526.72</v>
      </c>
    </row>
    <row r="49">
      <c r="A49" s="51" t="s">
        <v>291</v>
      </c>
      <c r="B49" s="47">
        <v>141.99</v>
      </c>
      <c r="C49" s="47">
        <v>141.99</v>
      </c>
      <c r="D49" s="47">
        <v>141.99</v>
      </c>
      <c r="E49" s="622">
        <f t="shared" si="25"/>
        <v>425.97</v>
      </c>
      <c r="F49" s="622">
        <f t="shared" si="26"/>
        <v>0</v>
      </c>
      <c r="G49" s="635"/>
      <c r="H49" s="51" t="s">
        <v>306</v>
      </c>
      <c r="I49" s="638"/>
      <c r="J49" s="638"/>
      <c r="K49" s="638"/>
      <c r="L49">
        <f t="shared" si="27"/>
        <v>0</v>
      </c>
      <c r="M49" s="622">
        <f t="shared" si="28"/>
        <v>0</v>
      </c>
    </row>
    <row r="50">
      <c r="A50" s="51" t="s">
        <v>292</v>
      </c>
      <c r="B50" s="637">
        <v>1251.11</v>
      </c>
      <c r="C50" s="638">
        <v>2530.16</v>
      </c>
      <c r="D50" s="638">
        <v>1250.06</v>
      </c>
      <c r="E50" s="639">
        <f t="shared" si="25"/>
        <v>5031.33</v>
      </c>
      <c r="F50" s="622">
        <f t="shared" si="26"/>
        <v>1181.36</v>
      </c>
      <c r="G50" s="635"/>
      <c r="I50" s="638"/>
      <c r="J50" s="638"/>
      <c r="K50" s="638"/>
      <c r="L50" s="639">
        <f t="shared" si="27"/>
        <v>0</v>
      </c>
      <c r="M50" s="622">
        <f t="shared" si="28"/>
        <v>0</v>
      </c>
    </row>
    <row r="51">
      <c r="A51" s="51" t="s">
        <v>293</v>
      </c>
      <c r="B51" s="640">
        <v>1419.99</v>
      </c>
      <c r="C51" s="640">
        <v>2708.54</v>
      </c>
      <c r="D51" s="640">
        <v>1423.69</v>
      </c>
      <c r="E51" s="639">
        <f t="shared" si="25"/>
        <v>5552.22</v>
      </c>
      <c r="G51" s="635"/>
      <c r="H51" s="642"/>
      <c r="I51" s="642"/>
      <c r="J51" s="642"/>
      <c r="K51" s="642"/>
      <c r="L51" s="643"/>
      <c r="M51" s="643"/>
    </row>
    <row r="52">
      <c r="A52" s="51" t="s">
        <v>294</v>
      </c>
      <c r="B52" s="637">
        <v>827.78</v>
      </c>
      <c r="C52" s="637">
        <v>827.78</v>
      </c>
      <c r="D52" s="637">
        <v>827.78</v>
      </c>
      <c r="E52" s="639">
        <f t="shared" si="25"/>
        <v>2483.34</v>
      </c>
      <c r="F52" s="622">
        <f t="shared" ref="F52:F53" si="30">E52-E62</f>
        <v>0</v>
      </c>
      <c r="G52" s="635"/>
      <c r="H52" s="642"/>
      <c r="I52" s="642"/>
      <c r="J52" s="642"/>
      <c r="K52" s="642"/>
      <c r="L52" s="643"/>
      <c r="M52" s="643"/>
    </row>
    <row r="53">
      <c r="A53" s="51" t="s">
        <v>295</v>
      </c>
      <c r="B53" s="622">
        <f t="shared" ref="B53:D53" si="29">B46+B47+B48+B49+B50+B52</f>
        <v>2995.18</v>
      </c>
      <c r="C53" s="622">
        <f t="shared" si="29"/>
        <v>4274.23</v>
      </c>
      <c r="D53" s="622">
        <f t="shared" si="29"/>
        <v>2994.13</v>
      </c>
      <c r="E53" s="641">
        <f t="shared" si="25"/>
        <v>10263.54</v>
      </c>
      <c r="F53" s="622">
        <f t="shared" si="30"/>
        <v>1321.1</v>
      </c>
      <c r="G53" s="635"/>
      <c r="H53" s="51" t="s">
        <v>295</v>
      </c>
      <c r="I53" s="622">
        <f t="shared" ref="I53:K53" si="31">I46+I47+I48+I49+I50</f>
        <v>0</v>
      </c>
      <c r="J53" s="622">
        <f t="shared" si="31"/>
        <v>0</v>
      </c>
      <c r="K53" s="622">
        <f t="shared" si="31"/>
        <v>0</v>
      </c>
      <c r="L53" s="641">
        <f>I53+J53+K53</f>
        <v>0</v>
      </c>
      <c r="M53" s="622">
        <f>L53-L61</f>
        <v>0</v>
      </c>
    </row>
    <row r="54">
      <c r="A54" s="429"/>
      <c r="B54" s="429"/>
      <c r="C54" s="429"/>
      <c r="D54" s="429"/>
      <c r="F54" s="636"/>
      <c r="G54" s="635"/>
      <c r="H54" s="429"/>
      <c r="I54" s="429"/>
      <c r="J54" s="429"/>
      <c r="K54" s="429"/>
      <c r="L54" s="249"/>
      <c r="M54" s="636"/>
    </row>
    <row r="55">
      <c r="A55" s="429" t="s">
        <v>283</v>
      </c>
      <c r="B55" s="429" t="s">
        <v>312</v>
      </c>
      <c r="C55" s="429" t="s">
        <v>302</v>
      </c>
      <c r="D55" s="429" t="s">
        <v>303</v>
      </c>
      <c r="F55" s="636" t="s">
        <v>287</v>
      </c>
      <c r="G55" s="635"/>
      <c r="H55" s="429" t="s">
        <v>283</v>
      </c>
      <c r="I55" s="429" t="s">
        <v>302</v>
      </c>
      <c r="J55" s="429" t="s">
        <v>303</v>
      </c>
      <c r="K55" s="429" t="s">
        <v>304</v>
      </c>
      <c r="L55" s="249" t="s">
        <v>305</v>
      </c>
      <c r="M55" s="636" t="s">
        <v>287</v>
      </c>
    </row>
    <row r="56">
      <c r="A56" s="51" t="s">
        <v>288</v>
      </c>
      <c r="B56" s="47">
        <v>251.0</v>
      </c>
      <c r="C56" s="47">
        <v>251.0</v>
      </c>
      <c r="D56" s="47">
        <v>251.0</v>
      </c>
      <c r="E56" s="622">
        <f t="shared" ref="E56:E63" si="32">B56+C56+D56</f>
        <v>753</v>
      </c>
      <c r="F56" s="622">
        <f t="shared" ref="F56:F60" si="33">E56-E66</f>
        <v>9</v>
      </c>
      <c r="G56" s="635"/>
      <c r="H56" s="51" t="s">
        <v>288</v>
      </c>
      <c r="I56" s="47">
        <v>281.0</v>
      </c>
      <c r="J56" s="47"/>
      <c r="K56" s="47"/>
      <c r="L56" s="622">
        <f t="shared" ref="L56:L60" si="34">I56+J56+K56</f>
        <v>281</v>
      </c>
      <c r="M56" s="622">
        <f t="shared" ref="M56:M60" si="35">L56-L66</f>
        <v>0</v>
      </c>
    </row>
    <row r="57">
      <c r="A57" s="51" t="s">
        <v>289</v>
      </c>
      <c r="B57" s="47">
        <v>164.18</v>
      </c>
      <c r="C57" s="47">
        <v>164.18</v>
      </c>
      <c r="D57" s="47">
        <v>164.18</v>
      </c>
      <c r="E57" s="622">
        <f t="shared" si="32"/>
        <v>492.54</v>
      </c>
      <c r="F57" s="622">
        <f t="shared" si="33"/>
        <v>-120.24</v>
      </c>
      <c r="G57" s="635"/>
      <c r="H57" s="51" t="s">
        <v>120</v>
      </c>
      <c r="I57" s="47">
        <v>526.72</v>
      </c>
      <c r="J57" s="47"/>
      <c r="K57" s="47"/>
      <c r="L57" s="622">
        <f t="shared" si="34"/>
        <v>526.72</v>
      </c>
      <c r="M57" s="622">
        <f t="shared" si="35"/>
        <v>0</v>
      </c>
    </row>
    <row r="58">
      <c r="A58" s="51" t="s">
        <v>290</v>
      </c>
      <c r="B58" s="51">
        <v>312.54</v>
      </c>
      <c r="C58" s="51">
        <v>312.54</v>
      </c>
      <c r="D58" s="51">
        <v>312.54</v>
      </c>
      <c r="E58" s="622">
        <f t="shared" si="32"/>
        <v>937.62</v>
      </c>
      <c r="F58" s="622">
        <f t="shared" si="33"/>
        <v>0</v>
      </c>
      <c r="G58" s="635"/>
      <c r="H58" s="51" t="s">
        <v>289</v>
      </c>
      <c r="I58" s="47"/>
      <c r="J58" s="47"/>
      <c r="K58" s="47"/>
      <c r="L58" s="622">
        <f t="shared" si="34"/>
        <v>0</v>
      </c>
      <c r="M58" s="622">
        <f t="shared" si="35"/>
        <v>0</v>
      </c>
    </row>
    <row r="59">
      <c r="A59" s="51" t="s">
        <v>291</v>
      </c>
      <c r="B59" s="47">
        <v>141.99</v>
      </c>
      <c r="C59" s="47">
        <v>141.99</v>
      </c>
      <c r="D59" s="47">
        <v>141.99</v>
      </c>
      <c r="E59" s="622">
        <f t="shared" si="32"/>
        <v>425.97</v>
      </c>
      <c r="F59" s="622">
        <f t="shared" si="33"/>
        <v>0</v>
      </c>
      <c r="G59" s="635"/>
      <c r="H59" s="51" t="s">
        <v>306</v>
      </c>
      <c r="I59" s="638"/>
      <c r="J59" s="638"/>
      <c r="K59" s="638"/>
      <c r="L59">
        <f t="shared" si="34"/>
        <v>0</v>
      </c>
      <c r="M59">
        <f t="shared" si="35"/>
        <v>0</v>
      </c>
    </row>
    <row r="60">
      <c r="A60" s="51" t="s">
        <v>292</v>
      </c>
      <c r="B60" s="637">
        <v>1294.64</v>
      </c>
      <c r="C60" s="638">
        <v>1256.72</v>
      </c>
      <c r="D60" s="638">
        <v>1298.61</v>
      </c>
      <c r="E60" s="639">
        <f t="shared" si="32"/>
        <v>3849.97</v>
      </c>
      <c r="F60" s="622">
        <f t="shared" si="33"/>
        <v>-385.65</v>
      </c>
      <c r="G60" s="635"/>
      <c r="I60" s="638"/>
      <c r="J60" s="638"/>
      <c r="K60" s="638"/>
      <c r="L60" s="639">
        <f t="shared" si="34"/>
        <v>0</v>
      </c>
      <c r="M60" s="622">
        <f t="shared" si="35"/>
        <v>0</v>
      </c>
    </row>
    <row r="61">
      <c r="A61" s="51" t="s">
        <v>293</v>
      </c>
      <c r="B61" s="640">
        <v>1468.27</v>
      </c>
      <c r="C61" s="640">
        <v>1430.35</v>
      </c>
      <c r="D61" s="640">
        <v>1419.99</v>
      </c>
      <c r="E61" s="639">
        <f t="shared" si="32"/>
        <v>4318.61</v>
      </c>
      <c r="G61" s="635"/>
      <c r="H61" s="642"/>
      <c r="I61" s="642"/>
      <c r="J61" s="642"/>
      <c r="K61" s="642"/>
      <c r="L61" s="643"/>
      <c r="M61" s="643"/>
    </row>
    <row r="62">
      <c r="A62" s="51" t="s">
        <v>294</v>
      </c>
      <c r="B62" s="637">
        <v>827.78</v>
      </c>
      <c r="C62" s="637">
        <v>827.78</v>
      </c>
      <c r="D62" s="637">
        <v>827.78</v>
      </c>
      <c r="E62" s="639">
        <f t="shared" si="32"/>
        <v>2483.34</v>
      </c>
      <c r="F62" s="622">
        <f t="shared" ref="F62:F63" si="37">E62-E71</f>
        <v>1877.37</v>
      </c>
      <c r="G62" s="635"/>
      <c r="H62" s="642"/>
      <c r="I62" s="642"/>
      <c r="J62" s="642"/>
      <c r="K62" s="642"/>
      <c r="L62" s="643"/>
      <c r="M62" s="643"/>
    </row>
    <row r="63">
      <c r="A63" s="51" t="s">
        <v>295</v>
      </c>
      <c r="B63" s="622">
        <f t="shared" ref="B63:D63" si="36">B56+B57+B58+B59+B60+B62</f>
        <v>2992.13</v>
      </c>
      <c r="C63" s="622">
        <f t="shared" si="36"/>
        <v>2954.21</v>
      </c>
      <c r="D63" s="622">
        <f t="shared" si="36"/>
        <v>2996.1</v>
      </c>
      <c r="E63" s="641">
        <f t="shared" si="32"/>
        <v>8942.44</v>
      </c>
      <c r="F63" s="622">
        <f t="shared" si="37"/>
        <v>1380.48</v>
      </c>
      <c r="G63" s="635"/>
      <c r="H63" s="51" t="s">
        <v>295</v>
      </c>
      <c r="I63" s="622">
        <f t="shared" ref="I63:K63" si="38">I56+I57+I58+I59+I60</f>
        <v>807.72</v>
      </c>
      <c r="J63" s="622">
        <f t="shared" si="38"/>
        <v>0</v>
      </c>
      <c r="K63" s="622">
        <f t="shared" si="38"/>
        <v>0</v>
      </c>
      <c r="L63" s="641">
        <f>I63+J63+K63</f>
        <v>807.72</v>
      </c>
      <c r="M63" s="622">
        <f>L63-L72</f>
        <v>0</v>
      </c>
    </row>
    <row r="64">
      <c r="A64" s="429"/>
      <c r="B64" s="429"/>
      <c r="C64" s="429"/>
      <c r="D64" s="429"/>
      <c r="F64" s="636"/>
      <c r="G64" s="635"/>
      <c r="H64" s="429"/>
      <c r="I64" s="429"/>
      <c r="J64" s="429"/>
      <c r="K64" s="429"/>
      <c r="L64" s="249"/>
      <c r="M64" s="636"/>
    </row>
    <row r="65">
      <c r="A65" s="429" t="s">
        <v>283</v>
      </c>
      <c r="B65" s="429" t="s">
        <v>313</v>
      </c>
      <c r="C65" s="429" t="s">
        <v>314</v>
      </c>
      <c r="D65" s="429" t="s">
        <v>315</v>
      </c>
      <c r="F65" s="636" t="s">
        <v>287</v>
      </c>
      <c r="G65" s="635"/>
      <c r="H65" s="429" t="s">
        <v>283</v>
      </c>
      <c r="I65" s="429" t="s">
        <v>314</v>
      </c>
      <c r="J65" s="429" t="s">
        <v>315</v>
      </c>
      <c r="K65" s="429" t="s">
        <v>312</v>
      </c>
      <c r="L65" s="249" t="s">
        <v>305</v>
      </c>
      <c r="M65" s="636" t="s">
        <v>287</v>
      </c>
    </row>
    <row r="66">
      <c r="A66" s="51" t="s">
        <v>288</v>
      </c>
      <c r="B66" s="47">
        <v>248.0</v>
      </c>
      <c r="C66" s="47">
        <v>248.0</v>
      </c>
      <c r="D66" s="47">
        <v>248.0</v>
      </c>
      <c r="E66" s="622">
        <f t="shared" ref="E66:E72" si="39">B66+C66+D66</f>
        <v>744</v>
      </c>
      <c r="F66" s="622">
        <f t="shared" ref="F66:F72" si="40">E66-E75</f>
        <v>33</v>
      </c>
      <c r="G66" s="635"/>
      <c r="H66" s="51" t="s">
        <v>288</v>
      </c>
      <c r="I66" s="47">
        <v>281.0</v>
      </c>
      <c r="J66" s="47"/>
      <c r="K66" s="47"/>
      <c r="L66" s="622">
        <f t="shared" ref="L66:L70" si="41">I66+J66+K66</f>
        <v>281</v>
      </c>
      <c r="M66" s="622">
        <f t="shared" ref="M66:M70" si="42">L66-L75</f>
        <v>-562</v>
      </c>
    </row>
    <row r="67">
      <c r="A67" s="51" t="s">
        <v>289</v>
      </c>
      <c r="B67" s="47">
        <v>204.26</v>
      </c>
      <c r="C67" s="47">
        <v>204.26</v>
      </c>
      <c r="D67" s="47">
        <v>204.26</v>
      </c>
      <c r="E67" s="622">
        <f t="shared" si="39"/>
        <v>612.78</v>
      </c>
      <c r="F67" s="622">
        <f t="shared" si="40"/>
        <v>-18.57</v>
      </c>
      <c r="G67" s="635"/>
      <c r="H67" s="51" t="s">
        <v>120</v>
      </c>
      <c r="I67" s="47">
        <v>526.72</v>
      </c>
      <c r="J67" s="47"/>
      <c r="K67" s="47"/>
      <c r="L67" s="622">
        <f t="shared" si="41"/>
        <v>526.72</v>
      </c>
      <c r="M67" s="622">
        <f t="shared" si="42"/>
        <v>-1053.44</v>
      </c>
    </row>
    <row r="68">
      <c r="A68" s="51" t="s">
        <v>290</v>
      </c>
      <c r="B68" s="51">
        <v>312.54</v>
      </c>
      <c r="C68" s="51">
        <v>312.54</v>
      </c>
      <c r="D68" s="51">
        <v>312.54</v>
      </c>
      <c r="E68" s="622">
        <f t="shared" si="39"/>
        <v>937.62</v>
      </c>
      <c r="F68" s="622">
        <f t="shared" si="40"/>
        <v>17.01</v>
      </c>
      <c r="G68" s="635"/>
      <c r="H68" s="51" t="s">
        <v>289</v>
      </c>
      <c r="I68" s="47"/>
      <c r="J68" s="47"/>
      <c r="K68" s="47"/>
      <c r="L68" s="622">
        <f t="shared" si="41"/>
        <v>0</v>
      </c>
      <c r="M68" s="622">
        <f t="shared" si="42"/>
        <v>0</v>
      </c>
    </row>
    <row r="69">
      <c r="A69" s="51" t="s">
        <v>291</v>
      </c>
      <c r="B69" s="47">
        <v>141.99</v>
      </c>
      <c r="C69" s="47">
        <v>141.99</v>
      </c>
      <c r="D69" s="47">
        <v>141.99</v>
      </c>
      <c r="E69" s="622">
        <f t="shared" si="39"/>
        <v>425.97</v>
      </c>
      <c r="F69" s="622">
        <f t="shared" si="40"/>
        <v>6.48</v>
      </c>
      <c r="G69" s="635"/>
      <c r="H69" s="51" t="s">
        <v>306</v>
      </c>
      <c r="I69" s="638"/>
      <c r="J69" s="638"/>
      <c r="K69" s="638"/>
      <c r="L69">
        <f t="shared" si="41"/>
        <v>0</v>
      </c>
      <c r="M69" s="622">
        <f t="shared" si="42"/>
        <v>-1483.25</v>
      </c>
    </row>
    <row r="70">
      <c r="A70" s="51" t="s">
        <v>292</v>
      </c>
      <c r="B70" s="637">
        <v>1241.61</v>
      </c>
      <c r="C70" s="638">
        <v>1409.73</v>
      </c>
      <c r="D70" s="638">
        <v>1584.28</v>
      </c>
      <c r="E70" s="639">
        <f t="shared" si="39"/>
        <v>4235.62</v>
      </c>
      <c r="F70" s="622">
        <f t="shared" si="40"/>
        <v>640.06</v>
      </c>
      <c r="G70" s="635"/>
      <c r="I70" s="638"/>
      <c r="J70" s="638"/>
      <c r="K70" s="638"/>
      <c r="L70" s="639">
        <f t="shared" si="41"/>
        <v>0</v>
      </c>
      <c r="M70" s="622">
        <f t="shared" si="42"/>
        <v>0</v>
      </c>
    </row>
    <row r="71">
      <c r="A71" s="51" t="s">
        <v>294</v>
      </c>
      <c r="B71" s="637"/>
      <c r="C71" s="637"/>
      <c r="D71" s="638">
        <v>605.97</v>
      </c>
      <c r="E71" s="639">
        <f t="shared" si="39"/>
        <v>605.97</v>
      </c>
      <c r="F71" s="622">
        <f t="shared" si="40"/>
        <v>605.97</v>
      </c>
      <c r="G71" s="635"/>
      <c r="H71" s="642"/>
      <c r="I71" s="642"/>
      <c r="J71" s="642"/>
      <c r="K71" s="642"/>
      <c r="L71" s="643"/>
      <c r="M71" s="643"/>
    </row>
    <row r="72">
      <c r="A72" s="51" t="s">
        <v>295</v>
      </c>
      <c r="B72" s="622">
        <f t="shared" ref="B72:D72" si="43">B66+B67+B68+B69+B70+B71</f>
        <v>2148.4</v>
      </c>
      <c r="C72" s="622">
        <f t="shared" si="43"/>
        <v>2316.52</v>
      </c>
      <c r="D72" s="622">
        <f t="shared" si="43"/>
        <v>3097.04</v>
      </c>
      <c r="E72" s="641">
        <f t="shared" si="39"/>
        <v>7561.96</v>
      </c>
      <c r="F72" s="622">
        <f t="shared" si="40"/>
        <v>1283.95</v>
      </c>
      <c r="G72" s="635"/>
      <c r="H72" s="51" t="s">
        <v>295</v>
      </c>
      <c r="I72" s="622">
        <f t="shared" ref="I72:K72" si="44">I66+I67+I68+I69+I70</f>
        <v>807.72</v>
      </c>
      <c r="J72" s="622">
        <f t="shared" si="44"/>
        <v>0</v>
      </c>
      <c r="K72" s="622">
        <f t="shared" si="44"/>
        <v>0</v>
      </c>
      <c r="L72" s="641">
        <f>I72+J72+K72</f>
        <v>807.72</v>
      </c>
      <c r="M72" s="622">
        <f>L72-L81</f>
        <v>-3098.69</v>
      </c>
    </row>
    <row r="73">
      <c r="A73" s="429"/>
      <c r="B73" s="429"/>
      <c r="C73" s="429"/>
      <c r="D73" s="429"/>
      <c r="F73" s="636"/>
      <c r="G73" s="635"/>
      <c r="H73" s="429"/>
      <c r="I73" s="429"/>
      <c r="J73" s="429"/>
      <c r="K73" s="429"/>
      <c r="L73" s="249"/>
      <c r="M73" s="636"/>
    </row>
    <row r="74">
      <c r="A74" s="429" t="s">
        <v>283</v>
      </c>
      <c r="B74" s="429" t="s">
        <v>316</v>
      </c>
      <c r="C74" s="429" t="s">
        <v>317</v>
      </c>
      <c r="D74" s="429" t="s">
        <v>318</v>
      </c>
      <c r="F74" s="636" t="s">
        <v>287</v>
      </c>
      <c r="G74" s="635"/>
      <c r="H74" s="429" t="s">
        <v>283</v>
      </c>
      <c r="I74" s="429" t="s">
        <v>317</v>
      </c>
      <c r="J74" s="429" t="s">
        <v>318</v>
      </c>
      <c r="K74" s="429" t="s">
        <v>313</v>
      </c>
      <c r="L74" s="249" t="s">
        <v>305</v>
      </c>
      <c r="M74" s="636" t="s">
        <v>287</v>
      </c>
    </row>
    <row r="75">
      <c r="A75" s="51" t="s">
        <v>288</v>
      </c>
      <c r="B75" s="47">
        <v>237.0</v>
      </c>
      <c r="C75" s="47">
        <v>237.0</v>
      </c>
      <c r="D75" s="47">
        <v>237.0</v>
      </c>
      <c r="E75" s="622">
        <f t="shared" ref="E75:E81" si="45">B75+C75+D75</f>
        <v>711</v>
      </c>
      <c r="F75" s="622">
        <f t="shared" ref="F75:F81" si="46">E75-E84</f>
        <v>-6</v>
      </c>
      <c r="G75" s="635"/>
      <c r="H75" s="51" t="s">
        <v>288</v>
      </c>
      <c r="I75" s="47">
        <v>281.0</v>
      </c>
      <c r="J75" s="47">
        <v>281.0</v>
      </c>
      <c r="K75" s="29">
        <v>281.0</v>
      </c>
      <c r="L75" s="622">
        <f t="shared" ref="L75:L79" si="47">I75+J75+K75</f>
        <v>843</v>
      </c>
      <c r="M75" s="622">
        <f t="shared" ref="M75:M79" si="48">L75-L84</f>
        <v>0</v>
      </c>
    </row>
    <row r="76">
      <c r="A76" s="51" t="s">
        <v>289</v>
      </c>
      <c r="B76" s="47">
        <v>210.45</v>
      </c>
      <c r="C76" s="47">
        <v>210.45</v>
      </c>
      <c r="D76" s="47">
        <v>210.45</v>
      </c>
      <c r="E76" s="622">
        <f t="shared" si="45"/>
        <v>631.35</v>
      </c>
      <c r="F76" s="622">
        <f t="shared" si="46"/>
        <v>0.15</v>
      </c>
      <c r="G76" s="635"/>
      <c r="H76" s="51" t="s">
        <v>120</v>
      </c>
      <c r="I76" s="47">
        <v>526.72</v>
      </c>
      <c r="J76" s="47">
        <v>526.72</v>
      </c>
      <c r="K76" s="29">
        <v>526.72</v>
      </c>
      <c r="L76" s="622">
        <f t="shared" si="47"/>
        <v>1580.16</v>
      </c>
      <c r="M76" s="622">
        <f t="shared" si="48"/>
        <v>6.75</v>
      </c>
    </row>
    <row r="77">
      <c r="A77" s="51" t="s">
        <v>290</v>
      </c>
      <c r="B77" s="51">
        <v>306.87</v>
      </c>
      <c r="C77" s="51">
        <v>306.87</v>
      </c>
      <c r="D77" s="51">
        <v>306.87</v>
      </c>
      <c r="E77" s="622">
        <f t="shared" si="45"/>
        <v>920.61</v>
      </c>
      <c r="F77" s="622">
        <f t="shared" si="46"/>
        <v>122.96</v>
      </c>
      <c r="G77" s="635"/>
      <c r="H77" s="51" t="s">
        <v>289</v>
      </c>
      <c r="I77" s="47">
        <v>0.0</v>
      </c>
      <c r="J77" s="47">
        <v>0.0</v>
      </c>
      <c r="K77" s="29">
        <v>0.0</v>
      </c>
      <c r="L77" s="622">
        <f t="shared" si="47"/>
        <v>0</v>
      </c>
      <c r="M77" s="622">
        <f t="shared" si="48"/>
        <v>0</v>
      </c>
    </row>
    <row r="78">
      <c r="A78" s="51" t="s">
        <v>291</v>
      </c>
      <c r="B78" s="47">
        <v>139.83</v>
      </c>
      <c r="C78" s="47">
        <v>139.83</v>
      </c>
      <c r="D78" s="47">
        <v>139.83</v>
      </c>
      <c r="E78" s="622">
        <f t="shared" si="45"/>
        <v>419.49</v>
      </c>
      <c r="F78" s="622">
        <f t="shared" si="46"/>
        <v>0</v>
      </c>
      <c r="G78" s="635"/>
      <c r="H78" s="51" t="s">
        <v>306</v>
      </c>
      <c r="I78" s="638">
        <v>47.49</v>
      </c>
      <c r="J78" s="637">
        <v>712.4</v>
      </c>
      <c r="K78" s="638">
        <v>723.36</v>
      </c>
      <c r="L78" s="622">
        <f t="shared" si="47"/>
        <v>1483.25</v>
      </c>
      <c r="M78" s="622">
        <f t="shared" si="48"/>
        <v>1483.25</v>
      </c>
    </row>
    <row r="79">
      <c r="A79" s="51" t="s">
        <v>292</v>
      </c>
      <c r="B79" s="637">
        <v>1205.13</v>
      </c>
      <c r="C79" s="638">
        <v>1002.21</v>
      </c>
      <c r="D79" s="638">
        <v>1388.22</v>
      </c>
      <c r="E79" s="639">
        <f t="shared" si="45"/>
        <v>3595.56</v>
      </c>
      <c r="F79" s="622">
        <f t="shared" si="46"/>
        <v>-1485.58</v>
      </c>
      <c r="G79" s="635"/>
      <c r="I79" s="638"/>
      <c r="J79" s="638"/>
      <c r="K79" s="638"/>
      <c r="L79" s="639">
        <f t="shared" si="47"/>
        <v>0</v>
      </c>
      <c r="M79" s="622">
        <f t="shared" si="48"/>
        <v>0</v>
      </c>
    </row>
    <row r="80">
      <c r="A80" s="51" t="s">
        <v>319</v>
      </c>
      <c r="B80" s="637"/>
      <c r="C80" s="637"/>
      <c r="D80" s="638"/>
      <c r="E80" s="639">
        <f t="shared" si="45"/>
        <v>0</v>
      </c>
      <c r="F80" s="622">
        <f t="shared" si="46"/>
        <v>0</v>
      </c>
      <c r="G80" s="635"/>
      <c r="H80" s="642"/>
      <c r="I80" s="642"/>
      <c r="J80" s="642"/>
      <c r="K80" s="642"/>
      <c r="L80" s="643"/>
      <c r="M80" s="643"/>
    </row>
    <row r="81">
      <c r="A81" s="51" t="s">
        <v>295</v>
      </c>
      <c r="B81" s="622">
        <f t="shared" ref="B81:D81" si="49">B75+B76+B77+B78+B79+B80</f>
        <v>2099.28</v>
      </c>
      <c r="C81" s="622">
        <f t="shared" si="49"/>
        <v>1896.36</v>
      </c>
      <c r="D81" s="622">
        <f t="shared" si="49"/>
        <v>2282.37</v>
      </c>
      <c r="E81" s="641">
        <f t="shared" si="45"/>
        <v>6278.01</v>
      </c>
      <c r="F81" s="622">
        <f t="shared" si="46"/>
        <v>-1368.47</v>
      </c>
      <c r="G81" s="635"/>
      <c r="H81" s="51" t="s">
        <v>295</v>
      </c>
      <c r="I81" s="622">
        <f t="shared" ref="I81:K81" si="50">I75+I76+I77+I78+I79</f>
        <v>855.21</v>
      </c>
      <c r="J81" s="622">
        <f t="shared" si="50"/>
        <v>1520.12</v>
      </c>
      <c r="K81" s="622">
        <f t="shared" si="50"/>
        <v>1531.08</v>
      </c>
      <c r="L81" s="641">
        <f>I81+J81+K81</f>
        <v>3906.41</v>
      </c>
      <c r="M81" s="622">
        <f>L81-L90</f>
        <v>1490</v>
      </c>
    </row>
    <row r="82">
      <c r="A82" s="429"/>
      <c r="B82" s="429"/>
      <c r="C82" s="429"/>
      <c r="D82" s="429"/>
      <c r="F82" s="636"/>
      <c r="G82" s="635"/>
      <c r="H82" s="429"/>
      <c r="I82" s="429"/>
      <c r="J82" s="429"/>
      <c r="K82" s="429"/>
      <c r="M82" s="636"/>
    </row>
    <row r="83">
      <c r="A83" s="429" t="s">
        <v>283</v>
      </c>
      <c r="B83" s="429" t="s">
        <v>320</v>
      </c>
      <c r="C83" s="429" t="s">
        <v>321</v>
      </c>
      <c r="D83" s="429" t="s">
        <v>322</v>
      </c>
      <c r="F83" s="636" t="s">
        <v>287</v>
      </c>
      <c r="G83" s="635"/>
      <c r="H83" s="429" t="s">
        <v>283</v>
      </c>
      <c r="I83" s="429" t="s">
        <v>321</v>
      </c>
      <c r="J83" s="429" t="s">
        <v>322</v>
      </c>
      <c r="K83" s="429" t="s">
        <v>316</v>
      </c>
      <c r="L83" s="249" t="s">
        <v>305</v>
      </c>
      <c r="M83" s="636" t="s">
        <v>287</v>
      </c>
    </row>
    <row r="84">
      <c r="A84" s="51" t="s">
        <v>288</v>
      </c>
      <c r="B84" s="47">
        <v>239.0</v>
      </c>
      <c r="C84" s="47">
        <v>239.0</v>
      </c>
      <c r="D84" s="47">
        <v>239.0</v>
      </c>
      <c r="E84" s="622">
        <f t="shared" ref="E84:E90" si="51">B84+C84+D84</f>
        <v>717</v>
      </c>
      <c r="F84" s="622">
        <f t="shared" ref="F84:F90" si="52">E84-E93</f>
        <v>33</v>
      </c>
      <c r="G84" s="635"/>
      <c r="H84" s="51" t="s">
        <v>288</v>
      </c>
      <c r="I84" s="29">
        <v>281.0</v>
      </c>
      <c r="J84" s="47">
        <v>281.0</v>
      </c>
      <c r="K84" s="47">
        <v>281.0</v>
      </c>
      <c r="L84" s="622">
        <f t="shared" ref="L84:L88" si="53">I84+J84+K84</f>
        <v>843</v>
      </c>
      <c r="M84" s="622">
        <f t="shared" ref="M84:M88" si="54">L84-L93</f>
        <v>0</v>
      </c>
    </row>
    <row r="85">
      <c r="A85" s="51" t="s">
        <v>289</v>
      </c>
      <c r="B85" s="47">
        <v>210.4</v>
      </c>
      <c r="C85" s="47">
        <v>210.4</v>
      </c>
      <c r="D85" s="47">
        <v>210.4</v>
      </c>
      <c r="E85" s="622">
        <f t="shared" si="51"/>
        <v>631.2</v>
      </c>
      <c r="F85" s="622">
        <f t="shared" si="52"/>
        <v>177.42</v>
      </c>
      <c r="G85" s="635"/>
      <c r="H85" s="51" t="s">
        <v>120</v>
      </c>
      <c r="I85" s="29">
        <v>519.97</v>
      </c>
      <c r="J85" s="47">
        <v>526.72</v>
      </c>
      <c r="K85" s="47">
        <v>526.72</v>
      </c>
      <c r="L85" s="622">
        <f t="shared" si="53"/>
        <v>1573.41</v>
      </c>
      <c r="M85" s="622">
        <f t="shared" si="54"/>
        <v>473.67</v>
      </c>
    </row>
    <row r="86">
      <c r="A86" s="51" t="s">
        <v>290</v>
      </c>
      <c r="B86" s="51">
        <v>183.91</v>
      </c>
      <c r="C86" s="51">
        <v>306.87</v>
      </c>
      <c r="D86" s="51">
        <v>306.87</v>
      </c>
      <c r="E86" s="622">
        <f t="shared" si="51"/>
        <v>797.65</v>
      </c>
      <c r="F86" s="622">
        <f t="shared" si="52"/>
        <v>245.92</v>
      </c>
      <c r="G86" s="635"/>
      <c r="H86" s="51" t="s">
        <v>289</v>
      </c>
      <c r="I86" s="47">
        <v>0.0</v>
      </c>
      <c r="J86" s="47">
        <v>0.0</v>
      </c>
      <c r="K86" s="47">
        <v>0.0</v>
      </c>
      <c r="L86" s="622">
        <f t="shared" si="53"/>
        <v>0</v>
      </c>
      <c r="M86" s="622">
        <f t="shared" si="54"/>
        <v>-210.31</v>
      </c>
    </row>
    <row r="87">
      <c r="A87" s="51" t="s">
        <v>291</v>
      </c>
      <c r="B87" s="47">
        <v>139.83</v>
      </c>
      <c r="C87" s="47">
        <v>139.83</v>
      </c>
      <c r="D87" s="47">
        <v>139.83</v>
      </c>
      <c r="E87" s="622">
        <f t="shared" si="51"/>
        <v>419.49</v>
      </c>
      <c r="F87" s="622">
        <f t="shared" si="52"/>
        <v>-0.1</v>
      </c>
      <c r="G87" s="635"/>
      <c r="H87" s="51" t="s">
        <v>323</v>
      </c>
      <c r="I87" s="638"/>
      <c r="J87" s="638"/>
      <c r="K87" s="638"/>
      <c r="L87">
        <f t="shared" si="53"/>
        <v>0</v>
      </c>
      <c r="M87">
        <f t="shared" si="54"/>
        <v>0</v>
      </c>
    </row>
    <row r="88">
      <c r="A88" s="51" t="s">
        <v>292</v>
      </c>
      <c r="B88" s="637">
        <v>1274.76</v>
      </c>
      <c r="C88" s="638">
        <v>2656.17</v>
      </c>
      <c r="D88" s="638">
        <v>1150.21</v>
      </c>
      <c r="E88" s="639">
        <f t="shared" si="51"/>
        <v>5081.14</v>
      </c>
      <c r="F88" s="622">
        <f t="shared" si="52"/>
        <v>1393.77</v>
      </c>
      <c r="G88" s="635"/>
      <c r="H88" s="51" t="s">
        <v>324</v>
      </c>
      <c r="I88" s="638"/>
      <c r="J88" s="638"/>
      <c r="K88" s="638"/>
      <c r="L88" s="639">
        <f t="shared" si="53"/>
        <v>0</v>
      </c>
      <c r="M88" s="622">
        <f t="shared" si="54"/>
        <v>0</v>
      </c>
    </row>
    <row r="89">
      <c r="A89" s="51" t="s">
        <v>319</v>
      </c>
      <c r="B89" s="637"/>
      <c r="C89" s="637"/>
      <c r="D89" s="638"/>
      <c r="E89" s="639">
        <f t="shared" si="51"/>
        <v>0</v>
      </c>
      <c r="F89" s="622">
        <f t="shared" si="52"/>
        <v>0</v>
      </c>
      <c r="G89" s="635"/>
      <c r="H89" s="642"/>
      <c r="I89" s="642"/>
      <c r="J89" s="642"/>
      <c r="K89" s="642"/>
      <c r="L89" s="643"/>
      <c r="M89" s="643"/>
    </row>
    <row r="90">
      <c r="A90" s="51" t="s">
        <v>295</v>
      </c>
      <c r="B90" s="622">
        <f t="shared" ref="B90:D90" si="55">B84+B85+B86+B87+B88+B89</f>
        <v>2047.9</v>
      </c>
      <c r="C90" s="622">
        <f t="shared" si="55"/>
        <v>3552.27</v>
      </c>
      <c r="D90" s="622">
        <f t="shared" si="55"/>
        <v>2046.31</v>
      </c>
      <c r="E90" s="641">
        <f t="shared" si="51"/>
        <v>7646.48</v>
      </c>
      <c r="F90" s="622">
        <f t="shared" si="52"/>
        <v>1850.01</v>
      </c>
      <c r="G90" s="635"/>
      <c r="H90" s="51" t="s">
        <v>295</v>
      </c>
      <c r="I90" s="622">
        <f t="shared" ref="I90:K90" si="56">I84+I85+I86+I87+I88</f>
        <v>800.97</v>
      </c>
      <c r="J90" s="622">
        <f t="shared" si="56"/>
        <v>807.72</v>
      </c>
      <c r="K90" s="622">
        <f t="shared" si="56"/>
        <v>807.72</v>
      </c>
      <c r="L90" s="641">
        <f>I90+J90+K90</f>
        <v>2416.41</v>
      </c>
      <c r="M90" s="622">
        <f>L90-L99</f>
        <v>263.36</v>
      </c>
    </row>
    <row r="91">
      <c r="A91" s="429"/>
      <c r="B91" s="429"/>
      <c r="C91" s="429"/>
      <c r="D91" s="429"/>
      <c r="F91" s="636"/>
      <c r="G91" s="635"/>
      <c r="H91" s="429"/>
      <c r="I91" s="429"/>
      <c r="J91" s="429"/>
      <c r="K91" s="429"/>
      <c r="L91" s="249"/>
      <c r="M91" s="636"/>
    </row>
    <row r="92">
      <c r="A92" s="429" t="s">
        <v>283</v>
      </c>
      <c r="B92" s="429" t="s">
        <v>325</v>
      </c>
      <c r="C92" s="429" t="s">
        <v>326</v>
      </c>
      <c r="D92" s="429" t="s">
        <v>327</v>
      </c>
      <c r="F92" s="636" t="s">
        <v>287</v>
      </c>
      <c r="G92" s="635"/>
      <c r="H92" s="429" t="s">
        <v>283</v>
      </c>
      <c r="I92" s="429" t="s">
        <v>326</v>
      </c>
      <c r="J92" s="429" t="s">
        <v>327</v>
      </c>
      <c r="K92" s="429" t="s">
        <v>320</v>
      </c>
      <c r="L92" s="249" t="s">
        <v>305</v>
      </c>
      <c r="M92" s="636" t="s">
        <v>287</v>
      </c>
    </row>
    <row r="93">
      <c r="A93" s="51" t="s">
        <v>288</v>
      </c>
      <c r="B93" s="47">
        <v>228.0</v>
      </c>
      <c r="C93" s="47">
        <v>228.0</v>
      </c>
      <c r="D93" s="47">
        <v>228.0</v>
      </c>
      <c r="E93" s="622">
        <f t="shared" ref="E93:E99" si="57">B93+C93+D93</f>
        <v>684</v>
      </c>
      <c r="F93" s="622">
        <f t="shared" ref="F93:F99" si="58">E93-E102</f>
        <v>48</v>
      </c>
      <c r="G93" s="635"/>
      <c r="H93" s="51" t="s">
        <v>288</v>
      </c>
      <c r="I93" s="47">
        <v>281.0</v>
      </c>
      <c r="J93" s="47">
        <v>281.0</v>
      </c>
      <c r="K93" s="47">
        <v>281.0</v>
      </c>
      <c r="L93" s="622">
        <f t="shared" ref="L93:L97" si="59">I93+J93+K93</f>
        <v>843</v>
      </c>
      <c r="M93" s="622">
        <f t="shared" ref="M93:M97" si="60">L93-L102</f>
        <v>37</v>
      </c>
    </row>
    <row r="94">
      <c r="A94" s="51" t="s">
        <v>289</v>
      </c>
      <c r="B94" s="47">
        <v>151.26</v>
      </c>
      <c r="C94" s="47">
        <v>151.26</v>
      </c>
      <c r="D94" s="47">
        <v>151.26</v>
      </c>
      <c r="E94" s="622">
        <f t="shared" si="57"/>
        <v>453.78</v>
      </c>
      <c r="F94" s="622">
        <f t="shared" si="58"/>
        <v>77.97</v>
      </c>
      <c r="G94" s="635"/>
      <c r="H94" s="51" t="s">
        <v>120</v>
      </c>
      <c r="I94" s="47">
        <v>59.8</v>
      </c>
      <c r="J94" s="47">
        <v>519.97</v>
      </c>
      <c r="K94" s="47">
        <v>519.97</v>
      </c>
      <c r="L94" s="622">
        <f t="shared" si="59"/>
        <v>1099.74</v>
      </c>
      <c r="M94" s="622">
        <f t="shared" si="60"/>
        <v>966.97</v>
      </c>
    </row>
    <row r="95">
      <c r="A95" s="51" t="s">
        <v>290</v>
      </c>
      <c r="B95" s="51">
        <v>183.91</v>
      </c>
      <c r="C95" s="51">
        <v>183.91</v>
      </c>
      <c r="D95" s="51">
        <v>183.91</v>
      </c>
      <c r="E95" s="622">
        <f t="shared" si="57"/>
        <v>551.73</v>
      </c>
      <c r="F95" s="622">
        <f t="shared" si="58"/>
        <v>28.35</v>
      </c>
      <c r="G95" s="635"/>
      <c r="H95" s="51" t="s">
        <v>289</v>
      </c>
      <c r="I95" s="47">
        <v>210.31</v>
      </c>
      <c r="J95" s="47">
        <v>0.0</v>
      </c>
      <c r="K95" s="47">
        <v>0.0</v>
      </c>
      <c r="L95" s="622">
        <f t="shared" si="59"/>
        <v>210.31</v>
      </c>
      <c r="M95" s="622">
        <f t="shared" si="60"/>
        <v>-427.04</v>
      </c>
    </row>
    <row r="96">
      <c r="A96" s="51" t="s">
        <v>291</v>
      </c>
      <c r="B96" s="47">
        <v>139.93</v>
      </c>
      <c r="C96" s="47">
        <v>139.83</v>
      </c>
      <c r="D96" s="47">
        <v>139.83</v>
      </c>
      <c r="E96" s="622">
        <f t="shared" si="57"/>
        <v>419.59</v>
      </c>
      <c r="F96" s="622">
        <f t="shared" si="58"/>
        <v>16.21</v>
      </c>
      <c r="G96" s="635"/>
      <c r="H96" s="51" t="s">
        <v>323</v>
      </c>
      <c r="I96" s="638"/>
      <c r="J96" s="638"/>
      <c r="K96" s="638"/>
      <c r="L96">
        <f t="shared" si="59"/>
        <v>0</v>
      </c>
      <c r="M96" s="622">
        <f t="shared" si="60"/>
        <v>-152.75</v>
      </c>
    </row>
    <row r="97">
      <c r="A97" s="51" t="s">
        <v>292</v>
      </c>
      <c r="B97" s="637">
        <v>1208.26</v>
      </c>
      <c r="C97" s="638">
        <v>1289.85</v>
      </c>
      <c r="D97" s="638">
        <v>1189.26</v>
      </c>
      <c r="E97" s="639">
        <f t="shared" si="57"/>
        <v>3687.37</v>
      </c>
      <c r="F97" s="622">
        <f t="shared" si="58"/>
        <v>-306.91</v>
      </c>
      <c r="G97" s="635"/>
      <c r="H97" s="51" t="s">
        <v>324</v>
      </c>
      <c r="I97" s="638"/>
      <c r="J97" s="638"/>
      <c r="K97" s="638"/>
      <c r="L97" s="639">
        <f t="shared" si="59"/>
        <v>0</v>
      </c>
      <c r="M97" s="622">
        <f t="shared" si="60"/>
        <v>-118.01</v>
      </c>
    </row>
    <row r="98">
      <c r="A98" s="51" t="s">
        <v>319</v>
      </c>
      <c r="B98" s="637"/>
      <c r="C98" s="637"/>
      <c r="D98" s="638"/>
      <c r="E98" s="639">
        <f t="shared" si="57"/>
        <v>0</v>
      </c>
      <c r="F98" s="622">
        <f t="shared" si="58"/>
        <v>-65.6</v>
      </c>
      <c r="G98" s="635"/>
      <c r="H98" s="642"/>
      <c r="I98" s="642"/>
      <c r="J98" s="642"/>
      <c r="K98" s="642"/>
      <c r="L98" s="643"/>
      <c r="M98" s="643"/>
    </row>
    <row r="99">
      <c r="A99" s="51" t="s">
        <v>295</v>
      </c>
      <c r="B99" s="622">
        <f t="shared" ref="B99:D99" si="61">B93+B94+B95+B96+B97+B98</f>
        <v>1911.36</v>
      </c>
      <c r="C99" s="622">
        <f t="shared" si="61"/>
        <v>1992.85</v>
      </c>
      <c r="D99" s="622">
        <f t="shared" si="61"/>
        <v>1892.26</v>
      </c>
      <c r="E99" s="641">
        <f t="shared" si="57"/>
        <v>5796.47</v>
      </c>
      <c r="F99" s="622">
        <f t="shared" si="58"/>
        <v>-201.98</v>
      </c>
      <c r="G99" s="635"/>
      <c r="H99" s="51" t="s">
        <v>295</v>
      </c>
      <c r="I99" s="622">
        <f t="shared" ref="I99:K99" si="62">I93+I94+I95+I96+I97</f>
        <v>551.11</v>
      </c>
      <c r="J99" s="622">
        <f t="shared" si="62"/>
        <v>800.97</v>
      </c>
      <c r="K99" s="622">
        <f t="shared" si="62"/>
        <v>800.97</v>
      </c>
      <c r="L99" s="641">
        <f>I99+J99+K99</f>
        <v>2153.05</v>
      </c>
      <c r="M99" s="622">
        <f>L99-L108</f>
        <v>306.17</v>
      </c>
    </row>
    <row r="100">
      <c r="A100" s="429"/>
      <c r="B100" s="429"/>
      <c r="C100" s="429"/>
      <c r="D100" s="429"/>
      <c r="F100" s="636"/>
      <c r="G100" s="635"/>
      <c r="H100" s="429"/>
      <c r="I100" s="429"/>
      <c r="J100" s="429"/>
      <c r="K100" s="429"/>
      <c r="L100" s="249"/>
      <c r="M100" s="636"/>
    </row>
    <row r="101">
      <c r="A101" s="429" t="s">
        <v>283</v>
      </c>
      <c r="B101" s="429" t="s">
        <v>328</v>
      </c>
      <c r="C101" s="429" t="s">
        <v>329</v>
      </c>
      <c r="D101" s="429" t="s">
        <v>330</v>
      </c>
      <c r="F101" s="636" t="s">
        <v>287</v>
      </c>
      <c r="G101" s="635"/>
      <c r="H101" s="429" t="s">
        <v>283</v>
      </c>
      <c r="I101" s="429" t="s">
        <v>329</v>
      </c>
      <c r="J101" s="429" t="s">
        <v>330</v>
      </c>
      <c r="K101" s="429" t="s">
        <v>331</v>
      </c>
      <c r="L101" s="249" t="s">
        <v>305</v>
      </c>
      <c r="M101" s="636" t="s">
        <v>287</v>
      </c>
    </row>
    <row r="102">
      <c r="A102" s="51" t="s">
        <v>288</v>
      </c>
      <c r="B102" s="47">
        <v>212.0</v>
      </c>
      <c r="C102" s="47">
        <v>212.0</v>
      </c>
      <c r="D102" s="47">
        <v>212.0</v>
      </c>
      <c r="E102" s="622">
        <f t="shared" ref="E102:E108" si="63">B102+C102+D102</f>
        <v>636</v>
      </c>
      <c r="F102" s="622">
        <f t="shared" ref="F102:F108" si="64">E102-E111</f>
        <v>-33</v>
      </c>
      <c r="G102" s="635"/>
      <c r="H102" s="51" t="s">
        <v>288</v>
      </c>
      <c r="I102" s="47">
        <v>253.0</v>
      </c>
      <c r="J102" s="47">
        <v>272.0</v>
      </c>
      <c r="K102" s="47">
        <v>281.0</v>
      </c>
      <c r="L102" s="622">
        <f t="shared" ref="L102:L106" si="65">I102+J102+K102</f>
        <v>806</v>
      </c>
      <c r="M102" s="622">
        <f t="shared" ref="M102:M106" si="66">L102-L111</f>
        <v>28</v>
      </c>
    </row>
    <row r="103">
      <c r="A103" s="51" t="s">
        <v>289</v>
      </c>
      <c r="B103" s="47">
        <v>125.27</v>
      </c>
      <c r="C103" s="47">
        <v>125.27</v>
      </c>
      <c r="D103" s="47">
        <v>125.27</v>
      </c>
      <c r="E103" s="622">
        <f t="shared" si="63"/>
        <v>375.81</v>
      </c>
      <c r="F103" s="622">
        <f t="shared" si="64"/>
        <v>-201.84</v>
      </c>
      <c r="G103" s="635"/>
      <c r="H103" s="51" t="s">
        <v>120</v>
      </c>
      <c r="I103" s="47">
        <v>13.17</v>
      </c>
      <c r="J103" s="47">
        <v>59.8</v>
      </c>
      <c r="K103" s="47">
        <v>59.8</v>
      </c>
      <c r="L103" s="622">
        <f t="shared" si="65"/>
        <v>132.77</v>
      </c>
      <c r="M103" s="622">
        <f t="shared" si="66"/>
        <v>106.43</v>
      </c>
    </row>
    <row r="104">
      <c r="A104" s="51" t="s">
        <v>290</v>
      </c>
      <c r="B104" s="51">
        <v>174.46</v>
      </c>
      <c r="C104" s="51">
        <v>174.46</v>
      </c>
      <c r="D104" s="51">
        <v>174.46</v>
      </c>
      <c r="E104" s="622">
        <f t="shared" si="63"/>
        <v>523.38</v>
      </c>
      <c r="F104" s="622">
        <f t="shared" si="64"/>
        <v>7.44</v>
      </c>
      <c r="G104" s="635"/>
      <c r="H104" s="51" t="s">
        <v>289</v>
      </c>
      <c r="I104" s="47">
        <v>216.73</v>
      </c>
      <c r="J104" s="47">
        <v>210.31</v>
      </c>
      <c r="K104" s="47">
        <v>210.31</v>
      </c>
      <c r="L104" s="622">
        <f t="shared" si="65"/>
        <v>637.35</v>
      </c>
      <c r="M104" s="622">
        <f t="shared" si="66"/>
        <v>23.33</v>
      </c>
    </row>
    <row r="105">
      <c r="A105" s="51" t="s">
        <v>291</v>
      </c>
      <c r="B105" s="47">
        <v>134.46</v>
      </c>
      <c r="C105" s="47">
        <v>134.46</v>
      </c>
      <c r="D105" s="47">
        <v>134.46</v>
      </c>
      <c r="E105" s="622">
        <f t="shared" si="63"/>
        <v>403.38</v>
      </c>
      <c r="F105" s="622">
        <f t="shared" si="64"/>
        <v>7.14</v>
      </c>
      <c r="G105" s="635"/>
      <c r="H105" s="51" t="s">
        <v>323</v>
      </c>
      <c r="I105" s="638">
        <v>152.75</v>
      </c>
      <c r="J105" s="637">
        <v>0.0</v>
      </c>
      <c r="K105" s="637">
        <v>0.0</v>
      </c>
      <c r="L105" s="622">
        <f t="shared" si="65"/>
        <v>152.75</v>
      </c>
      <c r="M105" s="622">
        <f t="shared" si="66"/>
        <v>-372.12</v>
      </c>
    </row>
    <row r="106">
      <c r="A106" s="51" t="s">
        <v>292</v>
      </c>
      <c r="B106" s="637">
        <v>1534.54</v>
      </c>
      <c r="C106" s="638">
        <v>1193.22</v>
      </c>
      <c r="D106" s="638">
        <v>1266.52</v>
      </c>
      <c r="E106" s="639">
        <f t="shared" si="63"/>
        <v>3994.28</v>
      </c>
      <c r="F106" s="622">
        <f t="shared" si="64"/>
        <v>251.96</v>
      </c>
      <c r="G106" s="635"/>
      <c r="H106" s="51" t="s">
        <v>324</v>
      </c>
      <c r="I106" s="638">
        <v>118.01</v>
      </c>
      <c r="J106" s="637">
        <v>0.0</v>
      </c>
      <c r="K106" s="637">
        <v>0.0</v>
      </c>
      <c r="L106" s="639">
        <f t="shared" si="65"/>
        <v>118.01</v>
      </c>
      <c r="M106" s="622">
        <f t="shared" si="66"/>
        <v>-636.83</v>
      </c>
    </row>
    <row r="107">
      <c r="A107" s="51" t="s">
        <v>319</v>
      </c>
      <c r="B107" s="637">
        <v>0.0</v>
      </c>
      <c r="C107" s="637">
        <v>65.6</v>
      </c>
      <c r="D107" s="638">
        <v>0.0</v>
      </c>
      <c r="E107" s="639">
        <f t="shared" si="63"/>
        <v>65.6</v>
      </c>
      <c r="F107" s="622">
        <f t="shared" si="64"/>
        <v>-198.6</v>
      </c>
      <c r="G107" s="635"/>
      <c r="H107" s="642"/>
      <c r="I107" s="642"/>
      <c r="J107" s="642"/>
      <c r="K107" s="642"/>
      <c r="L107" s="643"/>
      <c r="M107" s="643"/>
    </row>
    <row r="108">
      <c r="A108" s="51" t="s">
        <v>295</v>
      </c>
      <c r="B108" s="622">
        <f t="shared" ref="B108:D108" si="67">B102+B103+B104+B105+B106+B107</f>
        <v>2180.73</v>
      </c>
      <c r="C108" s="622">
        <f t="shared" si="67"/>
        <v>1905.01</v>
      </c>
      <c r="D108" s="622">
        <f t="shared" si="67"/>
        <v>1912.71</v>
      </c>
      <c r="E108" s="641">
        <f t="shared" si="63"/>
        <v>5998.45</v>
      </c>
      <c r="F108" s="622">
        <f t="shared" si="64"/>
        <v>-166.9</v>
      </c>
      <c r="G108" s="635"/>
      <c r="H108" s="51" t="s">
        <v>295</v>
      </c>
      <c r="I108" s="47">
        <f t="shared" ref="I108:K108" si="68">SUM(I102:I107)</f>
        <v>753.66</v>
      </c>
      <c r="J108" s="47">
        <f t="shared" si="68"/>
        <v>542.11</v>
      </c>
      <c r="K108" s="47">
        <f t="shared" si="68"/>
        <v>551.11</v>
      </c>
      <c r="L108" s="641">
        <f>I108+J108+K108</f>
        <v>1846.88</v>
      </c>
      <c r="M108" s="622">
        <f>L108-L117</f>
        <v>-901.95</v>
      </c>
    </row>
    <row r="109">
      <c r="A109" s="597"/>
      <c r="B109" s="597"/>
      <c r="C109" s="597"/>
      <c r="D109" s="597"/>
      <c r="E109" s="597"/>
      <c r="F109" s="597"/>
      <c r="G109" s="635"/>
    </row>
    <row r="110">
      <c r="A110" s="429" t="s">
        <v>283</v>
      </c>
      <c r="B110" s="429" t="s">
        <v>332</v>
      </c>
      <c r="C110" s="429" t="s">
        <v>333</v>
      </c>
      <c r="D110" s="429" t="s">
        <v>334</v>
      </c>
      <c r="F110" s="636" t="s">
        <v>287</v>
      </c>
      <c r="G110" s="635"/>
      <c r="H110" s="429" t="s">
        <v>283</v>
      </c>
      <c r="I110" s="429" t="s">
        <v>333</v>
      </c>
      <c r="J110" s="429" t="s">
        <v>334</v>
      </c>
      <c r="K110" s="429" t="s">
        <v>328</v>
      </c>
      <c r="L110" s="249" t="s">
        <v>305</v>
      </c>
      <c r="M110" s="636" t="s">
        <v>287</v>
      </c>
    </row>
    <row r="111">
      <c r="A111" s="51" t="s">
        <v>288</v>
      </c>
      <c r="B111" s="47">
        <v>223.0</v>
      </c>
      <c r="C111" s="47">
        <v>223.0</v>
      </c>
      <c r="D111" s="47">
        <v>223.0</v>
      </c>
      <c r="E111" s="622">
        <f t="shared" ref="E111:E117" si="69">B111+C111+D111</f>
        <v>669</v>
      </c>
      <c r="F111" s="622">
        <f t="shared" ref="F111:F115" si="70">E111-E120</f>
        <v>-9</v>
      </c>
      <c r="G111" s="635"/>
      <c r="H111" s="51" t="s">
        <v>288</v>
      </c>
      <c r="I111" s="47">
        <v>272.0</v>
      </c>
      <c r="J111" s="47">
        <v>253.0</v>
      </c>
      <c r="K111" s="47">
        <v>253.0</v>
      </c>
      <c r="L111" s="622">
        <f t="shared" ref="L111:L115" si="71">I111+J111+K111</f>
        <v>778</v>
      </c>
      <c r="M111" s="622">
        <f t="shared" ref="M111:M115" si="72">L111-L120</f>
        <v>-38</v>
      </c>
    </row>
    <row r="112">
      <c r="A112" s="51" t="s">
        <v>289</v>
      </c>
      <c r="B112" s="47">
        <v>192.55</v>
      </c>
      <c r="C112" s="47">
        <v>192.55</v>
      </c>
      <c r="D112" s="47">
        <v>192.55</v>
      </c>
      <c r="E112" s="622">
        <f t="shared" si="69"/>
        <v>577.65</v>
      </c>
      <c r="F112" s="622">
        <f t="shared" si="70"/>
        <v>114.84</v>
      </c>
      <c r="G112" s="635"/>
      <c r="H112" s="51" t="s">
        <v>120</v>
      </c>
      <c r="I112" s="47">
        <v>0.0</v>
      </c>
      <c r="J112" s="47">
        <v>13.17</v>
      </c>
      <c r="K112" s="47">
        <v>13.17</v>
      </c>
      <c r="L112" s="622">
        <f t="shared" si="71"/>
        <v>26.34</v>
      </c>
      <c r="M112" s="622">
        <f t="shared" si="72"/>
        <v>26.34</v>
      </c>
    </row>
    <row r="113">
      <c r="A113" s="51" t="s">
        <v>290</v>
      </c>
      <c r="B113" s="51">
        <v>171.98</v>
      </c>
      <c r="C113" s="51">
        <v>171.98</v>
      </c>
      <c r="D113" s="51">
        <v>171.98</v>
      </c>
      <c r="E113" s="622">
        <f t="shared" si="69"/>
        <v>515.94</v>
      </c>
      <c r="F113" s="622">
        <f t="shared" si="70"/>
        <v>0</v>
      </c>
      <c r="G113" s="635"/>
      <c r="H113" s="51" t="s">
        <v>289</v>
      </c>
      <c r="I113" s="47">
        <v>180.56</v>
      </c>
      <c r="J113" s="47">
        <v>216.73</v>
      </c>
      <c r="K113" s="47">
        <v>216.73</v>
      </c>
      <c r="L113" s="622">
        <f t="shared" si="71"/>
        <v>614.02</v>
      </c>
      <c r="M113" s="622">
        <f t="shared" si="72"/>
        <v>25.77</v>
      </c>
    </row>
    <row r="114">
      <c r="A114" s="51" t="s">
        <v>291</v>
      </c>
      <c r="B114" s="47">
        <v>132.08</v>
      </c>
      <c r="C114" s="47">
        <v>132.08</v>
      </c>
      <c r="D114" s="47">
        <v>132.08</v>
      </c>
      <c r="E114" s="622">
        <f t="shared" si="69"/>
        <v>396.24</v>
      </c>
      <c r="F114" s="622">
        <f t="shared" si="70"/>
        <v>0</v>
      </c>
      <c r="G114" s="635"/>
      <c r="H114" s="51" t="s">
        <v>335</v>
      </c>
      <c r="I114" s="637">
        <v>121.28</v>
      </c>
      <c r="J114" s="637">
        <v>102.77</v>
      </c>
      <c r="K114" s="637">
        <v>300.82</v>
      </c>
      <c r="L114" s="639">
        <f t="shared" si="71"/>
        <v>524.87</v>
      </c>
      <c r="M114" s="622">
        <f t="shared" si="72"/>
        <v>-43.86</v>
      </c>
    </row>
    <row r="115">
      <c r="A115" s="51" t="s">
        <v>292</v>
      </c>
      <c r="B115" s="637">
        <v>935.99</v>
      </c>
      <c r="C115" s="638">
        <v>1416.17</v>
      </c>
      <c r="D115" s="638">
        <v>1390.16</v>
      </c>
      <c r="E115" s="639">
        <f t="shared" si="69"/>
        <v>3742.32</v>
      </c>
      <c r="F115" s="622">
        <f t="shared" si="70"/>
        <v>274.15</v>
      </c>
      <c r="G115" s="635"/>
      <c r="H115" s="51" t="s">
        <v>336</v>
      </c>
      <c r="I115" s="638">
        <v>139.19</v>
      </c>
      <c r="J115" s="638">
        <v>537.09</v>
      </c>
      <c r="K115" s="638">
        <v>78.56</v>
      </c>
      <c r="L115" s="639">
        <f t="shared" si="71"/>
        <v>754.84</v>
      </c>
      <c r="M115" s="622">
        <f t="shared" si="72"/>
        <v>-130.57</v>
      </c>
    </row>
    <row r="116">
      <c r="A116" s="51" t="s">
        <v>319</v>
      </c>
      <c r="B116" s="637">
        <v>0.0</v>
      </c>
      <c r="C116" s="637">
        <v>264.2</v>
      </c>
      <c r="D116" s="637">
        <v>0.0</v>
      </c>
      <c r="E116" s="639">
        <f t="shared" si="69"/>
        <v>264.2</v>
      </c>
      <c r="F116" s="47">
        <v>264.2</v>
      </c>
      <c r="G116" s="635"/>
      <c r="H116" s="51" t="s">
        <v>337</v>
      </c>
      <c r="I116" s="637">
        <v>0.0</v>
      </c>
      <c r="J116" s="638">
        <v>50.76</v>
      </c>
      <c r="K116" s="637">
        <v>0.0</v>
      </c>
    </row>
    <row r="117">
      <c r="A117" s="51" t="s">
        <v>295</v>
      </c>
      <c r="B117" s="622">
        <f t="shared" ref="B117:D117" si="73">B111+B112+B113+B114+B115+B116</f>
        <v>1655.6</v>
      </c>
      <c r="C117" s="622">
        <f t="shared" si="73"/>
        <v>2399.98</v>
      </c>
      <c r="D117" s="622">
        <f t="shared" si="73"/>
        <v>2109.77</v>
      </c>
      <c r="E117" s="641">
        <f t="shared" si="69"/>
        <v>6165.35</v>
      </c>
      <c r="F117" s="622">
        <f>E117-E125+E116</f>
        <v>908.39</v>
      </c>
      <c r="G117" s="635"/>
      <c r="H117" s="51" t="s">
        <v>295</v>
      </c>
      <c r="I117" s="47">
        <f t="shared" ref="I117:K117" si="74">SUM(I111:I116)</f>
        <v>713.03</v>
      </c>
      <c r="J117" s="47">
        <f t="shared" si="74"/>
        <v>1173.52</v>
      </c>
      <c r="K117" s="47">
        <f t="shared" si="74"/>
        <v>862.28</v>
      </c>
      <c r="L117" s="641">
        <f>I117+J117+K117</f>
        <v>2748.83</v>
      </c>
      <c r="M117" s="622">
        <f>L117-L125</f>
        <v>-109.56</v>
      </c>
    </row>
    <row r="118">
      <c r="A118" s="597"/>
      <c r="B118" s="597"/>
      <c r="C118" s="597"/>
      <c r="D118" s="597"/>
      <c r="E118" s="597"/>
      <c r="F118" s="597"/>
      <c r="G118" s="635"/>
    </row>
    <row r="119">
      <c r="A119" s="429" t="s">
        <v>283</v>
      </c>
      <c r="B119" s="429" t="s">
        <v>338</v>
      </c>
      <c r="C119" s="429" t="s">
        <v>339</v>
      </c>
      <c r="D119" s="429" t="s">
        <v>340</v>
      </c>
      <c r="E119" s="249" t="s">
        <v>305</v>
      </c>
      <c r="F119" s="636" t="s">
        <v>287</v>
      </c>
      <c r="G119" s="635"/>
      <c r="H119" s="429" t="s">
        <v>283</v>
      </c>
      <c r="I119" s="429" t="s">
        <v>339</v>
      </c>
      <c r="J119" s="429" t="s">
        <v>340</v>
      </c>
      <c r="K119" s="429" t="s">
        <v>332</v>
      </c>
      <c r="L119" s="249" t="s">
        <v>305</v>
      </c>
      <c r="M119" s="636" t="s">
        <v>287</v>
      </c>
    </row>
    <row r="120">
      <c r="A120" s="51" t="s">
        <v>288</v>
      </c>
      <c r="B120" s="47">
        <v>226.0</v>
      </c>
      <c r="C120" s="47">
        <v>226.0</v>
      </c>
      <c r="D120" s="47">
        <v>226.0</v>
      </c>
      <c r="E120" s="622">
        <f t="shared" ref="E120:E125" si="75">B120+C120+D120</f>
        <v>678</v>
      </c>
      <c r="F120" s="622">
        <f t="shared" ref="F120:F125" si="76">E120-E129</f>
        <v>-66</v>
      </c>
      <c r="G120" s="635"/>
      <c r="H120" s="51" t="s">
        <v>288</v>
      </c>
      <c r="I120" s="47">
        <v>272.0</v>
      </c>
      <c r="J120" s="47">
        <v>272.0</v>
      </c>
      <c r="K120" s="47">
        <v>272.0</v>
      </c>
      <c r="L120" s="622">
        <f t="shared" ref="L120:L125" si="77">I120+J120+K120</f>
        <v>816</v>
      </c>
      <c r="M120" s="622">
        <f t="shared" ref="M120:M125" si="78">L120-L129</f>
        <v>2</v>
      </c>
    </row>
    <row r="121">
      <c r="A121" s="51" t="s">
        <v>289</v>
      </c>
      <c r="B121" s="51">
        <v>154.27</v>
      </c>
      <c r="C121" s="51">
        <v>154.27</v>
      </c>
      <c r="D121" s="51">
        <v>154.27</v>
      </c>
      <c r="E121" s="622">
        <f t="shared" si="75"/>
        <v>462.81</v>
      </c>
      <c r="F121" s="622">
        <f t="shared" si="76"/>
        <v>-18.12</v>
      </c>
      <c r="G121" s="635"/>
      <c r="H121" s="51" t="s">
        <v>120</v>
      </c>
      <c r="I121" s="47">
        <v>0.0</v>
      </c>
      <c r="J121" s="47">
        <v>0.0</v>
      </c>
      <c r="K121" s="47">
        <v>0.0</v>
      </c>
      <c r="L121" s="622">
        <f t="shared" si="77"/>
        <v>0</v>
      </c>
      <c r="M121" s="622">
        <f t="shared" si="78"/>
        <v>-331.01</v>
      </c>
    </row>
    <row r="122">
      <c r="A122" s="51" t="s">
        <v>290</v>
      </c>
      <c r="B122" s="51">
        <v>171.98</v>
      </c>
      <c r="C122" s="51">
        <v>171.98</v>
      </c>
      <c r="D122" s="51">
        <v>171.98</v>
      </c>
      <c r="E122" s="622">
        <f t="shared" si="75"/>
        <v>515.94</v>
      </c>
      <c r="F122" s="622">
        <f t="shared" si="76"/>
        <v>0</v>
      </c>
      <c r="G122" s="635"/>
      <c r="H122" s="51" t="s">
        <v>289</v>
      </c>
      <c r="I122" s="47">
        <v>227.13</v>
      </c>
      <c r="J122" s="47">
        <v>180.56</v>
      </c>
      <c r="K122" s="47">
        <v>180.56</v>
      </c>
      <c r="L122" s="622">
        <f t="shared" si="77"/>
        <v>588.25</v>
      </c>
      <c r="M122" s="622">
        <f t="shared" si="78"/>
        <v>18.52</v>
      </c>
    </row>
    <row r="123">
      <c r="A123" s="51" t="s">
        <v>291</v>
      </c>
      <c r="B123" s="47">
        <v>132.08</v>
      </c>
      <c r="C123" s="47">
        <v>132.08</v>
      </c>
      <c r="D123" s="47">
        <v>132.08</v>
      </c>
      <c r="E123" s="622">
        <f t="shared" si="75"/>
        <v>396.24</v>
      </c>
      <c r="F123" s="622">
        <f t="shared" si="76"/>
        <v>0</v>
      </c>
      <c r="G123" s="635"/>
      <c r="H123" s="51" t="s">
        <v>335</v>
      </c>
      <c r="I123" s="638">
        <v>130.48</v>
      </c>
      <c r="J123" s="638">
        <v>196.63</v>
      </c>
      <c r="K123" s="638">
        <v>241.62</v>
      </c>
      <c r="L123">
        <f t="shared" si="77"/>
        <v>568.73</v>
      </c>
      <c r="M123" s="622">
        <f t="shared" si="78"/>
        <v>568.73</v>
      </c>
    </row>
    <row r="124">
      <c r="A124" s="51" t="s">
        <v>292</v>
      </c>
      <c r="B124" s="638">
        <v>1198.02</v>
      </c>
      <c r="C124" s="638">
        <v>1117.89</v>
      </c>
      <c r="D124" s="638">
        <v>1152.26</v>
      </c>
      <c r="E124" s="639">
        <f t="shared" si="75"/>
        <v>3468.17</v>
      </c>
      <c r="F124" s="622">
        <f t="shared" si="76"/>
        <v>-485.93</v>
      </c>
      <c r="G124" s="635"/>
      <c r="H124" s="51" t="s">
        <v>341</v>
      </c>
      <c r="I124" s="638">
        <v>439.83</v>
      </c>
      <c r="J124" s="638">
        <v>445.58</v>
      </c>
      <c r="K124" s="637">
        <v>0.0</v>
      </c>
      <c r="L124" s="639">
        <f t="shared" si="77"/>
        <v>885.41</v>
      </c>
      <c r="M124" s="622">
        <f t="shared" si="78"/>
        <v>-1020.86</v>
      </c>
    </row>
    <row r="125">
      <c r="A125" s="51" t="s">
        <v>295</v>
      </c>
      <c r="B125" s="622">
        <f t="shared" ref="B125:D125" si="79">B120+B121+B122+B123+B124</f>
        <v>1882.35</v>
      </c>
      <c r="C125" s="622">
        <f t="shared" si="79"/>
        <v>1802.22</v>
      </c>
      <c r="D125" s="622">
        <f t="shared" si="79"/>
        <v>1836.59</v>
      </c>
      <c r="E125" s="641">
        <f t="shared" si="75"/>
        <v>5521.16</v>
      </c>
      <c r="F125" s="622">
        <f t="shared" si="76"/>
        <v>-570.05</v>
      </c>
      <c r="G125" s="635"/>
      <c r="H125" s="51" t="s">
        <v>295</v>
      </c>
      <c r="I125" s="47">
        <f t="shared" ref="I125:K125" si="80">SUM(I120:I124)</f>
        <v>1069.44</v>
      </c>
      <c r="J125" s="47">
        <f t="shared" si="80"/>
        <v>1094.77</v>
      </c>
      <c r="K125" s="47">
        <f t="shared" si="80"/>
        <v>694.18</v>
      </c>
      <c r="L125" s="641">
        <f t="shared" si="77"/>
        <v>2858.39</v>
      </c>
      <c r="M125" s="622">
        <f t="shared" si="78"/>
        <v>-762.62</v>
      </c>
    </row>
    <row r="126">
      <c r="C126" s="644" t="s">
        <v>342</v>
      </c>
      <c r="D126" s="644" t="s">
        <v>343</v>
      </c>
      <c r="G126" s="635"/>
    </row>
    <row r="127">
      <c r="A127" s="597"/>
      <c r="B127" s="597"/>
      <c r="C127" s="597"/>
      <c r="D127" s="597"/>
      <c r="E127" s="597"/>
      <c r="F127" s="597"/>
      <c r="G127" s="635"/>
    </row>
    <row r="128">
      <c r="A128" s="429" t="s">
        <v>283</v>
      </c>
      <c r="B128" s="429" t="s">
        <v>344</v>
      </c>
      <c r="C128" s="429" t="s">
        <v>345</v>
      </c>
      <c r="D128" s="429" t="s">
        <v>346</v>
      </c>
      <c r="E128" s="249" t="s">
        <v>305</v>
      </c>
      <c r="F128" s="636" t="s">
        <v>287</v>
      </c>
      <c r="G128" s="635"/>
      <c r="H128" s="429" t="s">
        <v>283</v>
      </c>
      <c r="I128" s="429" t="s">
        <v>345</v>
      </c>
      <c r="J128" s="429" t="s">
        <v>346</v>
      </c>
      <c r="K128" s="429" t="s">
        <v>338</v>
      </c>
      <c r="L128" s="249" t="s">
        <v>305</v>
      </c>
      <c r="M128" s="636" t="s">
        <v>287</v>
      </c>
    </row>
    <row r="129">
      <c r="A129" s="51" t="s">
        <v>288</v>
      </c>
      <c r="B129" s="47">
        <v>248.0</v>
      </c>
      <c r="C129" s="47">
        <v>248.0</v>
      </c>
      <c r="D129" s="47">
        <v>248.0</v>
      </c>
      <c r="E129" s="622">
        <f t="shared" ref="E129:E134" si="81">B129+C129+D129</f>
        <v>744</v>
      </c>
      <c r="F129" s="622">
        <f t="shared" ref="F129:F134" si="82">E129-E137</f>
        <v>-66</v>
      </c>
      <c r="G129" s="635"/>
      <c r="H129" s="51" t="s">
        <v>288</v>
      </c>
      <c r="I129" s="47">
        <v>271.0</v>
      </c>
      <c r="J129" s="47">
        <v>271.0</v>
      </c>
      <c r="K129" s="47">
        <v>272.0</v>
      </c>
      <c r="L129" s="622">
        <f t="shared" ref="L129:L134" si="83">I129+J129+K129</f>
        <v>814</v>
      </c>
      <c r="M129" s="622">
        <f t="shared" ref="M129:M134" si="84">L129-L137</f>
        <v>1</v>
      </c>
    </row>
    <row r="130">
      <c r="A130" s="51" t="s">
        <v>289</v>
      </c>
      <c r="B130" s="51">
        <v>160.31</v>
      </c>
      <c r="C130" s="51">
        <v>160.31</v>
      </c>
      <c r="D130" s="51">
        <v>160.31</v>
      </c>
      <c r="E130">
        <f t="shared" si="81"/>
        <v>480.93</v>
      </c>
      <c r="F130">
        <f t="shared" si="82"/>
        <v>-79.23</v>
      </c>
      <c r="G130" s="635"/>
      <c r="H130" s="51" t="s">
        <v>120</v>
      </c>
      <c r="I130" s="47">
        <v>331.01</v>
      </c>
      <c r="J130" s="47">
        <v>0.0</v>
      </c>
      <c r="K130" s="47">
        <v>0.0</v>
      </c>
      <c r="L130" s="622">
        <f t="shared" si="83"/>
        <v>331.01</v>
      </c>
      <c r="M130" s="622">
        <f t="shared" si="84"/>
        <v>-828.02</v>
      </c>
    </row>
    <row r="131">
      <c r="A131" s="51" t="s">
        <v>290</v>
      </c>
      <c r="B131" s="51">
        <v>171.98</v>
      </c>
      <c r="C131" s="51">
        <v>171.98</v>
      </c>
      <c r="D131" s="51">
        <v>171.98</v>
      </c>
      <c r="E131">
        <f t="shared" si="81"/>
        <v>515.94</v>
      </c>
      <c r="F131" s="622">
        <f t="shared" si="82"/>
        <v>0</v>
      </c>
      <c r="G131" s="635"/>
      <c r="H131" s="51" t="s">
        <v>289</v>
      </c>
      <c r="I131" s="47">
        <v>115.47</v>
      </c>
      <c r="J131" s="47">
        <v>227.13</v>
      </c>
      <c r="K131" s="47">
        <v>227.13</v>
      </c>
      <c r="L131" s="622">
        <f t="shared" si="83"/>
        <v>569.73</v>
      </c>
      <c r="M131" s="622">
        <f t="shared" si="84"/>
        <v>338.79</v>
      </c>
    </row>
    <row r="132">
      <c r="A132" s="51" t="s">
        <v>291</v>
      </c>
      <c r="B132" s="47">
        <v>132.08</v>
      </c>
      <c r="C132" s="47">
        <v>132.08</v>
      </c>
      <c r="D132" s="47">
        <v>132.08</v>
      </c>
      <c r="E132" s="622">
        <f t="shared" si="81"/>
        <v>396.24</v>
      </c>
      <c r="F132" s="622">
        <f t="shared" si="82"/>
        <v>0</v>
      </c>
      <c r="G132" s="635"/>
      <c r="H132" s="51" t="s">
        <v>347</v>
      </c>
      <c r="I132" s="47">
        <v>0.0</v>
      </c>
      <c r="J132" s="47">
        <v>0.0</v>
      </c>
      <c r="K132" s="47">
        <v>0.0</v>
      </c>
      <c r="L132" s="622">
        <f t="shared" si="83"/>
        <v>0</v>
      </c>
      <c r="M132" s="622">
        <f t="shared" si="84"/>
        <v>-1488.87</v>
      </c>
    </row>
    <row r="133">
      <c r="A133" s="51" t="s">
        <v>292</v>
      </c>
      <c r="B133" s="638">
        <v>1490.77</v>
      </c>
      <c r="C133" s="638">
        <v>1298.06</v>
      </c>
      <c r="D133" s="638">
        <v>1165.27</v>
      </c>
      <c r="E133" s="639">
        <f t="shared" si="81"/>
        <v>3954.1</v>
      </c>
      <c r="F133" s="622">
        <f t="shared" si="82"/>
        <v>14.25</v>
      </c>
      <c r="G133" s="635"/>
      <c r="H133" s="51" t="s">
        <v>292</v>
      </c>
      <c r="I133" s="637">
        <v>187.91</v>
      </c>
      <c r="J133" s="637">
        <v>603.22</v>
      </c>
      <c r="K133" s="638">
        <v>1115.14</v>
      </c>
      <c r="L133" s="639">
        <f t="shared" si="83"/>
        <v>1906.27</v>
      </c>
      <c r="M133" s="622">
        <f t="shared" si="84"/>
        <v>1111.31</v>
      </c>
    </row>
    <row r="134">
      <c r="A134" s="51" t="s">
        <v>295</v>
      </c>
      <c r="B134" s="622">
        <f t="shared" ref="B134:D134" si="85">B129+B130+B131+B132+B133</f>
        <v>2203.14</v>
      </c>
      <c r="C134" s="622">
        <f t="shared" si="85"/>
        <v>2010.43</v>
      </c>
      <c r="D134" s="622">
        <f t="shared" si="85"/>
        <v>1877.64</v>
      </c>
      <c r="E134" s="641">
        <f t="shared" si="81"/>
        <v>6091.21</v>
      </c>
      <c r="F134" s="622">
        <f t="shared" si="82"/>
        <v>-130.98</v>
      </c>
      <c r="G134" s="635"/>
      <c r="H134" s="51" t="s">
        <v>295</v>
      </c>
      <c r="I134" s="47">
        <f t="shared" ref="I134:K134" si="86">SUM(I129:I133)</f>
        <v>905.39</v>
      </c>
      <c r="J134" s="47">
        <f t="shared" si="86"/>
        <v>1101.35</v>
      </c>
      <c r="K134" s="47">
        <f t="shared" si="86"/>
        <v>1614.27</v>
      </c>
      <c r="L134" s="641">
        <f t="shared" si="83"/>
        <v>3621.01</v>
      </c>
      <c r="M134" s="622">
        <f t="shared" si="84"/>
        <v>-865.79</v>
      </c>
    </row>
    <row r="135">
      <c r="A135" s="597"/>
      <c r="B135" s="597"/>
      <c r="C135" s="597"/>
      <c r="D135" s="597"/>
      <c r="E135" s="597"/>
      <c r="F135" s="597"/>
      <c r="G135" s="635"/>
    </row>
    <row r="136">
      <c r="A136" s="429" t="s">
        <v>283</v>
      </c>
      <c r="B136" s="429" t="s">
        <v>348</v>
      </c>
      <c r="C136" s="429" t="s">
        <v>349</v>
      </c>
      <c r="D136" s="429" t="s">
        <v>350</v>
      </c>
      <c r="E136" s="249" t="s">
        <v>305</v>
      </c>
      <c r="F136" s="636" t="s">
        <v>287</v>
      </c>
      <c r="G136" s="635"/>
      <c r="H136" s="429" t="s">
        <v>283</v>
      </c>
      <c r="I136" s="429" t="s">
        <v>349</v>
      </c>
      <c r="J136" s="429" t="s">
        <v>350</v>
      </c>
      <c r="K136" s="429" t="s">
        <v>344</v>
      </c>
      <c r="L136" s="249" t="s">
        <v>305</v>
      </c>
      <c r="M136" s="636" t="s">
        <v>287</v>
      </c>
    </row>
    <row r="137">
      <c r="A137" s="51" t="s">
        <v>288</v>
      </c>
      <c r="B137" s="47">
        <v>270.0</v>
      </c>
      <c r="C137" s="47">
        <v>270.0</v>
      </c>
      <c r="D137" s="47">
        <v>270.0</v>
      </c>
      <c r="E137" s="622">
        <f t="shared" ref="E137:E142" si="87">B137+C137+D137</f>
        <v>810</v>
      </c>
      <c r="F137" s="622">
        <f t="shared" ref="F137:F142" si="88">E137-E145</f>
        <v>0</v>
      </c>
      <c r="G137" s="635"/>
      <c r="H137" s="51" t="s">
        <v>288</v>
      </c>
      <c r="I137" s="47">
        <v>271.0</v>
      </c>
      <c r="J137" s="47">
        <v>271.0</v>
      </c>
      <c r="K137" s="47">
        <v>271.0</v>
      </c>
      <c r="L137" s="622">
        <f t="shared" ref="L137:L142" si="89">I137+J137+K137</f>
        <v>813</v>
      </c>
      <c r="M137" s="622">
        <f t="shared" ref="M137:M142" si="90">L137-L145</f>
        <v>0</v>
      </c>
    </row>
    <row r="138">
      <c r="A138" s="51" t="s">
        <v>289</v>
      </c>
      <c r="B138" s="51">
        <v>186.72</v>
      </c>
      <c r="C138" s="51">
        <v>186.72</v>
      </c>
      <c r="D138" s="51">
        <v>186.72</v>
      </c>
      <c r="E138">
        <f t="shared" si="87"/>
        <v>560.16</v>
      </c>
      <c r="F138">
        <f t="shared" si="88"/>
        <v>-105.75</v>
      </c>
      <c r="G138" s="635"/>
      <c r="H138" s="51" t="s">
        <v>120</v>
      </c>
      <c r="I138" s="47">
        <v>497.01</v>
      </c>
      <c r="J138" s="47">
        <v>331.01</v>
      </c>
      <c r="K138" s="47">
        <v>331.01</v>
      </c>
      <c r="L138" s="622">
        <f t="shared" si="89"/>
        <v>1159.03</v>
      </c>
      <c r="M138" s="622">
        <f t="shared" si="90"/>
        <v>-332</v>
      </c>
    </row>
    <row r="139">
      <c r="A139" s="51" t="s">
        <v>290</v>
      </c>
      <c r="B139" s="51">
        <v>171.98</v>
      </c>
      <c r="C139" s="51">
        <v>171.98</v>
      </c>
      <c r="D139" s="51">
        <v>171.98</v>
      </c>
      <c r="E139">
        <f t="shared" si="87"/>
        <v>515.94</v>
      </c>
      <c r="F139" s="622">
        <f t="shared" si="88"/>
        <v>0.9</v>
      </c>
      <c r="G139" s="635"/>
      <c r="H139" s="51" t="s">
        <v>289</v>
      </c>
      <c r="I139" s="47">
        <v>0.0</v>
      </c>
      <c r="J139" s="47">
        <v>115.47</v>
      </c>
      <c r="K139" s="47">
        <v>115.47</v>
      </c>
      <c r="L139" s="622">
        <f t="shared" si="89"/>
        <v>230.94</v>
      </c>
      <c r="M139" s="622">
        <f t="shared" si="90"/>
        <v>230.94</v>
      </c>
    </row>
    <row r="140">
      <c r="A140" s="51" t="s">
        <v>291</v>
      </c>
      <c r="B140" s="47">
        <v>132.08</v>
      </c>
      <c r="C140" s="47">
        <v>132.08</v>
      </c>
      <c r="D140" s="47">
        <v>132.08</v>
      </c>
      <c r="E140" s="622">
        <f t="shared" si="87"/>
        <v>396.24</v>
      </c>
      <c r="F140" s="622">
        <f t="shared" si="88"/>
        <v>0.39</v>
      </c>
      <c r="G140" s="635"/>
      <c r="H140" s="51" t="s">
        <v>347</v>
      </c>
      <c r="I140" s="47">
        <v>685.1</v>
      </c>
      <c r="J140" s="47">
        <v>626.97</v>
      </c>
      <c r="K140" s="47">
        <v>176.8</v>
      </c>
      <c r="L140" s="622">
        <f t="shared" si="89"/>
        <v>1488.87</v>
      </c>
      <c r="M140" s="622">
        <f t="shared" si="90"/>
        <v>989.08</v>
      </c>
    </row>
    <row r="141">
      <c r="A141" s="51" t="s">
        <v>292</v>
      </c>
      <c r="B141" s="638">
        <v>1213.91</v>
      </c>
      <c r="C141" s="638">
        <v>1327.37</v>
      </c>
      <c r="D141" s="638">
        <v>1398.57</v>
      </c>
      <c r="E141" s="603">
        <f t="shared" si="87"/>
        <v>3939.85</v>
      </c>
      <c r="F141">
        <f t="shared" si="88"/>
        <v>301.05</v>
      </c>
      <c r="G141" s="635"/>
      <c r="H141" s="51" t="s">
        <v>292</v>
      </c>
      <c r="I141" s="637">
        <v>0.0</v>
      </c>
      <c r="J141" s="638">
        <v>63.88</v>
      </c>
      <c r="K141" s="638">
        <v>731.08</v>
      </c>
      <c r="L141" s="639">
        <f t="shared" si="89"/>
        <v>794.96</v>
      </c>
      <c r="M141" s="622">
        <f t="shared" si="90"/>
        <v>707.11</v>
      </c>
    </row>
    <row r="142">
      <c r="A142" s="51" t="s">
        <v>295</v>
      </c>
      <c r="B142" s="622">
        <f t="shared" ref="B142:D142" si="91">B137+B138+B139+B140+B141</f>
        <v>1974.69</v>
      </c>
      <c r="C142" s="622">
        <f t="shared" si="91"/>
        <v>2088.15</v>
      </c>
      <c r="D142" s="622">
        <f t="shared" si="91"/>
        <v>2159.35</v>
      </c>
      <c r="E142" s="641">
        <f t="shared" si="87"/>
        <v>6222.19</v>
      </c>
      <c r="F142" s="622">
        <f t="shared" si="88"/>
        <v>196.59</v>
      </c>
      <c r="G142" s="635"/>
      <c r="H142" s="51" t="s">
        <v>295</v>
      </c>
      <c r="I142" s="47">
        <f t="shared" ref="I142:K142" si="92">SUM(I137:I141)</f>
        <v>1453.11</v>
      </c>
      <c r="J142" s="47">
        <f t="shared" si="92"/>
        <v>1408.33</v>
      </c>
      <c r="K142" s="47">
        <f t="shared" si="92"/>
        <v>1625.36</v>
      </c>
      <c r="L142" s="641">
        <f t="shared" si="89"/>
        <v>4486.8</v>
      </c>
      <c r="M142" s="622">
        <f t="shared" si="90"/>
        <v>1595.13</v>
      </c>
    </row>
    <row r="143">
      <c r="A143" s="597"/>
      <c r="B143" s="597"/>
      <c r="C143" s="597"/>
      <c r="D143" s="597"/>
      <c r="E143" s="597"/>
      <c r="F143" s="597"/>
      <c r="G143" s="635"/>
    </row>
    <row r="144">
      <c r="A144" s="429" t="s">
        <v>283</v>
      </c>
      <c r="B144" s="429" t="s">
        <v>351</v>
      </c>
      <c r="C144" s="429" t="s">
        <v>352</v>
      </c>
      <c r="D144" s="429" t="s">
        <v>353</v>
      </c>
      <c r="E144" s="249" t="s">
        <v>305</v>
      </c>
      <c r="F144" s="636" t="s">
        <v>287</v>
      </c>
      <c r="G144" s="635"/>
      <c r="H144" s="429" t="s">
        <v>283</v>
      </c>
      <c r="I144" s="429" t="s">
        <v>352</v>
      </c>
      <c r="J144" s="429" t="s">
        <v>353</v>
      </c>
      <c r="K144" s="429" t="s">
        <v>348</v>
      </c>
      <c r="L144" s="249" t="s">
        <v>305</v>
      </c>
      <c r="M144" s="636" t="s">
        <v>287</v>
      </c>
    </row>
    <row r="145">
      <c r="A145" s="51" t="s">
        <v>288</v>
      </c>
      <c r="B145" s="47">
        <v>270.0</v>
      </c>
      <c r="C145" s="47">
        <v>270.0</v>
      </c>
      <c r="D145" s="47">
        <v>270.0</v>
      </c>
      <c r="E145" s="622">
        <f t="shared" ref="E145:E150" si="93">B145+C145+D145</f>
        <v>810</v>
      </c>
      <c r="G145" s="635"/>
      <c r="H145" s="51" t="s">
        <v>288</v>
      </c>
      <c r="I145" s="47">
        <v>271.0</v>
      </c>
      <c r="J145" s="47">
        <v>271.0</v>
      </c>
      <c r="K145" s="47">
        <v>271.0</v>
      </c>
      <c r="L145" s="622">
        <f t="shared" ref="L145:L150" si="94">I145+J145+K145</f>
        <v>813</v>
      </c>
    </row>
    <row r="146">
      <c r="A146" s="51" t="s">
        <v>289</v>
      </c>
      <c r="B146" s="51">
        <v>221.97</v>
      </c>
      <c r="C146" s="51">
        <v>221.97</v>
      </c>
      <c r="D146" s="51">
        <v>221.97</v>
      </c>
      <c r="E146">
        <f t="shared" si="93"/>
        <v>665.91</v>
      </c>
      <c r="G146" s="635"/>
      <c r="H146" s="51" t="s">
        <v>120</v>
      </c>
      <c r="I146" s="47">
        <v>497.01</v>
      </c>
      <c r="J146" s="47">
        <v>497.01</v>
      </c>
      <c r="K146" s="47">
        <v>497.01</v>
      </c>
      <c r="L146" s="622">
        <f t="shared" si="94"/>
        <v>1491.03</v>
      </c>
    </row>
    <row r="147">
      <c r="A147" s="51" t="s">
        <v>290</v>
      </c>
      <c r="B147" s="51">
        <v>171.56</v>
      </c>
      <c r="C147" s="51">
        <v>171.74</v>
      </c>
      <c r="D147" s="51">
        <v>171.74</v>
      </c>
      <c r="E147">
        <f t="shared" si="93"/>
        <v>515.04</v>
      </c>
      <c r="G147" s="635"/>
      <c r="H147" s="51" t="s">
        <v>289</v>
      </c>
      <c r="I147" s="47">
        <v>0.0</v>
      </c>
      <c r="J147" s="47">
        <v>0.0</v>
      </c>
      <c r="K147" s="47">
        <v>0.0</v>
      </c>
      <c r="L147" s="622">
        <f t="shared" si="94"/>
        <v>0</v>
      </c>
      <c r="M147" s="622"/>
    </row>
    <row r="148">
      <c r="A148" s="51" t="s">
        <v>291</v>
      </c>
      <c r="B148" s="47">
        <v>131.95</v>
      </c>
      <c r="C148" s="47">
        <v>131.95</v>
      </c>
      <c r="D148" s="47">
        <v>131.95</v>
      </c>
      <c r="E148" s="622">
        <f t="shared" si="93"/>
        <v>395.85</v>
      </c>
      <c r="G148" s="635"/>
      <c r="H148" s="51" t="s">
        <v>347</v>
      </c>
      <c r="I148" s="47">
        <v>0.0</v>
      </c>
      <c r="J148" s="47">
        <v>0.0</v>
      </c>
      <c r="K148" s="47">
        <v>499.79</v>
      </c>
      <c r="L148" s="622">
        <f t="shared" si="94"/>
        <v>499.79</v>
      </c>
    </row>
    <row r="149">
      <c r="A149" s="51" t="s">
        <v>292</v>
      </c>
      <c r="B149" s="638">
        <v>1075.14</v>
      </c>
      <c r="C149" s="638">
        <v>1247.53</v>
      </c>
      <c r="D149" s="638">
        <v>1316.13</v>
      </c>
      <c r="E149" s="603">
        <f t="shared" si="93"/>
        <v>3638.8</v>
      </c>
      <c r="F149" s="622">
        <f>E149-E157</f>
        <v>539.34</v>
      </c>
      <c r="G149" s="635"/>
      <c r="H149" s="51" t="s">
        <v>292</v>
      </c>
      <c r="I149" s="637">
        <v>0.0</v>
      </c>
      <c r="J149" s="638">
        <v>87.85</v>
      </c>
      <c r="K149" s="637">
        <v>0.0</v>
      </c>
      <c r="L149" s="639">
        <f t="shared" si="94"/>
        <v>87.85</v>
      </c>
      <c r="M149" s="622">
        <f>L149-L158</f>
        <v>87.85</v>
      </c>
    </row>
    <row r="150">
      <c r="A150" s="51" t="s">
        <v>295</v>
      </c>
      <c r="B150" s="47">
        <f t="shared" ref="B150:D150" si="95">SUM(B145:B149)</f>
        <v>1870.62</v>
      </c>
      <c r="C150" s="47">
        <f t="shared" si="95"/>
        <v>2043.19</v>
      </c>
      <c r="D150" s="47">
        <f t="shared" si="95"/>
        <v>2111.79</v>
      </c>
      <c r="E150" s="641">
        <f t="shared" si="93"/>
        <v>6025.6</v>
      </c>
      <c r="G150" s="635"/>
      <c r="H150" s="51" t="s">
        <v>295</v>
      </c>
      <c r="I150" s="47">
        <f t="shared" ref="I150:K150" si="96">SUM(I145:I149)</f>
        <v>768.01</v>
      </c>
      <c r="J150" s="47">
        <f t="shared" si="96"/>
        <v>855.86</v>
      </c>
      <c r="K150" s="47">
        <f t="shared" si="96"/>
        <v>1267.8</v>
      </c>
      <c r="L150" s="641">
        <f t="shared" si="94"/>
        <v>2891.67</v>
      </c>
    </row>
    <row r="151">
      <c r="A151" s="597"/>
      <c r="B151" s="597"/>
      <c r="C151" s="597"/>
      <c r="D151" s="597"/>
      <c r="E151" s="597"/>
      <c r="F151" s="597"/>
      <c r="G151" s="635"/>
    </row>
    <row r="152">
      <c r="A152" s="429" t="s">
        <v>283</v>
      </c>
      <c r="B152" s="429" t="s">
        <v>354</v>
      </c>
      <c r="C152" s="429" t="s">
        <v>355</v>
      </c>
      <c r="D152" s="429" t="s">
        <v>356</v>
      </c>
      <c r="F152" s="636" t="s">
        <v>287</v>
      </c>
      <c r="G152" s="635"/>
    </row>
    <row r="153">
      <c r="A153" s="51" t="s">
        <v>288</v>
      </c>
      <c r="B153" s="47">
        <v>230.0</v>
      </c>
      <c r="C153" s="47">
        <v>230.0</v>
      </c>
      <c r="D153" s="47">
        <v>230.0</v>
      </c>
      <c r="E153" s="622">
        <f t="shared" ref="E153:E158" si="97">B153+C153+D153</f>
        <v>690</v>
      </c>
      <c r="G153" s="635"/>
    </row>
    <row r="154">
      <c r="A154" s="51" t="s">
        <v>289</v>
      </c>
      <c r="B154" s="47">
        <v>199.68</v>
      </c>
      <c r="C154" s="47">
        <v>199.68</v>
      </c>
      <c r="D154" s="47">
        <v>199.68</v>
      </c>
      <c r="E154" s="622">
        <f t="shared" si="97"/>
        <v>599.04</v>
      </c>
      <c r="G154" s="635"/>
    </row>
    <row r="155">
      <c r="A155" s="51" t="s">
        <v>290</v>
      </c>
      <c r="B155" s="51">
        <v>171.56</v>
      </c>
      <c r="C155" s="51">
        <v>171.56</v>
      </c>
      <c r="D155" s="51">
        <v>171.56</v>
      </c>
      <c r="E155">
        <f t="shared" si="97"/>
        <v>514.68</v>
      </c>
      <c r="G155" s="635"/>
    </row>
    <row r="156">
      <c r="A156" s="51" t="s">
        <v>291</v>
      </c>
      <c r="B156" s="47">
        <v>131.95</v>
      </c>
      <c r="C156" s="47">
        <v>131.5</v>
      </c>
      <c r="D156" s="47">
        <v>131.5</v>
      </c>
      <c r="E156" s="622">
        <f t="shared" si="97"/>
        <v>394.95</v>
      </c>
      <c r="G156" s="635"/>
    </row>
    <row r="157">
      <c r="A157" s="51" t="s">
        <v>292</v>
      </c>
      <c r="B157" s="637">
        <v>1044.3</v>
      </c>
      <c r="C157" s="638">
        <v>1088.25</v>
      </c>
      <c r="D157" s="638">
        <v>966.91</v>
      </c>
      <c r="E157" s="639">
        <f t="shared" si="97"/>
        <v>3099.46</v>
      </c>
      <c r="G157" s="635"/>
    </row>
    <row r="158">
      <c r="A158" s="51" t="s">
        <v>295</v>
      </c>
      <c r="B158" s="622">
        <f t="shared" ref="B158:D158" si="98">B153+B154+B155+B156+B157</f>
        <v>1777.49</v>
      </c>
      <c r="C158" s="622">
        <f t="shared" si="98"/>
        <v>1820.99</v>
      </c>
      <c r="D158" s="622">
        <f t="shared" si="98"/>
        <v>1699.65</v>
      </c>
      <c r="E158" s="622">
        <f t="shared" si="97"/>
        <v>5298.13</v>
      </c>
      <c r="G158" s="635"/>
    </row>
    <row r="159">
      <c r="G159" s="635"/>
    </row>
    <row r="160">
      <c r="G160" s="635"/>
    </row>
    <row r="168">
      <c r="G168" s="635"/>
    </row>
    <row r="176">
      <c r="G176" s="635"/>
    </row>
    <row r="184">
      <c r="G184" s="635"/>
    </row>
    <row r="201">
      <c r="G201" s="635"/>
    </row>
    <row r="202">
      <c r="G202" s="635"/>
    </row>
    <row r="203">
      <c r="G203" s="635"/>
    </row>
    <row r="204">
      <c r="G204" s="635"/>
    </row>
    <row r="205">
      <c r="G205" s="635"/>
    </row>
    <row r="206">
      <c r="G206" s="635"/>
    </row>
    <row r="207">
      <c r="G207" s="635"/>
    </row>
    <row r="208">
      <c r="G208" s="635"/>
    </row>
    <row r="209">
      <c r="G209" s="635"/>
    </row>
    <row r="210">
      <c r="G210" s="635"/>
    </row>
    <row r="211">
      <c r="G211" s="635"/>
    </row>
    <row r="212">
      <c r="G212" s="635"/>
    </row>
    <row r="213">
      <c r="G213" s="635"/>
    </row>
    <row r="214">
      <c r="G214" s="635"/>
    </row>
    <row r="215">
      <c r="G215" s="635"/>
    </row>
    <row r="216">
      <c r="G216" s="635"/>
    </row>
    <row r="217">
      <c r="G217" s="635"/>
    </row>
    <row r="218">
      <c r="G218" s="635"/>
    </row>
    <row r="219">
      <c r="G219" s="635"/>
    </row>
    <row r="220">
      <c r="G220" s="635"/>
    </row>
    <row r="221">
      <c r="G221" s="635"/>
    </row>
    <row r="222">
      <c r="G222" s="635"/>
    </row>
    <row r="223">
      <c r="G223" s="635"/>
    </row>
    <row r="224">
      <c r="G224" s="635"/>
    </row>
    <row r="225">
      <c r="G225" s="635"/>
    </row>
    <row r="226">
      <c r="G226" s="635"/>
    </row>
    <row r="227">
      <c r="G227" s="635"/>
    </row>
    <row r="228">
      <c r="G228" s="635"/>
    </row>
    <row r="229">
      <c r="G229" s="635"/>
    </row>
    <row r="230">
      <c r="G230" s="635"/>
    </row>
    <row r="231">
      <c r="G231" s="635"/>
    </row>
    <row r="232">
      <c r="G232" s="635"/>
    </row>
    <row r="233">
      <c r="G233" s="635"/>
    </row>
    <row r="234">
      <c r="G234" s="635"/>
    </row>
    <row r="235">
      <c r="G235" s="635"/>
    </row>
    <row r="236">
      <c r="G236" s="635"/>
    </row>
    <row r="237">
      <c r="G237" s="635"/>
    </row>
    <row r="238">
      <c r="G238" s="635"/>
    </row>
    <row r="239">
      <c r="G239" s="635"/>
    </row>
    <row r="240">
      <c r="G240" s="635"/>
    </row>
    <row r="241">
      <c r="G241" s="635"/>
    </row>
    <row r="242">
      <c r="G242" s="635"/>
    </row>
    <row r="243">
      <c r="G243" s="635"/>
    </row>
    <row r="244">
      <c r="G244" s="635"/>
    </row>
    <row r="245">
      <c r="G245" s="635"/>
    </row>
    <row r="246">
      <c r="G246" s="635"/>
    </row>
    <row r="247">
      <c r="G247" s="635"/>
    </row>
    <row r="248">
      <c r="G248" s="635"/>
    </row>
    <row r="249">
      <c r="G249" s="635"/>
    </row>
    <row r="250">
      <c r="G250" s="635"/>
    </row>
    <row r="251">
      <c r="G251" s="635"/>
    </row>
    <row r="252">
      <c r="G252" s="635"/>
    </row>
  </sheetData>
  <mergeCells count="3">
    <mergeCell ref="A2:L2"/>
    <mergeCell ref="A3:F3"/>
    <mergeCell ref="H3:M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21.0"/>
    <col customWidth="1" min="2" max="2" width="19.57"/>
    <col customWidth="1" min="3" max="3" width="56.0"/>
    <col customWidth="1" min="6" max="6" width="17.86"/>
    <col customWidth="1" min="7" max="7" width="31.57"/>
    <col customWidth="1" min="8" max="8" width="4.43"/>
    <col customWidth="1" min="9" max="9" width="19.14"/>
    <col customWidth="1" min="10" max="10" width="13.86"/>
    <col customWidth="1" min="11" max="11" width="51.57"/>
    <col customWidth="1" min="13" max="13" width="4.43"/>
    <col customWidth="1" min="15" max="15" width="17.86"/>
    <col customWidth="1" min="16" max="16" width="39.43"/>
    <col customWidth="1" min="18" max="18" width="4.43"/>
  </cols>
  <sheetData>
    <row r="1">
      <c r="A1" s="645" t="s">
        <v>281</v>
      </c>
      <c r="H1" s="646"/>
      <c r="I1" s="645" t="s">
        <v>282</v>
      </c>
      <c r="M1" s="646"/>
      <c r="N1" s="645" t="s">
        <v>357</v>
      </c>
      <c r="R1" s="646"/>
    </row>
    <row r="2">
      <c r="A2" s="647" t="s">
        <v>358</v>
      </c>
      <c r="C2" s="648" t="s">
        <v>359</v>
      </c>
      <c r="D2" s="648" t="s">
        <v>360</v>
      </c>
      <c r="E2" s="648" t="s">
        <v>361</v>
      </c>
      <c r="F2" s="648" t="s">
        <v>362</v>
      </c>
      <c r="G2" s="648" t="s">
        <v>363</v>
      </c>
      <c r="H2" s="646"/>
      <c r="I2" s="647" t="s">
        <v>358</v>
      </c>
      <c r="K2" s="648" t="s">
        <v>359</v>
      </c>
      <c r="L2" s="648" t="s">
        <v>360</v>
      </c>
      <c r="M2" s="646"/>
      <c r="N2" s="647" t="s">
        <v>358</v>
      </c>
      <c r="P2" s="648" t="s">
        <v>359</v>
      </c>
      <c r="Q2" s="648" t="s">
        <v>360</v>
      </c>
      <c r="R2" s="646"/>
    </row>
    <row r="3">
      <c r="A3" s="51" t="s">
        <v>364</v>
      </c>
      <c r="B3" s="51" t="s">
        <v>365</v>
      </c>
      <c r="C3" s="649">
        <v>813.0</v>
      </c>
      <c r="D3" s="51" t="s">
        <v>366</v>
      </c>
      <c r="E3" s="51" t="b">
        <v>0</v>
      </c>
      <c r="F3" t="b">
        <v>0</v>
      </c>
      <c r="H3" s="646"/>
      <c r="I3" s="51" t="s">
        <v>367</v>
      </c>
      <c r="J3" s="51" t="s">
        <v>368</v>
      </c>
      <c r="K3" s="51" t="s">
        <v>369</v>
      </c>
      <c r="L3" s="51" t="s">
        <v>370</v>
      </c>
      <c r="M3" s="646"/>
      <c r="R3" s="646"/>
    </row>
    <row r="4">
      <c r="A4" s="51" t="s">
        <v>364</v>
      </c>
      <c r="B4" s="51" t="s">
        <v>365</v>
      </c>
      <c r="C4" s="649">
        <v>729.0</v>
      </c>
      <c r="D4" s="51" t="s">
        <v>366</v>
      </c>
      <c r="E4" s="51" t="b">
        <v>0</v>
      </c>
      <c r="F4" t="b">
        <v>0</v>
      </c>
      <c r="H4" s="646"/>
      <c r="I4" s="51" t="s">
        <v>367</v>
      </c>
      <c r="J4" s="51" t="s">
        <v>368</v>
      </c>
      <c r="K4" s="51" t="s">
        <v>371</v>
      </c>
      <c r="L4" s="51" t="s">
        <v>370</v>
      </c>
      <c r="M4" s="646"/>
      <c r="R4" s="646"/>
    </row>
    <row r="5">
      <c r="A5" s="51" t="s">
        <v>364</v>
      </c>
      <c r="B5" s="51" t="s">
        <v>365</v>
      </c>
      <c r="C5" s="649">
        <v>719.0</v>
      </c>
      <c r="D5" s="51" t="s">
        <v>366</v>
      </c>
      <c r="E5" s="51" t="b">
        <v>0</v>
      </c>
      <c r="F5" t="b">
        <v>0</v>
      </c>
      <c r="H5" s="646"/>
      <c r="I5" s="51" t="s">
        <v>367</v>
      </c>
      <c r="J5" s="51" t="s">
        <v>368</v>
      </c>
      <c r="K5" s="51" t="s">
        <v>372</v>
      </c>
      <c r="L5" s="51" t="s">
        <v>370</v>
      </c>
      <c r="M5" s="646"/>
      <c r="R5" s="646"/>
    </row>
    <row r="6">
      <c r="A6" s="51" t="s">
        <v>364</v>
      </c>
      <c r="B6" s="51" t="s">
        <v>365</v>
      </c>
      <c r="C6" s="649">
        <v>697.0</v>
      </c>
      <c r="D6" s="51" t="s">
        <v>366</v>
      </c>
      <c r="E6" s="51" t="b">
        <v>0</v>
      </c>
      <c r="F6" t="b">
        <v>0</v>
      </c>
      <c r="H6" s="646"/>
      <c r="I6" s="51" t="s">
        <v>367</v>
      </c>
      <c r="J6" s="51" t="s">
        <v>368</v>
      </c>
      <c r="K6" s="51" t="s">
        <v>373</v>
      </c>
      <c r="L6" s="51" t="s">
        <v>370</v>
      </c>
      <c r="M6" s="646"/>
      <c r="R6" s="646"/>
    </row>
    <row r="7">
      <c r="A7" s="51" t="s">
        <v>374</v>
      </c>
      <c r="B7" s="51" t="s">
        <v>375</v>
      </c>
      <c r="C7" s="51" t="s">
        <v>376</v>
      </c>
      <c r="D7" s="51" t="s">
        <v>366</v>
      </c>
      <c r="E7" s="51" t="b">
        <v>0</v>
      </c>
      <c r="F7" t="b">
        <v>0</v>
      </c>
      <c r="H7" s="646"/>
      <c r="I7" s="51" t="s">
        <v>377</v>
      </c>
      <c r="J7" s="51" t="s">
        <v>378</v>
      </c>
      <c r="K7" s="51" t="s">
        <v>379</v>
      </c>
      <c r="L7" s="51" t="s">
        <v>366</v>
      </c>
      <c r="M7" s="646"/>
      <c r="N7" s="51" t="s">
        <v>380</v>
      </c>
      <c r="O7" s="51" t="s">
        <v>381</v>
      </c>
      <c r="P7" s="51" t="s">
        <v>382</v>
      </c>
      <c r="Q7" s="51" t="s">
        <v>370</v>
      </c>
      <c r="R7" s="646"/>
    </row>
    <row r="8">
      <c r="A8" s="51" t="s">
        <v>383</v>
      </c>
      <c r="B8" s="51" t="s">
        <v>384</v>
      </c>
      <c r="C8" s="51" t="s">
        <v>385</v>
      </c>
      <c r="D8" s="51" t="s">
        <v>370</v>
      </c>
      <c r="E8" s="51" t="b">
        <v>0</v>
      </c>
      <c r="F8" t="b">
        <v>0</v>
      </c>
      <c r="H8" s="646"/>
      <c r="I8" s="51" t="s">
        <v>377</v>
      </c>
      <c r="J8" s="51" t="s">
        <v>378</v>
      </c>
      <c r="K8" s="51" t="s">
        <v>379</v>
      </c>
      <c r="L8" s="51" t="s">
        <v>366</v>
      </c>
      <c r="M8" s="646"/>
      <c r="R8" s="646"/>
    </row>
    <row r="9">
      <c r="A9" s="51" t="s">
        <v>386</v>
      </c>
      <c r="B9" s="51" t="s">
        <v>387</v>
      </c>
      <c r="C9" s="51" t="s">
        <v>388</v>
      </c>
      <c r="D9" s="51" t="s">
        <v>366</v>
      </c>
      <c r="E9" s="51" t="b">
        <v>0</v>
      </c>
      <c r="F9" t="b">
        <v>0</v>
      </c>
      <c r="H9" s="646"/>
      <c r="I9" s="51" t="s">
        <v>389</v>
      </c>
      <c r="J9" s="51" t="s">
        <v>390</v>
      </c>
      <c r="K9" s="51" t="s">
        <v>391</v>
      </c>
      <c r="L9" s="51" t="s">
        <v>366</v>
      </c>
      <c r="M9" s="646"/>
      <c r="R9" s="646"/>
    </row>
    <row r="10">
      <c r="A10" s="51" t="s">
        <v>392</v>
      </c>
      <c r="B10" s="51" t="s">
        <v>393</v>
      </c>
      <c r="C10" s="51" t="s">
        <v>394</v>
      </c>
      <c r="D10" s="51" t="s">
        <v>366</v>
      </c>
      <c r="E10" s="51" t="b">
        <v>0</v>
      </c>
      <c r="F10" t="b">
        <v>0</v>
      </c>
      <c r="H10" s="646"/>
      <c r="I10" s="51" t="s">
        <v>395</v>
      </c>
      <c r="J10" s="51" t="s">
        <v>396</v>
      </c>
      <c r="K10" s="51" t="s">
        <v>397</v>
      </c>
      <c r="L10" s="51" t="s">
        <v>366</v>
      </c>
      <c r="M10" s="646"/>
      <c r="R10" s="646"/>
    </row>
    <row r="11">
      <c r="A11" s="51" t="s">
        <v>398</v>
      </c>
      <c r="B11" s="51" t="s">
        <v>399</v>
      </c>
      <c r="C11" s="51" t="s">
        <v>400</v>
      </c>
      <c r="D11" s="51" t="s">
        <v>366</v>
      </c>
      <c r="E11" s="51" t="b">
        <v>0</v>
      </c>
      <c r="F11" t="b">
        <v>0</v>
      </c>
      <c r="H11" s="646"/>
      <c r="I11" s="51" t="s">
        <v>401</v>
      </c>
      <c r="J11" s="51" t="s">
        <v>402</v>
      </c>
      <c r="K11" s="51" t="s">
        <v>403</v>
      </c>
      <c r="L11" s="51" t="s">
        <v>370</v>
      </c>
      <c r="M11" s="646"/>
      <c r="R11" s="646"/>
    </row>
    <row r="12">
      <c r="A12" s="51" t="s">
        <v>404</v>
      </c>
      <c r="C12" s="51" t="s">
        <v>405</v>
      </c>
      <c r="D12" s="51" t="s">
        <v>370</v>
      </c>
      <c r="E12" s="51" t="b">
        <v>0</v>
      </c>
      <c r="F12" t="b">
        <v>0</v>
      </c>
      <c r="H12" s="646"/>
      <c r="I12" s="51" t="s">
        <v>406</v>
      </c>
      <c r="J12" s="51" t="s">
        <v>407</v>
      </c>
      <c r="K12" s="51" t="s">
        <v>408</v>
      </c>
      <c r="L12" s="51" t="s">
        <v>366</v>
      </c>
      <c r="M12" s="646"/>
      <c r="R12" s="646"/>
    </row>
    <row r="13">
      <c r="A13" s="51" t="s">
        <v>409</v>
      </c>
      <c r="B13" s="51" t="s">
        <v>410</v>
      </c>
      <c r="C13" s="51" t="s">
        <v>411</v>
      </c>
      <c r="D13" s="51" t="s">
        <v>366</v>
      </c>
      <c r="E13" t="b">
        <v>0</v>
      </c>
      <c r="F13" t="b">
        <v>0</v>
      </c>
      <c r="H13" s="646"/>
      <c r="I13" s="51" t="s">
        <v>412</v>
      </c>
      <c r="J13" s="51" t="s">
        <v>413</v>
      </c>
      <c r="K13" s="51" t="s">
        <v>414</v>
      </c>
      <c r="L13" s="51" t="s">
        <v>370</v>
      </c>
      <c r="M13" s="646"/>
      <c r="R13" s="646"/>
    </row>
    <row r="14">
      <c r="A14" s="51" t="s">
        <v>364</v>
      </c>
      <c r="B14" s="51" t="s">
        <v>365</v>
      </c>
      <c r="C14" s="649">
        <v>820.0</v>
      </c>
      <c r="D14" s="51" t="s">
        <v>366</v>
      </c>
      <c r="E14" s="51" t="b">
        <v>0</v>
      </c>
      <c r="F14" t="b">
        <v>0</v>
      </c>
      <c r="H14" s="646"/>
      <c r="I14" s="51" t="s">
        <v>412</v>
      </c>
      <c r="J14" s="51" t="s">
        <v>413</v>
      </c>
      <c r="K14" s="51" t="s">
        <v>415</v>
      </c>
      <c r="L14" s="51" t="s">
        <v>370</v>
      </c>
      <c r="M14" s="646"/>
      <c r="R14" s="646"/>
    </row>
    <row r="15">
      <c r="A15" s="51" t="s">
        <v>416</v>
      </c>
      <c r="B15" s="51" t="s">
        <v>417</v>
      </c>
      <c r="C15" s="51" t="s">
        <v>418</v>
      </c>
      <c r="D15" s="51" t="s">
        <v>366</v>
      </c>
      <c r="E15" s="51" t="b">
        <v>0</v>
      </c>
      <c r="F15" t="b">
        <v>0</v>
      </c>
      <c r="H15" s="646"/>
      <c r="I15" s="51" t="s">
        <v>419</v>
      </c>
      <c r="J15" s="51" t="s">
        <v>420</v>
      </c>
      <c r="K15" s="51" t="s">
        <v>421</v>
      </c>
      <c r="L15" s="51" t="s">
        <v>366</v>
      </c>
      <c r="M15" s="646"/>
      <c r="R15" s="646"/>
    </row>
    <row r="16">
      <c r="A16" s="51" t="s">
        <v>422</v>
      </c>
      <c r="B16" s="51" t="s">
        <v>423</v>
      </c>
      <c r="C16" s="51" t="s">
        <v>424</v>
      </c>
      <c r="D16" s="51" t="s">
        <v>366</v>
      </c>
      <c r="E16" s="51" t="b">
        <v>0</v>
      </c>
      <c r="F16" t="b">
        <v>0</v>
      </c>
      <c r="H16" s="646"/>
      <c r="I16" s="51" t="s">
        <v>419</v>
      </c>
      <c r="J16" s="51" t="s">
        <v>420</v>
      </c>
      <c r="K16" s="51" t="s">
        <v>425</v>
      </c>
      <c r="L16" s="51" t="s">
        <v>366</v>
      </c>
      <c r="M16" s="646"/>
      <c r="R16" s="646"/>
    </row>
    <row r="17">
      <c r="A17" s="51" t="s">
        <v>426</v>
      </c>
      <c r="B17" s="51" t="s">
        <v>427</v>
      </c>
      <c r="C17" s="51" t="s">
        <v>428</v>
      </c>
      <c r="D17" s="51" t="s">
        <v>366</v>
      </c>
      <c r="E17" s="51" t="b">
        <v>0</v>
      </c>
      <c r="F17" t="b">
        <v>0</v>
      </c>
      <c r="H17" s="646"/>
      <c r="I17" s="51" t="s">
        <v>419</v>
      </c>
      <c r="J17" s="51" t="s">
        <v>420</v>
      </c>
      <c r="K17" s="51" t="s">
        <v>429</v>
      </c>
      <c r="L17" s="51" t="s">
        <v>366</v>
      </c>
      <c r="M17" s="646"/>
      <c r="N17" s="51" t="s">
        <v>430</v>
      </c>
      <c r="O17" s="51" t="s">
        <v>431</v>
      </c>
      <c r="P17" s="51" t="s">
        <v>432</v>
      </c>
      <c r="Q17" s="51" t="s">
        <v>366</v>
      </c>
      <c r="R17" s="646"/>
    </row>
    <row r="18">
      <c r="A18" s="51" t="s">
        <v>433</v>
      </c>
      <c r="B18" s="51" t="s">
        <v>390</v>
      </c>
      <c r="C18" s="51" t="s">
        <v>434</v>
      </c>
      <c r="D18" s="51" t="s">
        <v>366</v>
      </c>
      <c r="E18" s="51" t="b">
        <v>0</v>
      </c>
      <c r="F18" t="b">
        <v>0</v>
      </c>
      <c r="H18" s="646"/>
      <c r="I18" s="51" t="s">
        <v>419</v>
      </c>
      <c r="J18" s="51" t="s">
        <v>420</v>
      </c>
      <c r="K18" s="51" t="s">
        <v>435</v>
      </c>
      <c r="L18" s="51" t="s">
        <v>366</v>
      </c>
      <c r="M18" s="646"/>
      <c r="R18" s="646"/>
    </row>
    <row r="19">
      <c r="A19" s="51" t="s">
        <v>436</v>
      </c>
      <c r="B19" s="51" t="s">
        <v>437</v>
      </c>
      <c r="C19" s="51" t="s">
        <v>438</v>
      </c>
      <c r="D19" s="51" t="s">
        <v>366</v>
      </c>
      <c r="E19" s="51" t="b">
        <v>0</v>
      </c>
      <c r="F19" t="b">
        <v>0</v>
      </c>
      <c r="H19" s="646"/>
      <c r="I19" s="51" t="s">
        <v>439</v>
      </c>
      <c r="J19" s="51" t="s">
        <v>440</v>
      </c>
      <c r="K19" s="51" t="s">
        <v>441</v>
      </c>
      <c r="L19" s="51" t="s">
        <v>366</v>
      </c>
      <c r="M19" s="646"/>
      <c r="R19" s="646"/>
    </row>
    <row r="20">
      <c r="A20" s="51" t="s">
        <v>442</v>
      </c>
      <c r="B20" s="51" t="s">
        <v>443</v>
      </c>
      <c r="C20" s="51" t="s">
        <v>444</v>
      </c>
      <c r="D20" s="51" t="s">
        <v>366</v>
      </c>
      <c r="E20" t="b">
        <v>0</v>
      </c>
      <c r="F20" t="b">
        <v>0</v>
      </c>
      <c r="H20" s="646"/>
      <c r="I20" s="51" t="s">
        <v>445</v>
      </c>
      <c r="J20" s="51" t="s">
        <v>446</v>
      </c>
      <c r="K20" s="51" t="s">
        <v>447</v>
      </c>
      <c r="L20" s="51" t="s">
        <v>366</v>
      </c>
      <c r="M20" s="646"/>
      <c r="R20" s="646"/>
    </row>
    <row r="21">
      <c r="A21" s="51" t="s">
        <v>448</v>
      </c>
      <c r="B21" s="51" t="s">
        <v>449</v>
      </c>
      <c r="C21" s="51" t="s">
        <v>450</v>
      </c>
      <c r="D21" s="51" t="s">
        <v>366</v>
      </c>
      <c r="E21" s="51" t="b">
        <v>0</v>
      </c>
      <c r="F21" t="b">
        <v>0</v>
      </c>
      <c r="H21" s="646"/>
      <c r="I21" s="51" t="s">
        <v>451</v>
      </c>
      <c r="J21" s="51" t="s">
        <v>452</v>
      </c>
      <c r="K21" s="51" t="s">
        <v>453</v>
      </c>
      <c r="L21" s="51" t="s">
        <v>366</v>
      </c>
      <c r="M21" s="646"/>
      <c r="Q21" s="51" t="s">
        <v>366</v>
      </c>
      <c r="R21" s="646"/>
    </row>
    <row r="22">
      <c r="A22" s="51" t="s">
        <v>454</v>
      </c>
      <c r="B22" s="51" t="s">
        <v>455</v>
      </c>
      <c r="C22" s="51" t="s">
        <v>456</v>
      </c>
      <c r="D22" s="51" t="s">
        <v>366</v>
      </c>
      <c r="E22" s="51" t="b">
        <v>0</v>
      </c>
      <c r="F22" t="b">
        <v>0</v>
      </c>
      <c r="H22" s="646"/>
      <c r="I22" s="51" t="s">
        <v>451</v>
      </c>
      <c r="J22" s="51" t="s">
        <v>452</v>
      </c>
      <c r="K22" s="51" t="s">
        <v>457</v>
      </c>
      <c r="L22" s="51" t="s">
        <v>366</v>
      </c>
      <c r="M22" s="646"/>
      <c r="R22" s="646"/>
    </row>
    <row r="23">
      <c r="A23" s="51" t="s">
        <v>458</v>
      </c>
      <c r="B23" s="51" t="s">
        <v>459</v>
      </c>
      <c r="C23" s="51" t="s">
        <v>460</v>
      </c>
      <c r="D23" s="51" t="s">
        <v>366</v>
      </c>
      <c r="E23" t="b">
        <v>0</v>
      </c>
      <c r="F23" t="b">
        <v>0</v>
      </c>
      <c r="H23" s="646"/>
      <c r="I23" s="51" t="s">
        <v>461</v>
      </c>
      <c r="J23" s="51" t="s">
        <v>462</v>
      </c>
      <c r="K23" s="51" t="s">
        <v>463</v>
      </c>
      <c r="L23" s="51" t="s">
        <v>366</v>
      </c>
      <c r="M23" s="646"/>
      <c r="R23" s="646"/>
    </row>
    <row r="24">
      <c r="A24" s="51" t="s">
        <v>464</v>
      </c>
      <c r="B24" s="51" t="s">
        <v>465</v>
      </c>
      <c r="C24" s="51" t="s">
        <v>466</v>
      </c>
      <c r="D24" s="51" t="s">
        <v>366</v>
      </c>
      <c r="E24" s="51" t="b">
        <v>0</v>
      </c>
      <c r="F24" t="b">
        <v>0</v>
      </c>
      <c r="H24" s="646"/>
      <c r="I24" s="51" t="s">
        <v>461</v>
      </c>
      <c r="J24" s="51" t="s">
        <v>462</v>
      </c>
      <c r="K24" s="51" t="s">
        <v>467</v>
      </c>
      <c r="L24" s="51" t="s">
        <v>366</v>
      </c>
      <c r="M24" s="646"/>
      <c r="R24" s="646"/>
    </row>
    <row r="25">
      <c r="A25" s="51" t="s">
        <v>458</v>
      </c>
      <c r="B25" s="51" t="s">
        <v>459</v>
      </c>
      <c r="C25" s="51" t="s">
        <v>468</v>
      </c>
      <c r="D25" s="51" t="s">
        <v>366</v>
      </c>
      <c r="E25" t="b">
        <v>0</v>
      </c>
      <c r="F25" t="b">
        <v>0</v>
      </c>
      <c r="H25" s="646"/>
      <c r="I25" s="51" t="s">
        <v>461</v>
      </c>
      <c r="J25" s="51" t="s">
        <v>462</v>
      </c>
      <c r="K25" s="51" t="s">
        <v>469</v>
      </c>
      <c r="L25" s="51" t="s">
        <v>366</v>
      </c>
      <c r="M25" s="646"/>
      <c r="R25" s="646"/>
    </row>
    <row r="26">
      <c r="A26" s="51" t="s">
        <v>470</v>
      </c>
      <c r="B26" s="51" t="s">
        <v>471</v>
      </c>
      <c r="C26" s="51" t="s">
        <v>472</v>
      </c>
      <c r="D26" s="51" t="s">
        <v>366</v>
      </c>
      <c r="E26" s="51" t="b">
        <v>0</v>
      </c>
      <c r="F26" t="b">
        <v>0</v>
      </c>
      <c r="H26" s="646"/>
      <c r="I26" s="51" t="s">
        <v>473</v>
      </c>
      <c r="J26" s="51" t="s">
        <v>474</v>
      </c>
      <c r="K26" s="51" t="s">
        <v>475</v>
      </c>
      <c r="L26" s="51" t="s">
        <v>366</v>
      </c>
      <c r="M26" s="646"/>
      <c r="R26" s="646"/>
    </row>
    <row r="27">
      <c r="A27" s="51" t="s">
        <v>476</v>
      </c>
      <c r="B27" s="51" t="s">
        <v>399</v>
      </c>
      <c r="C27" s="51" t="s">
        <v>477</v>
      </c>
      <c r="D27" s="51" t="s">
        <v>366</v>
      </c>
      <c r="E27" s="51" t="b">
        <v>0</v>
      </c>
      <c r="F27" t="b">
        <v>0</v>
      </c>
      <c r="H27" s="646"/>
      <c r="I27" s="51" t="s">
        <v>478</v>
      </c>
      <c r="J27" s="51" t="s">
        <v>479</v>
      </c>
      <c r="K27" s="51" t="s">
        <v>480</v>
      </c>
      <c r="L27" s="51" t="s">
        <v>366</v>
      </c>
      <c r="M27" s="646"/>
      <c r="R27" s="646"/>
    </row>
    <row r="28">
      <c r="A28" s="51" t="s">
        <v>481</v>
      </c>
      <c r="C28" s="51" t="s">
        <v>482</v>
      </c>
      <c r="D28" s="51" t="s">
        <v>370</v>
      </c>
      <c r="E28" t="b">
        <v>0</v>
      </c>
      <c r="F28" t="b">
        <v>0</v>
      </c>
      <c r="H28" s="646"/>
      <c r="I28" s="51" t="s">
        <v>483</v>
      </c>
      <c r="K28" s="51" t="s">
        <v>484</v>
      </c>
      <c r="L28" s="51" t="s">
        <v>366</v>
      </c>
      <c r="M28" s="646"/>
      <c r="R28" s="646"/>
    </row>
    <row r="29">
      <c r="A29" s="51" t="s">
        <v>485</v>
      </c>
      <c r="B29" s="51" t="s">
        <v>486</v>
      </c>
      <c r="C29" s="51" t="s">
        <v>487</v>
      </c>
      <c r="D29" s="51" t="s">
        <v>366</v>
      </c>
      <c r="E29" s="51" t="b">
        <v>0</v>
      </c>
      <c r="F29" t="b">
        <v>0</v>
      </c>
      <c r="H29" s="646"/>
      <c r="I29" s="51" t="s">
        <v>483</v>
      </c>
      <c r="K29" s="51" t="s">
        <v>488</v>
      </c>
      <c r="L29" s="51" t="s">
        <v>366</v>
      </c>
      <c r="M29" s="646"/>
      <c r="R29" s="646"/>
    </row>
    <row r="30">
      <c r="A30" s="51" t="s">
        <v>401</v>
      </c>
      <c r="B30" s="51" t="s">
        <v>402</v>
      </c>
      <c r="C30" s="51" t="s">
        <v>489</v>
      </c>
      <c r="D30" s="51" t="s">
        <v>366</v>
      </c>
      <c r="E30" s="51" t="b">
        <v>0</v>
      </c>
      <c r="F30" t="b">
        <v>0</v>
      </c>
      <c r="H30" s="646"/>
      <c r="I30" s="51" t="s">
        <v>483</v>
      </c>
      <c r="K30" s="51" t="s">
        <v>490</v>
      </c>
      <c r="L30" s="51" t="s">
        <v>366</v>
      </c>
      <c r="M30" s="646"/>
      <c r="R30" s="646"/>
    </row>
    <row r="31">
      <c r="A31" s="51" t="s">
        <v>491</v>
      </c>
      <c r="B31" s="51" t="s">
        <v>42</v>
      </c>
      <c r="C31" s="51" t="s">
        <v>492</v>
      </c>
      <c r="D31" s="51" t="s">
        <v>366</v>
      </c>
      <c r="E31" t="b">
        <v>0</v>
      </c>
      <c r="F31" t="b">
        <v>0</v>
      </c>
      <c r="H31" s="646"/>
      <c r="I31" s="51" t="s">
        <v>483</v>
      </c>
      <c r="K31" s="51" t="s">
        <v>493</v>
      </c>
      <c r="L31" s="51" t="s">
        <v>366</v>
      </c>
      <c r="M31" s="646"/>
      <c r="R31" s="646"/>
    </row>
    <row r="32">
      <c r="A32" s="51" t="s">
        <v>481</v>
      </c>
      <c r="C32" s="51" t="s">
        <v>494</v>
      </c>
      <c r="D32" s="51" t="s">
        <v>366</v>
      </c>
      <c r="E32" t="b">
        <v>0</v>
      </c>
      <c r="F32" t="b">
        <v>0</v>
      </c>
      <c r="H32" s="646"/>
      <c r="I32" s="51" t="s">
        <v>483</v>
      </c>
      <c r="K32" s="51" t="s">
        <v>495</v>
      </c>
      <c r="L32" s="51" t="s">
        <v>366</v>
      </c>
      <c r="M32" s="646"/>
      <c r="R32" s="646"/>
    </row>
    <row r="33">
      <c r="A33" s="51" t="s">
        <v>496</v>
      </c>
      <c r="B33" s="51" t="s">
        <v>497</v>
      </c>
      <c r="C33" s="51" t="s">
        <v>498</v>
      </c>
      <c r="D33" s="51" t="s">
        <v>366</v>
      </c>
      <c r="E33" t="b">
        <v>0</v>
      </c>
      <c r="F33" t="b">
        <v>0</v>
      </c>
      <c r="H33" s="646"/>
      <c r="I33" s="51" t="s">
        <v>483</v>
      </c>
      <c r="K33" s="51" t="s">
        <v>499</v>
      </c>
      <c r="L33" s="51" t="s">
        <v>366</v>
      </c>
      <c r="M33" s="646"/>
      <c r="R33" s="646"/>
    </row>
    <row r="34">
      <c r="A34" s="51" t="s">
        <v>500</v>
      </c>
      <c r="B34" s="51" t="s">
        <v>501</v>
      </c>
      <c r="C34" s="51" t="s">
        <v>502</v>
      </c>
      <c r="D34" s="51" t="s">
        <v>366</v>
      </c>
      <c r="E34" s="51" t="b">
        <v>0</v>
      </c>
      <c r="F34" t="b">
        <v>0</v>
      </c>
      <c r="H34" s="646"/>
      <c r="I34" s="51" t="s">
        <v>483</v>
      </c>
      <c r="K34" s="51" t="s">
        <v>503</v>
      </c>
      <c r="L34" s="51" t="s">
        <v>366</v>
      </c>
      <c r="M34" s="646"/>
      <c r="R34" s="646"/>
    </row>
    <row r="35">
      <c r="A35" s="51" t="s">
        <v>504</v>
      </c>
      <c r="C35" s="51" t="s">
        <v>505</v>
      </c>
      <c r="D35" s="51" t="s">
        <v>370</v>
      </c>
      <c r="E35" s="51" t="b">
        <v>0</v>
      </c>
      <c r="F35" t="b">
        <v>0</v>
      </c>
      <c r="G35" s="51" t="s">
        <v>506</v>
      </c>
      <c r="H35" s="646"/>
      <c r="I35" s="51" t="s">
        <v>483</v>
      </c>
      <c r="K35" s="51" t="s">
        <v>507</v>
      </c>
      <c r="L35" s="51" t="s">
        <v>366</v>
      </c>
      <c r="M35" s="646"/>
      <c r="R35" s="646"/>
    </row>
    <row r="36">
      <c r="A36" s="51" t="s">
        <v>508</v>
      </c>
      <c r="B36" s="51" t="s">
        <v>509</v>
      </c>
      <c r="C36" s="51" t="s">
        <v>510</v>
      </c>
      <c r="D36" s="51" t="s">
        <v>366</v>
      </c>
      <c r="E36" s="51" t="b">
        <v>0</v>
      </c>
      <c r="F36" t="b">
        <v>0</v>
      </c>
      <c r="H36" s="646"/>
      <c r="I36" s="51" t="s">
        <v>483</v>
      </c>
      <c r="K36" s="51" t="s">
        <v>511</v>
      </c>
      <c r="L36" s="51" t="s">
        <v>366</v>
      </c>
      <c r="M36" s="646"/>
      <c r="R36" s="646"/>
    </row>
    <row r="37">
      <c r="A37" s="51" t="s">
        <v>512</v>
      </c>
      <c r="B37" s="51" t="s">
        <v>513</v>
      </c>
      <c r="C37" s="51" t="s">
        <v>514</v>
      </c>
      <c r="D37" s="51" t="s">
        <v>366</v>
      </c>
      <c r="E37" s="51" t="b">
        <v>0</v>
      </c>
      <c r="F37" t="b">
        <v>0</v>
      </c>
      <c r="H37" s="646"/>
      <c r="I37" s="51" t="s">
        <v>483</v>
      </c>
      <c r="K37" s="51" t="s">
        <v>515</v>
      </c>
      <c r="L37" s="51" t="s">
        <v>366</v>
      </c>
      <c r="M37" s="646"/>
      <c r="R37" s="646"/>
    </row>
    <row r="38">
      <c r="A38" s="51" t="s">
        <v>401</v>
      </c>
      <c r="B38" s="51" t="s">
        <v>516</v>
      </c>
      <c r="C38" s="51" t="s">
        <v>517</v>
      </c>
      <c r="D38" s="51" t="s">
        <v>366</v>
      </c>
      <c r="E38" t="b">
        <v>0</v>
      </c>
      <c r="F38" t="b">
        <v>0</v>
      </c>
      <c r="H38" s="646"/>
      <c r="I38" s="51" t="s">
        <v>483</v>
      </c>
      <c r="K38" s="51" t="s">
        <v>518</v>
      </c>
      <c r="L38" s="51" t="s">
        <v>366</v>
      </c>
      <c r="M38" s="646"/>
      <c r="R38" s="646"/>
    </row>
    <row r="39">
      <c r="A39" s="51" t="s">
        <v>519</v>
      </c>
      <c r="C39" s="51" t="s">
        <v>520</v>
      </c>
      <c r="D39" s="51" t="s">
        <v>370</v>
      </c>
      <c r="E39" t="b">
        <v>0</v>
      </c>
      <c r="F39" t="b">
        <v>0</v>
      </c>
      <c r="H39" s="646"/>
      <c r="I39" s="51" t="s">
        <v>483</v>
      </c>
      <c r="K39" s="51" t="s">
        <v>521</v>
      </c>
      <c r="L39" s="51" t="s">
        <v>366</v>
      </c>
      <c r="M39" s="646"/>
      <c r="R39" s="646"/>
    </row>
    <row r="40">
      <c r="A40" s="51" t="s">
        <v>522</v>
      </c>
      <c r="B40" s="51" t="s">
        <v>523</v>
      </c>
      <c r="C40" s="51" t="s">
        <v>524</v>
      </c>
      <c r="D40" s="51" t="s">
        <v>366</v>
      </c>
      <c r="E40" s="51" t="b">
        <v>0</v>
      </c>
      <c r="F40" t="b">
        <v>0</v>
      </c>
      <c r="H40" s="646"/>
      <c r="I40" s="51" t="s">
        <v>525</v>
      </c>
      <c r="K40" s="51" t="s">
        <v>526</v>
      </c>
      <c r="L40" s="51" t="s">
        <v>366</v>
      </c>
      <c r="M40" s="646"/>
      <c r="R40" s="646"/>
    </row>
    <row r="41">
      <c r="A41" s="51" t="s">
        <v>527</v>
      </c>
      <c r="B41" s="51" t="s">
        <v>528</v>
      </c>
      <c r="C41" s="51" t="s">
        <v>529</v>
      </c>
      <c r="D41" s="51" t="s">
        <v>366</v>
      </c>
      <c r="E41" t="b">
        <v>0</v>
      </c>
      <c r="F41" t="b">
        <v>0</v>
      </c>
      <c r="H41" s="646"/>
      <c r="I41" s="51" t="s">
        <v>530</v>
      </c>
      <c r="J41" s="51" t="s">
        <v>531</v>
      </c>
      <c r="K41" s="51" t="s">
        <v>532</v>
      </c>
      <c r="L41" s="51" t="s">
        <v>366</v>
      </c>
      <c r="M41" s="646"/>
      <c r="R41" s="646"/>
    </row>
    <row r="42">
      <c r="A42" s="51" t="s">
        <v>533</v>
      </c>
      <c r="B42" s="51" t="s">
        <v>534</v>
      </c>
      <c r="C42" s="51" t="s">
        <v>535</v>
      </c>
      <c r="D42" s="51" t="s">
        <v>366</v>
      </c>
      <c r="E42" s="51" t="b">
        <v>0</v>
      </c>
      <c r="F42" t="b">
        <v>0</v>
      </c>
      <c r="H42" s="646"/>
      <c r="I42" s="51" t="s">
        <v>530</v>
      </c>
      <c r="J42" s="51" t="s">
        <v>531</v>
      </c>
      <c r="K42" s="51" t="s">
        <v>536</v>
      </c>
      <c r="L42" s="51" t="s">
        <v>366</v>
      </c>
      <c r="M42" s="646"/>
      <c r="R42" s="646"/>
    </row>
    <row r="43">
      <c r="A43" s="51" t="s">
        <v>537</v>
      </c>
      <c r="B43" s="51" t="s">
        <v>538</v>
      </c>
      <c r="C43" s="51" t="s">
        <v>539</v>
      </c>
      <c r="D43" s="51" t="s">
        <v>370</v>
      </c>
      <c r="E43" s="51" t="b">
        <v>0</v>
      </c>
      <c r="F43" t="b">
        <v>0</v>
      </c>
      <c r="H43" s="646"/>
      <c r="I43" s="51" t="s">
        <v>530</v>
      </c>
      <c r="J43" s="51" t="s">
        <v>531</v>
      </c>
      <c r="K43" s="51" t="s">
        <v>540</v>
      </c>
      <c r="L43" s="51" t="s">
        <v>366</v>
      </c>
      <c r="M43" s="646"/>
      <c r="R43" s="646"/>
    </row>
    <row r="44">
      <c r="A44" s="51" t="s">
        <v>470</v>
      </c>
      <c r="B44" s="51" t="s">
        <v>471</v>
      </c>
      <c r="C44" s="51" t="s">
        <v>541</v>
      </c>
      <c r="D44" s="51" t="s">
        <v>366</v>
      </c>
      <c r="E44" s="51" t="b">
        <v>0</v>
      </c>
      <c r="F44" t="b">
        <v>0</v>
      </c>
      <c r="H44" s="646"/>
      <c r="I44" s="51" t="s">
        <v>530</v>
      </c>
      <c r="J44" s="51" t="s">
        <v>531</v>
      </c>
      <c r="K44" s="51" t="s">
        <v>542</v>
      </c>
      <c r="L44" s="51" t="s">
        <v>366</v>
      </c>
      <c r="M44" s="646"/>
      <c r="R44" s="646"/>
    </row>
    <row r="45">
      <c r="A45" s="51" t="s">
        <v>543</v>
      </c>
      <c r="B45" s="51" t="s">
        <v>544</v>
      </c>
      <c r="C45" s="51" t="s">
        <v>545</v>
      </c>
      <c r="D45" s="51" t="s">
        <v>366</v>
      </c>
      <c r="E45" s="51" t="b">
        <v>0</v>
      </c>
      <c r="F45" t="b">
        <v>0</v>
      </c>
      <c r="H45" s="646"/>
      <c r="I45" s="51" t="s">
        <v>530</v>
      </c>
      <c r="J45" s="51" t="s">
        <v>531</v>
      </c>
      <c r="K45" s="51" t="s">
        <v>546</v>
      </c>
      <c r="L45" s="51" t="s">
        <v>366</v>
      </c>
      <c r="M45" s="646"/>
      <c r="R45" s="646"/>
    </row>
    <row r="46">
      <c r="A46" s="51" t="s">
        <v>547</v>
      </c>
      <c r="B46" s="51" t="s">
        <v>548</v>
      </c>
      <c r="C46" s="51" t="s">
        <v>549</v>
      </c>
      <c r="D46" s="51" t="s">
        <v>366</v>
      </c>
      <c r="E46" t="b">
        <v>0</v>
      </c>
      <c r="F46" t="b">
        <v>0</v>
      </c>
      <c r="H46" s="646"/>
      <c r="I46" s="51" t="s">
        <v>550</v>
      </c>
      <c r="J46" s="51" t="s">
        <v>551</v>
      </c>
      <c r="K46" s="51" t="s">
        <v>552</v>
      </c>
      <c r="L46" s="51" t="s">
        <v>366</v>
      </c>
      <c r="M46" s="646"/>
      <c r="N46" s="51" t="s">
        <v>553</v>
      </c>
      <c r="O46" s="51" t="s">
        <v>474</v>
      </c>
      <c r="P46" s="51" t="s">
        <v>554</v>
      </c>
      <c r="Q46" s="51" t="s">
        <v>366</v>
      </c>
      <c r="R46" s="646"/>
    </row>
    <row r="47">
      <c r="A47" s="51" t="s">
        <v>543</v>
      </c>
      <c r="B47" s="51" t="s">
        <v>544</v>
      </c>
      <c r="C47" s="51" t="s">
        <v>555</v>
      </c>
      <c r="D47" s="51" t="s">
        <v>366</v>
      </c>
      <c r="E47" t="b">
        <v>0</v>
      </c>
      <c r="F47" t="b">
        <v>0</v>
      </c>
      <c r="H47" s="646"/>
      <c r="I47" s="51" t="s">
        <v>550</v>
      </c>
      <c r="J47" s="51" t="s">
        <v>551</v>
      </c>
      <c r="K47" s="51" t="s">
        <v>556</v>
      </c>
      <c r="L47" s="51" t="s">
        <v>366</v>
      </c>
      <c r="M47" s="646"/>
      <c r="R47" s="646"/>
    </row>
    <row r="48">
      <c r="A48" s="51" t="s">
        <v>557</v>
      </c>
      <c r="B48" s="51" t="s">
        <v>558</v>
      </c>
      <c r="C48" s="51" t="s">
        <v>559</v>
      </c>
      <c r="D48" s="51" t="s">
        <v>366</v>
      </c>
      <c r="E48" s="51" t="b">
        <v>0</v>
      </c>
      <c r="F48" t="b">
        <v>0</v>
      </c>
      <c r="H48" s="646"/>
      <c r="I48" s="51" t="s">
        <v>560</v>
      </c>
      <c r="J48" s="51" t="s">
        <v>561</v>
      </c>
      <c r="K48" s="51" t="s">
        <v>562</v>
      </c>
      <c r="L48" s="51" t="s">
        <v>366</v>
      </c>
      <c r="M48" s="646"/>
      <c r="N48" s="51" t="s">
        <v>380</v>
      </c>
      <c r="O48" s="51" t="s">
        <v>381</v>
      </c>
      <c r="P48" s="51" t="s">
        <v>563</v>
      </c>
      <c r="Q48" s="51" t="s">
        <v>366</v>
      </c>
      <c r="R48" s="646"/>
    </row>
    <row r="49">
      <c r="A49" s="51" t="s">
        <v>442</v>
      </c>
      <c r="B49" s="51" t="s">
        <v>443</v>
      </c>
      <c r="C49" s="51" t="s">
        <v>564</v>
      </c>
      <c r="D49" s="51" t="s">
        <v>366</v>
      </c>
      <c r="E49" s="51" t="b">
        <v>0</v>
      </c>
      <c r="F49" t="b">
        <v>0</v>
      </c>
      <c r="H49" s="646"/>
      <c r="I49" s="51" t="s">
        <v>565</v>
      </c>
      <c r="J49" s="51" t="s">
        <v>566</v>
      </c>
      <c r="K49" s="51" t="s">
        <v>567</v>
      </c>
      <c r="L49" s="51" t="s">
        <v>366</v>
      </c>
      <c r="M49" s="646"/>
      <c r="R49" s="646"/>
    </row>
    <row r="50">
      <c r="A50" s="51" t="s">
        <v>568</v>
      </c>
      <c r="B50" s="51" t="s">
        <v>569</v>
      </c>
      <c r="C50" s="51" t="s">
        <v>570</v>
      </c>
      <c r="D50" s="51" t="s">
        <v>366</v>
      </c>
      <c r="E50" s="51" t="b">
        <v>0</v>
      </c>
      <c r="F50" t="b">
        <v>0</v>
      </c>
      <c r="H50" s="646"/>
      <c r="I50" s="51" t="s">
        <v>571</v>
      </c>
      <c r="J50" s="51" t="s">
        <v>572</v>
      </c>
      <c r="K50" s="51" t="s">
        <v>573</v>
      </c>
      <c r="L50" s="51" t="s">
        <v>366</v>
      </c>
      <c r="M50" s="646"/>
      <c r="R50" s="646"/>
    </row>
    <row r="51">
      <c r="A51" s="51" t="s">
        <v>574</v>
      </c>
      <c r="B51" s="51" t="s">
        <v>575</v>
      </c>
      <c r="C51" s="51" t="s">
        <v>576</v>
      </c>
      <c r="D51" s="51" t="s">
        <v>366</v>
      </c>
      <c r="E51" s="51" t="b">
        <v>0</v>
      </c>
      <c r="F51" t="b">
        <v>0</v>
      </c>
      <c r="H51" s="646"/>
      <c r="I51" s="51" t="s">
        <v>577</v>
      </c>
      <c r="J51" s="51" t="s">
        <v>578</v>
      </c>
      <c r="K51" s="51" t="s">
        <v>579</v>
      </c>
      <c r="L51" s="51" t="s">
        <v>366</v>
      </c>
      <c r="M51" s="646"/>
      <c r="N51" s="51" t="s">
        <v>580</v>
      </c>
      <c r="O51" s="51" t="s">
        <v>581</v>
      </c>
      <c r="P51" s="51" t="s">
        <v>582</v>
      </c>
      <c r="Q51" s="51" t="s">
        <v>366</v>
      </c>
      <c r="R51" s="646"/>
    </row>
    <row r="52">
      <c r="A52" s="51" t="s">
        <v>583</v>
      </c>
      <c r="B52" s="51" t="s">
        <v>584</v>
      </c>
      <c r="C52" s="51" t="s">
        <v>585</v>
      </c>
      <c r="D52" s="51" t="s">
        <v>366</v>
      </c>
      <c r="E52" s="51" t="b">
        <v>0</v>
      </c>
      <c r="F52" t="b">
        <v>0</v>
      </c>
      <c r="H52" s="646"/>
      <c r="I52" s="51" t="s">
        <v>577</v>
      </c>
      <c r="J52" s="51" t="s">
        <v>578</v>
      </c>
      <c r="K52" s="51" t="s">
        <v>586</v>
      </c>
      <c r="L52" s="51" t="s">
        <v>366</v>
      </c>
      <c r="M52" s="646"/>
      <c r="N52" s="51" t="s">
        <v>587</v>
      </c>
      <c r="O52" s="51" t="s">
        <v>588</v>
      </c>
      <c r="P52" s="51" t="s">
        <v>589</v>
      </c>
      <c r="Q52" s="51" t="s">
        <v>366</v>
      </c>
      <c r="R52" s="646"/>
    </row>
    <row r="53">
      <c r="A53" s="51" t="s">
        <v>590</v>
      </c>
      <c r="B53" s="51" t="s">
        <v>591</v>
      </c>
      <c r="C53" s="51" t="s">
        <v>592</v>
      </c>
      <c r="D53" s="51" t="s">
        <v>366</v>
      </c>
      <c r="E53" s="51" t="b">
        <v>0</v>
      </c>
      <c r="F53" t="b">
        <v>0</v>
      </c>
      <c r="H53" s="646"/>
      <c r="I53" s="51" t="s">
        <v>577</v>
      </c>
      <c r="J53" s="51" t="s">
        <v>578</v>
      </c>
      <c r="K53" s="51" t="s">
        <v>593</v>
      </c>
      <c r="L53" s="51" t="s">
        <v>366</v>
      </c>
      <c r="M53" s="646"/>
      <c r="N53" s="51" t="s">
        <v>587</v>
      </c>
      <c r="O53" s="51" t="s">
        <v>588</v>
      </c>
      <c r="P53" s="51" t="s">
        <v>594</v>
      </c>
      <c r="Q53" s="51" t="s">
        <v>366</v>
      </c>
      <c r="R53" s="646"/>
    </row>
    <row r="54">
      <c r="A54" s="51" t="s">
        <v>595</v>
      </c>
      <c r="B54" s="51" t="s">
        <v>596</v>
      </c>
      <c r="C54" s="51" t="s">
        <v>597</v>
      </c>
      <c r="D54" s="51" t="s">
        <v>370</v>
      </c>
      <c r="E54" s="51" t="b">
        <v>0</v>
      </c>
      <c r="F54" t="b">
        <v>0</v>
      </c>
      <c r="H54" s="646"/>
      <c r="I54" s="51" t="s">
        <v>577</v>
      </c>
      <c r="J54" s="51" t="s">
        <v>578</v>
      </c>
      <c r="K54" s="51" t="s">
        <v>598</v>
      </c>
      <c r="L54" s="51" t="s">
        <v>366</v>
      </c>
      <c r="M54" s="646"/>
      <c r="N54" s="51" t="s">
        <v>587</v>
      </c>
      <c r="O54" s="51" t="s">
        <v>588</v>
      </c>
      <c r="P54" s="51" t="s">
        <v>599</v>
      </c>
      <c r="Q54" s="51" t="s">
        <v>366</v>
      </c>
      <c r="R54" s="646"/>
    </row>
    <row r="55">
      <c r="A55" s="51" t="s">
        <v>600</v>
      </c>
      <c r="B55" s="51" t="s">
        <v>601</v>
      </c>
      <c r="C55" s="51" t="s">
        <v>602</v>
      </c>
      <c r="D55" s="51" t="s">
        <v>366</v>
      </c>
      <c r="E55" s="51" t="b">
        <v>0</v>
      </c>
      <c r="F55" t="b">
        <v>0</v>
      </c>
      <c r="H55" s="646"/>
      <c r="I55" s="51" t="s">
        <v>577</v>
      </c>
      <c r="J55" s="51" t="s">
        <v>578</v>
      </c>
      <c r="K55" s="51" t="s">
        <v>603</v>
      </c>
      <c r="L55" s="51" t="s">
        <v>366</v>
      </c>
      <c r="M55" s="646"/>
      <c r="N55" s="51" t="s">
        <v>587</v>
      </c>
      <c r="O55" s="51" t="s">
        <v>588</v>
      </c>
      <c r="P55" s="51" t="s">
        <v>604</v>
      </c>
      <c r="Q55" s="51" t="s">
        <v>366</v>
      </c>
      <c r="R55" s="646"/>
    </row>
    <row r="56">
      <c r="A56" s="51" t="s">
        <v>605</v>
      </c>
      <c r="B56" s="51" t="s">
        <v>606</v>
      </c>
      <c r="C56" s="51" t="s">
        <v>607</v>
      </c>
      <c r="D56" s="51" t="s">
        <v>366</v>
      </c>
      <c r="E56" s="51" t="b">
        <v>0</v>
      </c>
      <c r="F56" t="b">
        <v>0</v>
      </c>
      <c r="G56" s="51" t="s">
        <v>608</v>
      </c>
      <c r="H56" s="646"/>
      <c r="I56" s="51" t="s">
        <v>577</v>
      </c>
      <c r="J56" s="51" t="s">
        <v>578</v>
      </c>
      <c r="K56" s="51" t="s">
        <v>609</v>
      </c>
      <c r="L56" s="51" t="s">
        <v>366</v>
      </c>
      <c r="M56" s="646"/>
      <c r="N56" s="51" t="s">
        <v>587</v>
      </c>
      <c r="O56" s="51" t="s">
        <v>588</v>
      </c>
      <c r="P56" s="51" t="s">
        <v>610</v>
      </c>
      <c r="Q56" s="51" t="s">
        <v>366</v>
      </c>
      <c r="R56" s="646"/>
    </row>
    <row r="57">
      <c r="A57" s="51" t="s">
        <v>364</v>
      </c>
      <c r="B57" s="51" t="s">
        <v>365</v>
      </c>
      <c r="C57" s="649">
        <v>419.0</v>
      </c>
      <c r="D57" s="51" t="s">
        <v>366</v>
      </c>
      <c r="E57" s="51" t="b">
        <v>0</v>
      </c>
      <c r="F57" t="b">
        <v>0</v>
      </c>
      <c r="H57" s="646"/>
      <c r="I57" s="51" t="s">
        <v>611</v>
      </c>
      <c r="J57" s="51" t="s">
        <v>612</v>
      </c>
      <c r="K57" s="51" t="s">
        <v>613</v>
      </c>
      <c r="L57" s="51" t="s">
        <v>370</v>
      </c>
      <c r="M57" s="646"/>
      <c r="R57" s="646"/>
    </row>
    <row r="58">
      <c r="A58" s="51" t="s">
        <v>614</v>
      </c>
      <c r="B58" s="51" t="s">
        <v>615</v>
      </c>
      <c r="C58" s="51" t="s">
        <v>616</v>
      </c>
      <c r="D58" s="51" t="s">
        <v>366</v>
      </c>
      <c r="E58" s="51" t="b">
        <v>0</v>
      </c>
      <c r="F58" t="b">
        <v>0</v>
      </c>
      <c r="H58" s="646"/>
      <c r="I58" s="51" t="s">
        <v>617</v>
      </c>
      <c r="J58" s="51" t="s">
        <v>497</v>
      </c>
      <c r="K58" s="51" t="s">
        <v>618</v>
      </c>
      <c r="L58" s="51" t="s">
        <v>366</v>
      </c>
      <c r="M58" s="646"/>
      <c r="R58" s="646"/>
    </row>
    <row r="59">
      <c r="A59" s="51" t="s">
        <v>619</v>
      </c>
      <c r="B59" s="51" t="s">
        <v>620</v>
      </c>
      <c r="C59" s="51" t="s">
        <v>621</v>
      </c>
      <c r="D59" s="51" t="s">
        <v>366</v>
      </c>
      <c r="E59" t="b">
        <v>0</v>
      </c>
      <c r="F59" t="b">
        <v>0</v>
      </c>
      <c r="H59" s="646"/>
      <c r="I59" s="51" t="s">
        <v>617</v>
      </c>
      <c r="J59" s="51" t="s">
        <v>497</v>
      </c>
      <c r="K59" s="51" t="s">
        <v>622</v>
      </c>
      <c r="L59" s="51" t="s">
        <v>366</v>
      </c>
      <c r="M59" s="646"/>
      <c r="R59" s="646"/>
    </row>
    <row r="60">
      <c r="A60" s="51" t="s">
        <v>623</v>
      </c>
      <c r="C60" s="51" t="s">
        <v>623</v>
      </c>
      <c r="D60" s="51" t="s">
        <v>366</v>
      </c>
      <c r="E60" s="51" t="b">
        <v>0</v>
      </c>
      <c r="F60" t="b">
        <v>0</v>
      </c>
      <c r="H60" s="646"/>
      <c r="I60" s="51" t="s">
        <v>624</v>
      </c>
      <c r="J60" s="51" t="s">
        <v>625</v>
      </c>
      <c r="K60" s="51" t="s">
        <v>626</v>
      </c>
      <c r="L60" s="51" t="s">
        <v>366</v>
      </c>
      <c r="M60" s="646"/>
      <c r="N60" s="51" t="s">
        <v>587</v>
      </c>
      <c r="O60" s="51" t="s">
        <v>588</v>
      </c>
      <c r="P60" s="51" t="s">
        <v>627</v>
      </c>
      <c r="Q60" s="51" t="s">
        <v>366</v>
      </c>
      <c r="R60" s="646"/>
    </row>
    <row r="61">
      <c r="A61" s="51" t="s">
        <v>628</v>
      </c>
      <c r="B61" s="51" t="s">
        <v>629</v>
      </c>
      <c r="C61" s="51" t="s">
        <v>630</v>
      </c>
      <c r="D61" s="51" t="s">
        <v>366</v>
      </c>
      <c r="E61" s="51" t="b">
        <v>0</v>
      </c>
      <c r="F61" t="b">
        <v>0</v>
      </c>
      <c r="H61" s="646"/>
      <c r="I61" s="51" t="s">
        <v>631</v>
      </c>
      <c r="J61" s="51" t="s">
        <v>632</v>
      </c>
      <c r="K61" s="51" t="s">
        <v>633</v>
      </c>
      <c r="L61" s="51" t="s">
        <v>366</v>
      </c>
      <c r="M61" s="646"/>
      <c r="R61" s="646"/>
    </row>
    <row r="62">
      <c r="A62" s="51" t="s">
        <v>634</v>
      </c>
      <c r="C62" s="51" t="s">
        <v>635</v>
      </c>
      <c r="D62" s="51" t="s">
        <v>366</v>
      </c>
      <c r="E62" s="51" t="b">
        <v>0</v>
      </c>
      <c r="F62" t="b">
        <v>0</v>
      </c>
      <c r="H62" s="646"/>
      <c r="I62" s="51" t="s">
        <v>636</v>
      </c>
      <c r="J62" s="51" t="s">
        <v>637</v>
      </c>
      <c r="K62" s="51" t="s">
        <v>638</v>
      </c>
      <c r="L62" s="51" t="s">
        <v>366</v>
      </c>
      <c r="M62" s="646"/>
      <c r="R62" s="646"/>
    </row>
    <row r="63">
      <c r="A63" s="51" t="s">
        <v>639</v>
      </c>
      <c r="B63" s="51" t="s">
        <v>640</v>
      </c>
      <c r="C63" s="51" t="s">
        <v>641</v>
      </c>
      <c r="D63" s="51" t="s">
        <v>366</v>
      </c>
      <c r="E63" s="51" t="b">
        <v>0</v>
      </c>
      <c r="F63" t="b">
        <v>0</v>
      </c>
      <c r="G63" s="51" t="s">
        <v>642</v>
      </c>
      <c r="H63" s="646"/>
      <c r="I63" s="51" t="s">
        <v>643</v>
      </c>
      <c r="J63" s="51" t="s">
        <v>644</v>
      </c>
      <c r="K63" s="51" t="s">
        <v>645</v>
      </c>
      <c r="L63" s="51" t="s">
        <v>366</v>
      </c>
      <c r="M63" s="646"/>
      <c r="R63" s="646"/>
    </row>
    <row r="64">
      <c r="A64" s="51" t="s">
        <v>646</v>
      </c>
      <c r="B64" s="51" t="s">
        <v>647</v>
      </c>
      <c r="C64" s="51" t="s">
        <v>648</v>
      </c>
      <c r="D64" s="51" t="s">
        <v>366</v>
      </c>
      <c r="E64" s="51" t="b">
        <v>0</v>
      </c>
      <c r="F64" t="b">
        <v>0</v>
      </c>
      <c r="H64" s="646"/>
      <c r="I64" s="51" t="s">
        <v>649</v>
      </c>
      <c r="J64" s="51" t="s">
        <v>471</v>
      </c>
      <c r="K64" s="51" t="s">
        <v>650</v>
      </c>
      <c r="L64" s="51" t="s">
        <v>366</v>
      </c>
      <c r="M64" s="646"/>
      <c r="R64" s="646"/>
    </row>
    <row r="65">
      <c r="A65" s="51" t="s">
        <v>651</v>
      </c>
      <c r="B65" s="51" t="s">
        <v>652</v>
      </c>
      <c r="C65" s="51" t="s">
        <v>653</v>
      </c>
      <c r="D65" s="51" t="s">
        <v>366</v>
      </c>
      <c r="E65" s="51" t="b">
        <v>0</v>
      </c>
      <c r="F65" t="b">
        <v>0</v>
      </c>
      <c r="H65" s="646"/>
      <c r="I65" s="51" t="s">
        <v>654</v>
      </c>
      <c r="J65" s="51" t="s">
        <v>390</v>
      </c>
      <c r="K65" s="51" t="s">
        <v>655</v>
      </c>
      <c r="L65" s="51" t="s">
        <v>366</v>
      </c>
      <c r="M65" s="646"/>
      <c r="Q65" s="51" t="s">
        <v>366</v>
      </c>
      <c r="R65" s="646"/>
    </row>
    <row r="66">
      <c r="A66" s="51" t="s">
        <v>527</v>
      </c>
      <c r="B66" s="51" t="s">
        <v>528</v>
      </c>
      <c r="C66" s="51" t="s">
        <v>656</v>
      </c>
      <c r="D66" s="51" t="s">
        <v>366</v>
      </c>
      <c r="E66" s="51" t="b">
        <v>0</v>
      </c>
      <c r="F66" t="b">
        <v>0</v>
      </c>
      <c r="H66" s="646"/>
      <c r="I66" s="51" t="s">
        <v>657</v>
      </c>
      <c r="J66" s="51" t="s">
        <v>658</v>
      </c>
      <c r="K66" s="51" t="s">
        <v>659</v>
      </c>
      <c r="L66" s="51" t="s">
        <v>366</v>
      </c>
      <c r="M66" s="646"/>
      <c r="R66" s="646"/>
    </row>
    <row r="67">
      <c r="A67" s="51" t="s">
        <v>660</v>
      </c>
      <c r="B67" s="51" t="s">
        <v>661</v>
      </c>
      <c r="C67" s="51" t="s">
        <v>662</v>
      </c>
      <c r="D67" s="51" t="s">
        <v>366</v>
      </c>
      <c r="E67" s="51" t="b">
        <v>0</v>
      </c>
      <c r="F67" t="b">
        <v>0</v>
      </c>
      <c r="H67" s="646"/>
      <c r="I67" s="51" t="s">
        <v>663</v>
      </c>
      <c r="J67" s="51" t="s">
        <v>664</v>
      </c>
      <c r="K67" s="51" t="s">
        <v>665</v>
      </c>
      <c r="L67" s="51" t="s">
        <v>366</v>
      </c>
      <c r="M67" s="646"/>
      <c r="R67" s="646"/>
    </row>
    <row r="68">
      <c r="A68" s="51" t="s">
        <v>557</v>
      </c>
      <c r="B68" s="51" t="s">
        <v>558</v>
      </c>
      <c r="C68" s="51" t="s">
        <v>666</v>
      </c>
      <c r="D68" s="51" t="s">
        <v>366</v>
      </c>
      <c r="E68" s="51" t="b">
        <v>0</v>
      </c>
      <c r="F68" t="b">
        <v>0</v>
      </c>
      <c r="H68" s="646"/>
      <c r="I68" s="51" t="s">
        <v>667</v>
      </c>
      <c r="J68" s="51" t="s">
        <v>668</v>
      </c>
      <c r="K68" s="51" t="s">
        <v>669</v>
      </c>
      <c r="L68" s="51" t="s">
        <v>366</v>
      </c>
      <c r="M68" s="646"/>
      <c r="Q68" s="51" t="s">
        <v>366</v>
      </c>
      <c r="R68" s="646"/>
    </row>
    <row r="69">
      <c r="A69" s="51" t="s">
        <v>670</v>
      </c>
      <c r="B69" s="51" t="s">
        <v>671</v>
      </c>
      <c r="C69" s="51" t="s">
        <v>672</v>
      </c>
      <c r="D69" s="51" t="s">
        <v>366</v>
      </c>
      <c r="E69" s="51" t="b">
        <v>0</v>
      </c>
      <c r="F69" t="b">
        <v>0</v>
      </c>
      <c r="H69" s="646"/>
      <c r="I69" s="51" t="s">
        <v>673</v>
      </c>
      <c r="J69" s="51" t="s">
        <v>674</v>
      </c>
      <c r="K69" s="51" t="s">
        <v>675</v>
      </c>
      <c r="L69" s="51" t="s">
        <v>366</v>
      </c>
      <c r="M69" s="646"/>
      <c r="R69" s="646"/>
    </row>
    <row r="70">
      <c r="A70" s="51" t="s">
        <v>676</v>
      </c>
      <c r="B70" s="51" t="s">
        <v>440</v>
      </c>
      <c r="C70" s="51" t="s">
        <v>677</v>
      </c>
      <c r="D70" s="51" t="s">
        <v>366</v>
      </c>
      <c r="E70" s="51" t="b">
        <v>0</v>
      </c>
      <c r="F70" t="b">
        <v>0</v>
      </c>
      <c r="H70" s="646"/>
      <c r="I70" s="51" t="s">
        <v>678</v>
      </c>
      <c r="J70" s="51" t="s">
        <v>679</v>
      </c>
      <c r="K70" s="51" t="s">
        <v>680</v>
      </c>
      <c r="L70" s="51" t="s">
        <v>366</v>
      </c>
      <c r="M70" s="646"/>
      <c r="R70" s="646"/>
    </row>
    <row r="71">
      <c r="A71" s="51" t="s">
        <v>681</v>
      </c>
      <c r="C71" s="51" t="s">
        <v>682</v>
      </c>
      <c r="D71" s="51" t="s">
        <v>366</v>
      </c>
      <c r="E71" s="51" t="b">
        <v>0</v>
      </c>
      <c r="F71" t="b">
        <v>0</v>
      </c>
      <c r="H71" s="646"/>
      <c r="I71" s="51" t="s">
        <v>683</v>
      </c>
      <c r="J71" s="51" t="s">
        <v>684</v>
      </c>
      <c r="K71" s="51" t="s">
        <v>685</v>
      </c>
      <c r="L71" s="51" t="s">
        <v>366</v>
      </c>
      <c r="M71" s="646"/>
      <c r="R71" s="646"/>
    </row>
    <row r="72">
      <c r="A72" s="51" t="s">
        <v>681</v>
      </c>
      <c r="C72" s="51" t="s">
        <v>686</v>
      </c>
      <c r="D72" s="51" t="s">
        <v>366</v>
      </c>
      <c r="E72" s="51" t="b">
        <v>0</v>
      </c>
      <c r="F72" t="b">
        <v>0</v>
      </c>
      <c r="H72" s="646"/>
      <c r="I72" s="51" t="s">
        <v>683</v>
      </c>
      <c r="J72" s="51" t="s">
        <v>684</v>
      </c>
      <c r="K72" s="51" t="s">
        <v>687</v>
      </c>
      <c r="L72" s="51" t="s">
        <v>366</v>
      </c>
      <c r="M72" s="646"/>
      <c r="R72" s="646"/>
    </row>
    <row r="73">
      <c r="A73" s="51" t="s">
        <v>688</v>
      </c>
      <c r="B73" s="51" t="s">
        <v>689</v>
      </c>
      <c r="C73" s="51" t="s">
        <v>690</v>
      </c>
      <c r="D73" s="51" t="s">
        <v>366</v>
      </c>
      <c r="E73" t="b">
        <v>0</v>
      </c>
      <c r="F73" t="b">
        <v>0</v>
      </c>
      <c r="H73" s="646"/>
      <c r="I73" s="51" t="s">
        <v>683</v>
      </c>
      <c r="J73" s="51" t="s">
        <v>684</v>
      </c>
      <c r="K73" s="51" t="s">
        <v>691</v>
      </c>
      <c r="L73" s="51" t="s">
        <v>366</v>
      </c>
      <c r="M73" s="646"/>
      <c r="R73" s="646"/>
    </row>
    <row r="74">
      <c r="A74" s="51" t="s">
        <v>681</v>
      </c>
      <c r="C74" s="51" t="s">
        <v>692</v>
      </c>
      <c r="D74" s="51" t="s">
        <v>366</v>
      </c>
      <c r="E74" s="51" t="b">
        <v>0</v>
      </c>
      <c r="F74" t="b">
        <v>0</v>
      </c>
      <c r="H74" s="646"/>
      <c r="I74" s="51" t="s">
        <v>683</v>
      </c>
      <c r="J74" s="51" t="s">
        <v>684</v>
      </c>
      <c r="K74" s="51" t="s">
        <v>693</v>
      </c>
      <c r="L74" s="51" t="s">
        <v>366</v>
      </c>
      <c r="M74" s="646"/>
      <c r="R74" s="646"/>
    </row>
    <row r="75">
      <c r="A75" s="51" t="s">
        <v>681</v>
      </c>
      <c r="C75" s="51" t="s">
        <v>694</v>
      </c>
      <c r="D75" s="51" t="s">
        <v>366</v>
      </c>
      <c r="E75" s="51" t="b">
        <v>0</v>
      </c>
      <c r="F75" t="b">
        <v>0</v>
      </c>
      <c r="H75" s="646"/>
      <c r="I75" s="51" t="s">
        <v>683</v>
      </c>
      <c r="J75" s="51" t="s">
        <v>684</v>
      </c>
      <c r="K75" s="51" t="s">
        <v>695</v>
      </c>
      <c r="L75" s="51" t="s">
        <v>366</v>
      </c>
      <c r="M75" s="646"/>
      <c r="R75" s="646"/>
    </row>
    <row r="76">
      <c r="A76" s="51" t="s">
        <v>696</v>
      </c>
      <c r="B76" s="51" t="s">
        <v>697</v>
      </c>
      <c r="C76" s="51" t="s">
        <v>698</v>
      </c>
      <c r="D76" s="51" t="s">
        <v>366</v>
      </c>
      <c r="E76" s="51" t="b">
        <v>0</v>
      </c>
      <c r="F76" t="b">
        <v>0</v>
      </c>
      <c r="H76" s="646"/>
      <c r="I76" s="51" t="s">
        <v>683</v>
      </c>
      <c r="J76" s="51" t="s">
        <v>684</v>
      </c>
      <c r="K76" s="51" t="s">
        <v>699</v>
      </c>
      <c r="L76" s="51" t="s">
        <v>366</v>
      </c>
      <c r="M76" s="646"/>
      <c r="R76" s="646"/>
    </row>
    <row r="77">
      <c r="A77" s="51" t="s">
        <v>367</v>
      </c>
      <c r="B77" s="51" t="s">
        <v>368</v>
      </c>
      <c r="C77" s="51" t="s">
        <v>700</v>
      </c>
      <c r="D77" s="51" t="s">
        <v>366</v>
      </c>
      <c r="E77" s="51" t="b">
        <v>0</v>
      </c>
      <c r="F77" t="b">
        <v>0</v>
      </c>
      <c r="H77" s="646"/>
      <c r="I77" s="51" t="s">
        <v>683</v>
      </c>
      <c r="J77" s="51" t="s">
        <v>684</v>
      </c>
      <c r="K77" s="51" t="s">
        <v>701</v>
      </c>
      <c r="L77" s="51" t="s">
        <v>370</v>
      </c>
      <c r="M77" s="646"/>
      <c r="R77" s="646"/>
    </row>
    <row r="78">
      <c r="A78" s="51" t="s">
        <v>702</v>
      </c>
      <c r="B78" s="51" t="s">
        <v>684</v>
      </c>
      <c r="C78" s="51" t="s">
        <v>703</v>
      </c>
      <c r="D78" s="51" t="s">
        <v>366</v>
      </c>
      <c r="E78" s="51" t="b">
        <v>0</v>
      </c>
      <c r="F78" t="b">
        <v>0</v>
      </c>
      <c r="H78" s="646"/>
      <c r="I78" s="51" t="s">
        <v>704</v>
      </c>
      <c r="J78" s="51" t="s">
        <v>705</v>
      </c>
      <c r="K78" s="51" t="s">
        <v>706</v>
      </c>
      <c r="L78" s="51" t="s">
        <v>366</v>
      </c>
      <c r="M78" s="646"/>
      <c r="R78" s="646"/>
    </row>
    <row r="79">
      <c r="A79" s="51" t="s">
        <v>707</v>
      </c>
      <c r="B79" s="51" t="s">
        <v>708</v>
      </c>
      <c r="C79" s="51" t="s">
        <v>709</v>
      </c>
      <c r="D79" s="51" t="s">
        <v>366</v>
      </c>
      <c r="E79" s="51" t="b">
        <v>0</v>
      </c>
      <c r="F79" t="b">
        <v>0</v>
      </c>
      <c r="H79" s="646"/>
      <c r="I79" s="51" t="s">
        <v>710</v>
      </c>
      <c r="J79" s="51" t="s">
        <v>711</v>
      </c>
      <c r="K79" s="649">
        <v>1421.0</v>
      </c>
      <c r="L79" s="51" t="s">
        <v>370</v>
      </c>
      <c r="M79" s="646"/>
      <c r="R79" s="646"/>
    </row>
    <row r="80">
      <c r="A80" s="51" t="s">
        <v>476</v>
      </c>
      <c r="B80" s="51" t="s">
        <v>399</v>
      </c>
      <c r="C80" s="51" t="s">
        <v>712</v>
      </c>
      <c r="D80" s="51" t="s">
        <v>366</v>
      </c>
      <c r="E80" t="b">
        <v>0</v>
      </c>
      <c r="F80" t="b">
        <v>0</v>
      </c>
      <c r="H80" s="646"/>
      <c r="I80" s="51" t="s">
        <v>713</v>
      </c>
      <c r="J80" s="51" t="s">
        <v>714</v>
      </c>
      <c r="K80" s="51" t="s">
        <v>715</v>
      </c>
      <c r="L80" s="51" t="s">
        <v>366</v>
      </c>
      <c r="M80" s="646"/>
      <c r="R80" s="646"/>
    </row>
    <row r="81">
      <c r="A81" s="51" t="s">
        <v>716</v>
      </c>
      <c r="B81" s="51" t="s">
        <v>443</v>
      </c>
      <c r="C81" s="51" t="s">
        <v>444</v>
      </c>
      <c r="D81" s="51" t="s">
        <v>366</v>
      </c>
      <c r="E81" s="51" t="b">
        <v>0</v>
      </c>
      <c r="F81" t="b">
        <v>0</v>
      </c>
      <c r="H81" s="646"/>
      <c r="I81" s="51" t="s">
        <v>717</v>
      </c>
      <c r="J81" s="51" t="s">
        <v>718</v>
      </c>
      <c r="K81" s="51" t="s">
        <v>719</v>
      </c>
      <c r="L81" s="51" t="s">
        <v>366</v>
      </c>
      <c r="M81" s="646"/>
      <c r="N81" s="51" t="s">
        <v>720</v>
      </c>
      <c r="O81" s="51" t="s">
        <v>721</v>
      </c>
      <c r="P81" s="51" t="s">
        <v>722</v>
      </c>
      <c r="Q81" s="51" t="s">
        <v>366</v>
      </c>
      <c r="R81" s="646"/>
    </row>
    <row r="82">
      <c r="A82" s="51" t="s">
        <v>723</v>
      </c>
      <c r="B82" s="51" t="s">
        <v>724</v>
      </c>
      <c r="C82" s="51" t="s">
        <v>725</v>
      </c>
      <c r="D82" s="51" t="s">
        <v>366</v>
      </c>
      <c r="E82" s="51" t="b">
        <v>0</v>
      </c>
      <c r="F82" t="b">
        <v>0</v>
      </c>
      <c r="H82" s="646"/>
      <c r="I82" s="51" t="s">
        <v>717</v>
      </c>
      <c r="J82" s="51" t="s">
        <v>718</v>
      </c>
      <c r="K82" s="51" t="s">
        <v>726</v>
      </c>
      <c r="L82" s="51" t="s">
        <v>366</v>
      </c>
      <c r="M82" s="646"/>
      <c r="N82" s="51" t="s">
        <v>727</v>
      </c>
      <c r="O82" s="51" t="s">
        <v>728</v>
      </c>
      <c r="P82" s="51" t="s">
        <v>729</v>
      </c>
      <c r="Q82" s="51" t="s">
        <v>366</v>
      </c>
      <c r="R82" s="646"/>
    </row>
    <row r="83">
      <c r="A83" s="51" t="s">
        <v>723</v>
      </c>
      <c r="B83" s="51" t="s">
        <v>724</v>
      </c>
      <c r="C83" s="51" t="s">
        <v>730</v>
      </c>
      <c r="D83" s="51" t="s">
        <v>366</v>
      </c>
      <c r="E83" s="51" t="b">
        <v>0</v>
      </c>
      <c r="F83" t="b">
        <v>0</v>
      </c>
      <c r="H83" s="646"/>
      <c r="I83" s="51" t="s">
        <v>717</v>
      </c>
      <c r="J83" s="51" t="s">
        <v>718</v>
      </c>
      <c r="K83" s="51" t="s">
        <v>731</v>
      </c>
      <c r="L83" s="51" t="s">
        <v>366</v>
      </c>
      <c r="M83" s="646"/>
      <c r="N83" s="51" t="s">
        <v>720</v>
      </c>
      <c r="O83" s="51" t="s">
        <v>721</v>
      </c>
      <c r="P83" s="51" t="s">
        <v>732</v>
      </c>
      <c r="Q83" s="51" t="s">
        <v>366</v>
      </c>
      <c r="R83" s="646"/>
    </row>
    <row r="84">
      <c r="A84" s="51" t="s">
        <v>733</v>
      </c>
      <c r="C84" s="51" t="s">
        <v>734</v>
      </c>
      <c r="D84" s="51" t="s">
        <v>366</v>
      </c>
      <c r="E84" t="b">
        <v>0</v>
      </c>
      <c r="F84" t="b">
        <v>0</v>
      </c>
      <c r="G84" s="51" t="s">
        <v>735</v>
      </c>
      <c r="H84" s="646"/>
      <c r="I84" s="51" t="s">
        <v>717</v>
      </c>
      <c r="J84" s="51" t="s">
        <v>718</v>
      </c>
      <c r="K84" s="51" t="s">
        <v>736</v>
      </c>
      <c r="L84" s="51" t="s">
        <v>366</v>
      </c>
      <c r="M84" s="646"/>
      <c r="N84" s="51" t="s">
        <v>720</v>
      </c>
      <c r="O84" s="51" t="s">
        <v>721</v>
      </c>
      <c r="P84" s="51" t="s">
        <v>737</v>
      </c>
      <c r="Q84" s="51" t="s">
        <v>366</v>
      </c>
      <c r="R84" s="646"/>
    </row>
    <row r="85">
      <c r="A85" s="51" t="s">
        <v>681</v>
      </c>
      <c r="C85" s="51" t="s">
        <v>738</v>
      </c>
      <c r="D85" s="51" t="s">
        <v>366</v>
      </c>
      <c r="E85" s="51" t="b">
        <v>0</v>
      </c>
      <c r="F85" t="b">
        <v>0</v>
      </c>
      <c r="H85" s="646"/>
      <c r="I85" s="51" t="s">
        <v>717</v>
      </c>
      <c r="J85" s="51" t="s">
        <v>718</v>
      </c>
      <c r="K85" s="51" t="s">
        <v>739</v>
      </c>
      <c r="L85" s="51" t="s">
        <v>366</v>
      </c>
      <c r="M85" s="646"/>
      <c r="R85" s="646"/>
    </row>
    <row r="86">
      <c r="A86" s="51" t="s">
        <v>681</v>
      </c>
      <c r="C86" s="51" t="s">
        <v>740</v>
      </c>
      <c r="D86" s="51" t="s">
        <v>366</v>
      </c>
      <c r="E86" s="51" t="b">
        <v>0</v>
      </c>
      <c r="F86" t="b">
        <v>0</v>
      </c>
      <c r="H86" s="646"/>
      <c r="I86" s="51" t="s">
        <v>717</v>
      </c>
      <c r="J86" s="51" t="s">
        <v>718</v>
      </c>
      <c r="K86" s="51" t="s">
        <v>741</v>
      </c>
      <c r="L86" s="51" t="s">
        <v>366</v>
      </c>
      <c r="M86" s="646"/>
      <c r="R86" s="646"/>
    </row>
    <row r="87">
      <c r="A87" s="51" t="s">
        <v>59</v>
      </c>
      <c r="B87" s="51" t="s">
        <v>742</v>
      </c>
      <c r="C87" s="51" t="s">
        <v>743</v>
      </c>
      <c r="D87" s="51" t="s">
        <v>366</v>
      </c>
      <c r="E87" s="51" t="b">
        <v>0</v>
      </c>
      <c r="F87" t="b">
        <v>0</v>
      </c>
      <c r="H87" s="646"/>
      <c r="I87" s="51" t="s">
        <v>717</v>
      </c>
      <c r="J87" s="51" t="s">
        <v>718</v>
      </c>
      <c r="K87" s="51" t="s">
        <v>744</v>
      </c>
      <c r="L87" s="51" t="s">
        <v>366</v>
      </c>
      <c r="M87" s="646"/>
      <c r="R87" s="646"/>
    </row>
    <row r="88">
      <c r="A88" s="51" t="s">
        <v>745</v>
      </c>
      <c r="B88" s="51" t="s">
        <v>746</v>
      </c>
      <c r="C88" s="51" t="s">
        <v>747</v>
      </c>
      <c r="D88" s="51" t="s">
        <v>370</v>
      </c>
      <c r="E88" s="51" t="b">
        <v>0</v>
      </c>
      <c r="F88" t="b">
        <v>0</v>
      </c>
      <c r="H88" s="646"/>
      <c r="I88" s="32" t="s">
        <v>717</v>
      </c>
      <c r="J88" s="32" t="s">
        <v>718</v>
      </c>
      <c r="K88" s="40" t="s">
        <v>748</v>
      </c>
      <c r="L88" s="51" t="s">
        <v>366</v>
      </c>
      <c r="M88" s="646"/>
      <c r="R88" s="646"/>
    </row>
    <row r="89">
      <c r="A89" s="51" t="s">
        <v>749</v>
      </c>
      <c r="B89" s="51" t="s">
        <v>750</v>
      </c>
      <c r="C89" s="51" t="s">
        <v>750</v>
      </c>
      <c r="D89" s="51" t="s">
        <v>366</v>
      </c>
      <c r="E89" s="51" t="b">
        <v>0</v>
      </c>
      <c r="F89" t="b">
        <v>0</v>
      </c>
      <c r="H89" s="646"/>
      <c r="I89" s="51" t="s">
        <v>717</v>
      </c>
      <c r="J89" s="51" t="s">
        <v>718</v>
      </c>
      <c r="K89" s="51" t="s">
        <v>751</v>
      </c>
      <c r="L89" s="51" t="s">
        <v>366</v>
      </c>
      <c r="M89" s="646"/>
      <c r="R89" s="646"/>
    </row>
    <row r="90">
      <c r="A90" s="51" t="s">
        <v>681</v>
      </c>
      <c r="C90" s="51" t="s">
        <v>752</v>
      </c>
      <c r="D90" s="51" t="s">
        <v>366</v>
      </c>
      <c r="E90" s="51" t="b">
        <v>0</v>
      </c>
      <c r="F90" t="b">
        <v>0</v>
      </c>
      <c r="H90" s="646"/>
      <c r="I90" s="51" t="s">
        <v>717</v>
      </c>
      <c r="J90" s="51" t="s">
        <v>718</v>
      </c>
      <c r="K90" s="51" t="s">
        <v>753</v>
      </c>
      <c r="L90" s="51" t="s">
        <v>366</v>
      </c>
      <c r="M90" s="646"/>
      <c r="R90" s="646"/>
    </row>
    <row r="91">
      <c r="A91" s="51" t="s">
        <v>749</v>
      </c>
      <c r="B91" s="51" t="s">
        <v>750</v>
      </c>
      <c r="C91" s="51" t="s">
        <v>754</v>
      </c>
      <c r="D91" s="51" t="s">
        <v>366</v>
      </c>
      <c r="E91" s="51" t="b">
        <v>0</v>
      </c>
      <c r="F91" t="b">
        <v>0</v>
      </c>
      <c r="H91" s="646"/>
      <c r="I91" s="51" t="s">
        <v>717</v>
      </c>
      <c r="J91" s="51" t="s">
        <v>718</v>
      </c>
      <c r="K91" s="51" t="s">
        <v>755</v>
      </c>
      <c r="L91" s="51" t="s">
        <v>366</v>
      </c>
      <c r="M91" s="646"/>
      <c r="R91" s="646"/>
    </row>
    <row r="92">
      <c r="A92" s="51" t="s">
        <v>749</v>
      </c>
      <c r="B92" s="51" t="s">
        <v>750</v>
      </c>
      <c r="C92" s="51" t="s">
        <v>756</v>
      </c>
      <c r="D92" s="51" t="s">
        <v>366</v>
      </c>
      <c r="E92" s="51" t="b">
        <v>0</v>
      </c>
      <c r="F92" t="b">
        <v>0</v>
      </c>
      <c r="H92" s="646"/>
      <c r="I92" s="51" t="s">
        <v>717</v>
      </c>
      <c r="J92" s="51" t="s">
        <v>718</v>
      </c>
      <c r="K92" s="51" t="s">
        <v>757</v>
      </c>
      <c r="L92" s="51" t="s">
        <v>366</v>
      </c>
      <c r="M92" s="646"/>
      <c r="R92" s="646"/>
    </row>
    <row r="93">
      <c r="A93" s="51" t="s">
        <v>758</v>
      </c>
      <c r="B93" s="51" t="s">
        <v>759</v>
      </c>
      <c r="C93" s="51" t="s">
        <v>760</v>
      </c>
      <c r="D93" s="51" t="s">
        <v>366</v>
      </c>
      <c r="E93" s="51" t="b">
        <v>0</v>
      </c>
      <c r="F93" t="b">
        <v>0</v>
      </c>
      <c r="H93" s="646"/>
      <c r="I93" s="51" t="s">
        <v>717</v>
      </c>
      <c r="J93" s="51" t="s">
        <v>718</v>
      </c>
      <c r="K93" s="51" t="s">
        <v>761</v>
      </c>
      <c r="L93" s="51" t="s">
        <v>366</v>
      </c>
      <c r="M93" s="646"/>
      <c r="R93" s="646"/>
    </row>
    <row r="94">
      <c r="A94" s="51" t="s">
        <v>762</v>
      </c>
      <c r="B94" s="51" t="s">
        <v>763</v>
      </c>
      <c r="C94" s="51" t="s">
        <v>764</v>
      </c>
      <c r="D94" s="51" t="s">
        <v>366</v>
      </c>
      <c r="E94" s="51" t="b">
        <v>0</v>
      </c>
      <c r="F94" t="b">
        <v>0</v>
      </c>
      <c r="H94" s="646"/>
      <c r="I94" s="51" t="s">
        <v>717</v>
      </c>
      <c r="J94" s="51" t="s">
        <v>718</v>
      </c>
      <c r="K94" s="51" t="s">
        <v>765</v>
      </c>
      <c r="L94" s="51" t="s">
        <v>366</v>
      </c>
      <c r="M94" s="646"/>
      <c r="R94" s="646"/>
    </row>
    <row r="95">
      <c r="A95" s="51" t="s">
        <v>766</v>
      </c>
      <c r="B95" s="51" t="s">
        <v>767</v>
      </c>
      <c r="C95" s="51" t="s">
        <v>768</v>
      </c>
      <c r="D95" s="51" t="s">
        <v>366</v>
      </c>
      <c r="E95" s="51" t="b">
        <v>0</v>
      </c>
      <c r="F95" t="b">
        <v>0</v>
      </c>
      <c r="H95" s="646"/>
      <c r="I95" s="32" t="s">
        <v>717</v>
      </c>
      <c r="J95" s="32" t="s">
        <v>718</v>
      </c>
      <c r="K95" s="40" t="s">
        <v>769</v>
      </c>
      <c r="L95" s="51" t="s">
        <v>366</v>
      </c>
      <c r="M95" s="646"/>
      <c r="R95" s="646"/>
    </row>
    <row r="96">
      <c r="A96" s="51" t="s">
        <v>770</v>
      </c>
      <c r="B96" s="51" t="s">
        <v>771</v>
      </c>
      <c r="C96" s="51" t="s">
        <v>772</v>
      </c>
      <c r="D96" s="51" t="s">
        <v>366</v>
      </c>
      <c r="E96" s="51" t="b">
        <v>0</v>
      </c>
      <c r="F96" t="b">
        <v>0</v>
      </c>
      <c r="H96" s="646"/>
      <c r="I96" s="32" t="s">
        <v>717</v>
      </c>
      <c r="J96" s="32" t="s">
        <v>718</v>
      </c>
      <c r="K96" s="40" t="s">
        <v>773</v>
      </c>
      <c r="L96" s="51" t="s">
        <v>366</v>
      </c>
      <c r="M96" s="646"/>
      <c r="R96" s="646"/>
    </row>
    <row r="97">
      <c r="A97" s="51" t="s">
        <v>614</v>
      </c>
      <c r="B97" s="51" t="s">
        <v>615</v>
      </c>
      <c r="C97" s="51" t="s">
        <v>616</v>
      </c>
      <c r="D97" s="51" t="s">
        <v>366</v>
      </c>
      <c r="E97" s="51" t="b">
        <v>0</v>
      </c>
      <c r="F97" t="b">
        <v>0</v>
      </c>
      <c r="H97" s="646"/>
      <c r="I97" s="51" t="s">
        <v>774</v>
      </c>
      <c r="K97" s="51" t="s">
        <v>775</v>
      </c>
      <c r="L97" s="51" t="s">
        <v>370</v>
      </c>
      <c r="M97" s="646"/>
      <c r="R97" s="646"/>
    </row>
    <row r="98">
      <c r="A98" s="51" t="s">
        <v>543</v>
      </c>
      <c r="B98" s="51" t="s">
        <v>544</v>
      </c>
      <c r="C98" s="51" t="s">
        <v>776</v>
      </c>
      <c r="D98" s="51" t="s">
        <v>366</v>
      </c>
      <c r="E98" s="51" t="b">
        <v>0</v>
      </c>
      <c r="F98" t="b">
        <v>0</v>
      </c>
      <c r="H98" s="646"/>
      <c r="I98" s="51" t="s">
        <v>777</v>
      </c>
      <c r="J98" s="51" t="s">
        <v>778</v>
      </c>
      <c r="K98" s="51" t="s">
        <v>779</v>
      </c>
      <c r="L98" s="51" t="s">
        <v>366</v>
      </c>
      <c r="M98" s="646"/>
      <c r="R98" s="646"/>
    </row>
    <row r="99">
      <c r="A99" s="51" t="s">
        <v>383</v>
      </c>
      <c r="B99" s="51" t="s">
        <v>780</v>
      </c>
      <c r="C99" s="51" t="s">
        <v>781</v>
      </c>
      <c r="D99" s="51" t="s">
        <v>366</v>
      </c>
      <c r="E99" s="51" t="b">
        <v>0</v>
      </c>
      <c r="F99" t="b">
        <v>0</v>
      </c>
      <c r="H99" s="646"/>
      <c r="I99" s="51" t="s">
        <v>782</v>
      </c>
      <c r="K99" s="51" t="s">
        <v>783</v>
      </c>
      <c r="L99" s="51" t="s">
        <v>366</v>
      </c>
      <c r="M99" s="646"/>
      <c r="R99" s="646"/>
    </row>
    <row r="100">
      <c r="A100" s="51" t="s">
        <v>784</v>
      </c>
      <c r="B100" s="51" t="s">
        <v>785</v>
      </c>
      <c r="C100" s="51" t="s">
        <v>786</v>
      </c>
      <c r="D100" s="51" t="s">
        <v>366</v>
      </c>
      <c r="E100" s="51" t="b">
        <v>0</v>
      </c>
      <c r="F100" t="b">
        <v>0</v>
      </c>
      <c r="G100" s="51" t="s">
        <v>787</v>
      </c>
      <c r="H100" s="646"/>
      <c r="I100" s="51" t="s">
        <v>788</v>
      </c>
      <c r="J100" s="51" t="s">
        <v>789</v>
      </c>
      <c r="K100" s="51" t="s">
        <v>790</v>
      </c>
      <c r="L100" s="51" t="s">
        <v>370</v>
      </c>
      <c r="M100" s="646"/>
      <c r="N100" s="51" t="s">
        <v>380</v>
      </c>
      <c r="O100" s="51" t="s">
        <v>381</v>
      </c>
      <c r="P100" s="51" t="s">
        <v>791</v>
      </c>
      <c r="Q100" s="51" t="s">
        <v>370</v>
      </c>
      <c r="R100" s="646"/>
    </row>
    <row r="101">
      <c r="A101" s="51" t="s">
        <v>651</v>
      </c>
      <c r="B101" s="51" t="s">
        <v>652</v>
      </c>
      <c r="C101" s="51" t="s">
        <v>792</v>
      </c>
      <c r="D101" s="51" t="s">
        <v>366</v>
      </c>
      <c r="E101" s="51" t="b">
        <v>0</v>
      </c>
      <c r="F101" t="b">
        <v>0</v>
      </c>
      <c r="H101" s="646"/>
      <c r="I101" s="51" t="s">
        <v>788</v>
      </c>
      <c r="J101" s="51" t="s">
        <v>789</v>
      </c>
      <c r="K101" s="51" t="s">
        <v>793</v>
      </c>
      <c r="L101" s="51" t="s">
        <v>370</v>
      </c>
      <c r="M101" s="646"/>
      <c r="N101" s="51" t="s">
        <v>380</v>
      </c>
      <c r="O101" s="51" t="s">
        <v>381</v>
      </c>
      <c r="P101" s="51" t="s">
        <v>794</v>
      </c>
      <c r="Q101" s="51" t="s">
        <v>370</v>
      </c>
      <c r="R101" s="646"/>
    </row>
    <row r="102">
      <c r="A102" s="51" t="s">
        <v>557</v>
      </c>
      <c r="B102" s="51" t="s">
        <v>558</v>
      </c>
      <c r="C102" s="51" t="s">
        <v>795</v>
      </c>
      <c r="D102" s="51" t="s">
        <v>366</v>
      </c>
      <c r="E102" s="51" t="b">
        <v>0</v>
      </c>
      <c r="F102" t="b">
        <v>0</v>
      </c>
      <c r="H102" s="646"/>
      <c r="I102" s="51" t="s">
        <v>796</v>
      </c>
      <c r="J102" s="51" t="s">
        <v>797</v>
      </c>
      <c r="K102" s="51" t="s">
        <v>798</v>
      </c>
      <c r="L102" s="51" t="s">
        <v>366</v>
      </c>
      <c r="M102" s="646"/>
      <c r="Q102" s="51" t="s">
        <v>366</v>
      </c>
      <c r="R102" s="646"/>
    </row>
    <row r="103">
      <c r="A103" s="51" t="s">
        <v>799</v>
      </c>
      <c r="B103" s="51" t="s">
        <v>800</v>
      </c>
      <c r="C103" s="51" t="s">
        <v>801</v>
      </c>
      <c r="D103" s="51" t="s">
        <v>366</v>
      </c>
      <c r="E103" t="b">
        <v>0</v>
      </c>
      <c r="F103" t="b">
        <v>0</v>
      </c>
      <c r="H103" s="646"/>
      <c r="I103" s="51" t="s">
        <v>802</v>
      </c>
      <c r="J103" s="51" t="s">
        <v>803</v>
      </c>
      <c r="K103" s="51" t="s">
        <v>804</v>
      </c>
      <c r="L103" s="51" t="s">
        <v>366</v>
      </c>
      <c r="M103" s="646"/>
      <c r="R103" s="646"/>
    </row>
    <row r="104">
      <c r="A104" s="51" t="s">
        <v>805</v>
      </c>
      <c r="B104" s="51" t="s">
        <v>806</v>
      </c>
      <c r="C104" s="51" t="s">
        <v>807</v>
      </c>
      <c r="D104" s="51" t="s">
        <v>366</v>
      </c>
      <c r="E104" s="51" t="b">
        <v>0</v>
      </c>
      <c r="F104" t="b">
        <v>0</v>
      </c>
      <c r="H104" s="646"/>
      <c r="I104" s="51" t="s">
        <v>808</v>
      </c>
      <c r="J104" s="51" t="s">
        <v>809</v>
      </c>
      <c r="K104" s="51" t="s">
        <v>810</v>
      </c>
      <c r="L104" s="51" t="s">
        <v>366</v>
      </c>
      <c r="M104" s="646"/>
      <c r="Q104" s="51" t="s">
        <v>366</v>
      </c>
      <c r="R104" s="646"/>
    </row>
    <row r="105">
      <c r="A105" s="51" t="s">
        <v>811</v>
      </c>
      <c r="B105" s="51" t="s">
        <v>812</v>
      </c>
      <c r="C105" s="51" t="s">
        <v>813</v>
      </c>
      <c r="D105" s="51" t="s">
        <v>366</v>
      </c>
      <c r="E105" s="51" t="b">
        <v>0</v>
      </c>
      <c r="F105" t="b">
        <v>0</v>
      </c>
      <c r="H105" s="646"/>
      <c r="I105" s="51" t="s">
        <v>814</v>
      </c>
      <c r="J105" s="51" t="s">
        <v>815</v>
      </c>
      <c r="K105" s="51" t="s">
        <v>816</v>
      </c>
      <c r="L105" s="51" t="s">
        <v>366</v>
      </c>
      <c r="M105" s="646"/>
      <c r="R105" s="646"/>
    </row>
    <row r="106">
      <c r="A106" s="51" t="s">
        <v>433</v>
      </c>
      <c r="B106" s="51" t="s">
        <v>390</v>
      </c>
      <c r="C106" s="51" t="s">
        <v>817</v>
      </c>
      <c r="D106" s="51" t="s">
        <v>366</v>
      </c>
      <c r="E106" s="51" t="b">
        <v>0</v>
      </c>
      <c r="F106" t="b">
        <v>0</v>
      </c>
      <c r="H106" s="646"/>
      <c r="I106" s="51" t="s">
        <v>818</v>
      </c>
      <c r="J106" s="51" t="s">
        <v>684</v>
      </c>
      <c r="K106" s="51" t="s">
        <v>819</v>
      </c>
      <c r="L106" s="51" t="s">
        <v>366</v>
      </c>
      <c r="M106" s="646"/>
      <c r="R106" s="646"/>
    </row>
    <row r="107">
      <c r="A107" s="51" t="s">
        <v>433</v>
      </c>
      <c r="B107" s="51" t="s">
        <v>390</v>
      </c>
      <c r="C107" s="51" t="s">
        <v>820</v>
      </c>
      <c r="D107" s="51" t="s">
        <v>366</v>
      </c>
      <c r="E107" s="51" t="b">
        <v>0</v>
      </c>
      <c r="F107" t="b">
        <v>0</v>
      </c>
      <c r="H107" s="646"/>
      <c r="I107" s="51" t="s">
        <v>818</v>
      </c>
      <c r="J107" s="51" t="s">
        <v>684</v>
      </c>
      <c r="K107" s="51" t="s">
        <v>821</v>
      </c>
      <c r="L107" s="51" t="s">
        <v>366</v>
      </c>
      <c r="M107" s="646"/>
      <c r="R107" s="646"/>
    </row>
    <row r="108">
      <c r="A108" s="51" t="s">
        <v>476</v>
      </c>
      <c r="B108" s="51" t="s">
        <v>399</v>
      </c>
      <c r="C108" s="51" t="s">
        <v>822</v>
      </c>
      <c r="D108" s="51" t="s">
        <v>366</v>
      </c>
      <c r="E108" s="51" t="b">
        <v>0</v>
      </c>
      <c r="F108" t="b">
        <v>0</v>
      </c>
      <c r="H108" s="646"/>
      <c r="I108" s="51" t="s">
        <v>818</v>
      </c>
      <c r="J108" s="51" t="s">
        <v>684</v>
      </c>
      <c r="K108" s="51" t="s">
        <v>823</v>
      </c>
      <c r="L108" s="51" t="s">
        <v>366</v>
      </c>
      <c r="M108" s="646"/>
      <c r="R108" s="646"/>
    </row>
    <row r="109">
      <c r="A109" s="51" t="s">
        <v>824</v>
      </c>
      <c r="B109" s="51" t="s">
        <v>375</v>
      </c>
      <c r="C109" s="51" t="s">
        <v>825</v>
      </c>
      <c r="D109" s="51" t="s">
        <v>366</v>
      </c>
      <c r="E109" t="b">
        <v>0</v>
      </c>
      <c r="F109" t="b">
        <v>0</v>
      </c>
      <c r="H109" s="646"/>
      <c r="I109" s="51" t="s">
        <v>818</v>
      </c>
      <c r="J109" s="51" t="s">
        <v>684</v>
      </c>
      <c r="K109" s="51" t="s">
        <v>826</v>
      </c>
      <c r="L109" s="51" t="s">
        <v>366</v>
      </c>
      <c r="M109" s="646"/>
      <c r="Q109" s="51" t="s">
        <v>366</v>
      </c>
      <c r="R109" s="646"/>
    </row>
    <row r="110">
      <c r="A110" s="51" t="s">
        <v>827</v>
      </c>
      <c r="B110" s="51" t="s">
        <v>647</v>
      </c>
      <c r="C110" s="51" t="s">
        <v>828</v>
      </c>
      <c r="D110" s="51" t="s">
        <v>366</v>
      </c>
      <c r="E110" s="51" t="b">
        <v>0</v>
      </c>
      <c r="F110" t="b">
        <v>0</v>
      </c>
      <c r="H110" s="646"/>
      <c r="I110" s="51" t="s">
        <v>818</v>
      </c>
      <c r="J110" s="51" t="s">
        <v>684</v>
      </c>
      <c r="K110" s="51" t="s">
        <v>829</v>
      </c>
      <c r="L110" s="51" t="s">
        <v>366</v>
      </c>
      <c r="M110" s="646"/>
      <c r="N110" s="51" t="s">
        <v>830</v>
      </c>
      <c r="O110" s="51" t="s">
        <v>831</v>
      </c>
      <c r="P110" s="51" t="s">
        <v>832</v>
      </c>
      <c r="Q110" s="51" t="s">
        <v>366</v>
      </c>
      <c r="R110" s="646"/>
    </row>
    <row r="111">
      <c r="A111" s="51" t="s">
        <v>833</v>
      </c>
      <c r="B111" s="51" t="s">
        <v>834</v>
      </c>
      <c r="C111" s="51" t="s">
        <v>835</v>
      </c>
      <c r="D111" s="51" t="s">
        <v>366</v>
      </c>
      <c r="E111" s="51" t="b">
        <v>0</v>
      </c>
      <c r="F111" t="b">
        <v>0</v>
      </c>
      <c r="H111" s="646"/>
      <c r="I111" s="51" t="s">
        <v>440</v>
      </c>
      <c r="J111" s="51" t="s">
        <v>836</v>
      </c>
      <c r="K111" s="51" t="s">
        <v>837</v>
      </c>
      <c r="L111" s="51" t="s">
        <v>366</v>
      </c>
      <c r="M111" s="646"/>
      <c r="R111" s="646"/>
    </row>
    <row r="112">
      <c r="A112" s="51" t="s">
        <v>838</v>
      </c>
      <c r="B112" s="51" t="s">
        <v>836</v>
      </c>
      <c r="C112" s="51" t="s">
        <v>839</v>
      </c>
      <c r="D112" s="51" t="s">
        <v>366</v>
      </c>
      <c r="E112" s="51" t="b">
        <v>0</v>
      </c>
      <c r="F112" t="b">
        <v>0</v>
      </c>
      <c r="H112" s="646"/>
      <c r="I112" s="51" t="s">
        <v>840</v>
      </c>
      <c r="K112" s="51" t="s">
        <v>841</v>
      </c>
      <c r="L112" s="51" t="s">
        <v>366</v>
      </c>
      <c r="M112" s="646"/>
      <c r="R112" s="646"/>
    </row>
    <row r="113">
      <c r="A113" s="51" t="s">
        <v>842</v>
      </c>
      <c r="B113" s="51" t="s">
        <v>843</v>
      </c>
      <c r="C113" s="51" t="s">
        <v>844</v>
      </c>
      <c r="D113" s="51" t="s">
        <v>366</v>
      </c>
      <c r="E113" t="b">
        <v>0</v>
      </c>
      <c r="F113" t="b">
        <v>0</v>
      </c>
      <c r="G113" s="51" t="s">
        <v>845</v>
      </c>
      <c r="H113" s="646"/>
      <c r="I113" s="51" t="s">
        <v>840</v>
      </c>
      <c r="K113" s="51" t="s">
        <v>846</v>
      </c>
      <c r="L113" s="51" t="s">
        <v>366</v>
      </c>
      <c r="M113" s="646"/>
      <c r="R113" s="646"/>
    </row>
    <row r="114">
      <c r="A114" s="51" t="s">
        <v>842</v>
      </c>
      <c r="B114" s="51" t="s">
        <v>843</v>
      </c>
      <c r="C114" s="51" t="s">
        <v>847</v>
      </c>
      <c r="D114" s="51" t="s">
        <v>366</v>
      </c>
      <c r="E114" t="b">
        <v>0</v>
      </c>
      <c r="F114" t="b">
        <v>0</v>
      </c>
      <c r="H114" s="646"/>
      <c r="I114" s="51" t="s">
        <v>840</v>
      </c>
      <c r="K114" s="51" t="s">
        <v>848</v>
      </c>
      <c r="L114" s="51" t="s">
        <v>366</v>
      </c>
      <c r="M114" s="646"/>
      <c r="R114" s="646"/>
    </row>
    <row r="115">
      <c r="A115" s="51" t="s">
        <v>849</v>
      </c>
      <c r="B115" s="51" t="s">
        <v>850</v>
      </c>
      <c r="C115" s="51" t="s">
        <v>851</v>
      </c>
      <c r="D115" s="51" t="s">
        <v>366</v>
      </c>
      <c r="E115" s="51" t="b">
        <v>0</v>
      </c>
      <c r="F115" t="b">
        <v>0</v>
      </c>
      <c r="H115" s="646"/>
      <c r="I115" s="51" t="s">
        <v>840</v>
      </c>
      <c r="K115" s="51" t="s">
        <v>852</v>
      </c>
      <c r="L115" s="51" t="s">
        <v>366</v>
      </c>
      <c r="M115" s="646"/>
      <c r="R115" s="646"/>
    </row>
    <row r="116">
      <c r="A116" s="51" t="s">
        <v>853</v>
      </c>
      <c r="B116" s="51" t="s">
        <v>854</v>
      </c>
      <c r="C116" s="51" t="s">
        <v>855</v>
      </c>
      <c r="D116" s="51" t="s">
        <v>366</v>
      </c>
      <c r="E116" s="51" t="b">
        <v>0</v>
      </c>
      <c r="F116" t="b">
        <v>0</v>
      </c>
      <c r="H116" s="646"/>
      <c r="I116" s="51" t="s">
        <v>840</v>
      </c>
      <c r="K116" s="51" t="s">
        <v>856</v>
      </c>
      <c r="L116" s="51" t="s">
        <v>366</v>
      </c>
      <c r="M116" s="646"/>
      <c r="R116" s="646"/>
    </row>
    <row r="117">
      <c r="A117" s="51" t="s">
        <v>838</v>
      </c>
      <c r="B117" s="51" t="s">
        <v>836</v>
      </c>
      <c r="C117" s="51" t="s">
        <v>857</v>
      </c>
      <c r="D117" s="51" t="s">
        <v>366</v>
      </c>
      <c r="E117" t="b">
        <v>0</v>
      </c>
      <c r="F117" t="b">
        <v>0</v>
      </c>
      <c r="H117" s="646"/>
      <c r="I117" s="51" t="s">
        <v>840</v>
      </c>
      <c r="K117" s="51" t="s">
        <v>858</v>
      </c>
      <c r="L117" s="51" t="s">
        <v>366</v>
      </c>
      <c r="M117" s="646"/>
      <c r="R117" s="646"/>
    </row>
    <row r="118">
      <c r="A118" s="51" t="s">
        <v>859</v>
      </c>
      <c r="B118" s="51" t="s">
        <v>860</v>
      </c>
      <c r="C118" s="51" t="s">
        <v>861</v>
      </c>
      <c r="D118" s="51" t="s">
        <v>370</v>
      </c>
      <c r="E118" s="51" t="b">
        <v>0</v>
      </c>
      <c r="F118" t="b">
        <v>0</v>
      </c>
      <c r="H118" s="646"/>
      <c r="I118" s="51" t="s">
        <v>840</v>
      </c>
      <c r="K118" s="51" t="s">
        <v>862</v>
      </c>
      <c r="L118" s="51" t="s">
        <v>366</v>
      </c>
      <c r="M118" s="646"/>
      <c r="R118" s="646"/>
    </row>
    <row r="119">
      <c r="A119" s="51" t="s">
        <v>863</v>
      </c>
      <c r="B119" s="51" t="s">
        <v>864</v>
      </c>
      <c r="C119" s="51" t="s">
        <v>865</v>
      </c>
      <c r="D119" s="51" t="s">
        <v>366</v>
      </c>
      <c r="E119" s="51" t="b">
        <v>0</v>
      </c>
      <c r="F119" t="b">
        <v>0</v>
      </c>
      <c r="H119" s="646"/>
      <c r="I119" s="51" t="s">
        <v>840</v>
      </c>
      <c r="K119" s="51" t="s">
        <v>866</v>
      </c>
      <c r="L119" s="51" t="s">
        <v>366</v>
      </c>
      <c r="M119" s="646"/>
      <c r="R119" s="646"/>
    </row>
    <row r="120">
      <c r="A120" s="51" t="s">
        <v>867</v>
      </c>
      <c r="B120" s="51" t="s">
        <v>868</v>
      </c>
      <c r="C120" s="51" t="s">
        <v>869</v>
      </c>
      <c r="D120" s="51" t="s">
        <v>370</v>
      </c>
      <c r="E120" s="51" t="b">
        <v>0</v>
      </c>
      <c r="F120" t="b">
        <v>0</v>
      </c>
      <c r="H120" s="646"/>
      <c r="I120" s="51" t="s">
        <v>840</v>
      </c>
      <c r="K120" s="51" t="s">
        <v>870</v>
      </c>
      <c r="L120" s="51" t="s">
        <v>366</v>
      </c>
      <c r="M120" s="646"/>
      <c r="R120" s="646"/>
    </row>
    <row r="121">
      <c r="A121" s="51" t="s">
        <v>838</v>
      </c>
      <c r="B121" s="51" t="s">
        <v>836</v>
      </c>
      <c r="C121" s="51" t="s">
        <v>871</v>
      </c>
      <c r="D121" s="51" t="s">
        <v>366</v>
      </c>
      <c r="E121" s="51" t="b">
        <v>0</v>
      </c>
      <c r="F121" t="b">
        <v>0</v>
      </c>
      <c r="H121" s="646"/>
      <c r="I121" s="51" t="s">
        <v>840</v>
      </c>
      <c r="K121" s="51" t="s">
        <v>872</v>
      </c>
      <c r="L121" s="51" t="s">
        <v>366</v>
      </c>
      <c r="M121" s="646"/>
      <c r="R121" s="646"/>
    </row>
    <row r="122">
      <c r="A122" s="51" t="s">
        <v>873</v>
      </c>
      <c r="B122" s="51" t="s">
        <v>437</v>
      </c>
      <c r="C122" s="51" t="s">
        <v>438</v>
      </c>
      <c r="D122" s="51" t="s">
        <v>366</v>
      </c>
      <c r="E122" s="51" t="b">
        <v>0</v>
      </c>
      <c r="F122" t="b">
        <v>0</v>
      </c>
      <c r="H122" s="646"/>
      <c r="I122" s="51" t="s">
        <v>874</v>
      </c>
      <c r="J122" s="51" t="s">
        <v>647</v>
      </c>
      <c r="K122" s="51" t="s">
        <v>875</v>
      </c>
      <c r="L122" s="51" t="s">
        <v>366</v>
      </c>
      <c r="M122" s="646"/>
      <c r="R122" s="646"/>
    </row>
    <row r="123">
      <c r="A123" s="51" t="s">
        <v>527</v>
      </c>
      <c r="B123" s="51" t="s">
        <v>876</v>
      </c>
      <c r="C123" s="51" t="s">
        <v>877</v>
      </c>
      <c r="D123" s="51" t="s">
        <v>366</v>
      </c>
      <c r="E123" s="51" t="b">
        <v>0</v>
      </c>
      <c r="F123" t="b">
        <v>0</v>
      </c>
      <c r="H123" s="646"/>
      <c r="I123" s="51" t="s">
        <v>878</v>
      </c>
      <c r="J123" s="51" t="s">
        <v>402</v>
      </c>
      <c r="K123" s="51" t="s">
        <v>879</v>
      </c>
      <c r="L123" s="51" t="s">
        <v>366</v>
      </c>
      <c r="M123" s="646"/>
      <c r="R123" s="646"/>
    </row>
    <row r="124">
      <c r="A124" s="51" t="s">
        <v>557</v>
      </c>
      <c r="B124" s="51" t="s">
        <v>558</v>
      </c>
      <c r="C124" s="51" t="s">
        <v>880</v>
      </c>
      <c r="D124" s="51" t="s">
        <v>366</v>
      </c>
      <c r="E124" s="51" t="b">
        <v>0</v>
      </c>
      <c r="F124" t="b">
        <v>0</v>
      </c>
      <c r="H124" s="646"/>
      <c r="I124" s="51" t="s">
        <v>881</v>
      </c>
      <c r="J124" s="51" t="s">
        <v>714</v>
      </c>
      <c r="K124" s="51" t="s">
        <v>882</v>
      </c>
      <c r="L124" s="51" t="s">
        <v>366</v>
      </c>
      <c r="M124" s="646"/>
      <c r="N124" s="51" t="s">
        <v>380</v>
      </c>
      <c r="O124" s="51" t="s">
        <v>381</v>
      </c>
      <c r="P124" s="51" t="s">
        <v>883</v>
      </c>
      <c r="Q124" s="51" t="s">
        <v>366</v>
      </c>
      <c r="R124" s="646"/>
    </row>
    <row r="125">
      <c r="A125" s="51" t="s">
        <v>884</v>
      </c>
      <c r="B125" s="51" t="s">
        <v>885</v>
      </c>
      <c r="C125" s="51" t="s">
        <v>886</v>
      </c>
      <c r="D125" s="51" t="s">
        <v>366</v>
      </c>
      <c r="E125" s="51" t="b">
        <v>0</v>
      </c>
      <c r="F125" t="b">
        <v>0</v>
      </c>
      <c r="H125" s="646"/>
      <c r="I125" s="51" t="s">
        <v>881</v>
      </c>
      <c r="J125" s="51" t="s">
        <v>714</v>
      </c>
      <c r="K125" s="51" t="s">
        <v>887</v>
      </c>
      <c r="L125" s="51" t="s">
        <v>366</v>
      </c>
      <c r="M125" s="646"/>
      <c r="Q125" s="51" t="s">
        <v>366</v>
      </c>
      <c r="R125" s="646"/>
    </row>
    <row r="126">
      <c r="A126" s="51" t="s">
        <v>557</v>
      </c>
      <c r="B126" s="51" t="s">
        <v>558</v>
      </c>
      <c r="C126" s="51" t="s">
        <v>888</v>
      </c>
      <c r="D126" s="51" t="s">
        <v>366</v>
      </c>
      <c r="E126" s="51" t="b">
        <v>0</v>
      </c>
      <c r="F126" t="b">
        <v>0</v>
      </c>
      <c r="H126" s="646"/>
      <c r="I126" s="51" t="s">
        <v>889</v>
      </c>
      <c r="J126" s="51" t="s">
        <v>890</v>
      </c>
      <c r="K126" s="51" t="s">
        <v>891</v>
      </c>
      <c r="L126" s="51" t="s">
        <v>366</v>
      </c>
      <c r="M126" s="646"/>
      <c r="N126" s="51" t="s">
        <v>380</v>
      </c>
      <c r="O126" s="51" t="s">
        <v>381</v>
      </c>
      <c r="P126" s="51" t="s">
        <v>892</v>
      </c>
      <c r="Q126" s="51" t="s">
        <v>370</v>
      </c>
      <c r="R126" s="646"/>
    </row>
    <row r="127">
      <c r="A127" s="51" t="s">
        <v>893</v>
      </c>
      <c r="B127" s="51" t="s">
        <v>894</v>
      </c>
      <c r="C127" s="51" t="s">
        <v>895</v>
      </c>
      <c r="D127" s="51" t="s">
        <v>366</v>
      </c>
      <c r="E127" s="51" t="b">
        <v>0</v>
      </c>
      <c r="F127" t="b">
        <v>0</v>
      </c>
      <c r="H127" s="646"/>
      <c r="I127" s="51" t="s">
        <v>896</v>
      </c>
      <c r="J127" s="51" t="s">
        <v>897</v>
      </c>
      <c r="K127" s="51" t="s">
        <v>898</v>
      </c>
      <c r="L127" s="51" t="s">
        <v>366</v>
      </c>
      <c r="M127" s="646"/>
      <c r="R127" s="646"/>
    </row>
    <row r="128">
      <c r="A128" s="51" t="s">
        <v>476</v>
      </c>
      <c r="B128" s="51" t="s">
        <v>399</v>
      </c>
      <c r="C128" s="51" t="s">
        <v>899</v>
      </c>
      <c r="D128" s="51" t="s">
        <v>366</v>
      </c>
      <c r="E128" s="51" t="b">
        <v>0</v>
      </c>
      <c r="F128" t="b">
        <v>0</v>
      </c>
      <c r="H128" s="646"/>
      <c r="I128" s="51" t="s">
        <v>896</v>
      </c>
      <c r="J128" s="51" t="s">
        <v>897</v>
      </c>
      <c r="K128" s="51" t="s">
        <v>900</v>
      </c>
      <c r="L128" s="51" t="s">
        <v>366</v>
      </c>
      <c r="M128" s="646"/>
      <c r="R128" s="646"/>
    </row>
    <row r="129">
      <c r="A129" s="51" t="s">
        <v>442</v>
      </c>
      <c r="B129" s="51" t="s">
        <v>443</v>
      </c>
      <c r="C129" s="51" t="s">
        <v>901</v>
      </c>
      <c r="D129" s="51" t="s">
        <v>366</v>
      </c>
      <c r="E129" s="51" t="b">
        <v>0</v>
      </c>
      <c r="F129" t="b">
        <v>0</v>
      </c>
      <c r="H129" s="646"/>
      <c r="I129" s="51" t="s">
        <v>902</v>
      </c>
      <c r="J129" s="51" t="s">
        <v>903</v>
      </c>
      <c r="K129" s="51" t="s">
        <v>904</v>
      </c>
      <c r="L129" s="51" t="s">
        <v>366</v>
      </c>
      <c r="M129" s="646"/>
      <c r="R129" s="646"/>
    </row>
    <row r="130">
      <c r="A130" s="51" t="s">
        <v>905</v>
      </c>
      <c r="B130" s="51" t="s">
        <v>647</v>
      </c>
      <c r="C130" s="51" t="s">
        <v>906</v>
      </c>
      <c r="D130" s="51" t="s">
        <v>370</v>
      </c>
      <c r="E130" s="51" t="b">
        <v>0</v>
      </c>
      <c r="F130" t="b">
        <v>0</v>
      </c>
      <c r="H130" s="646"/>
      <c r="I130" s="51" t="s">
        <v>902</v>
      </c>
      <c r="J130" s="51" t="s">
        <v>903</v>
      </c>
      <c r="K130" s="51" t="s">
        <v>907</v>
      </c>
      <c r="L130" s="51" t="s">
        <v>366</v>
      </c>
      <c r="M130" s="646"/>
      <c r="R130" s="646"/>
    </row>
    <row r="131">
      <c r="A131" s="51" t="s">
        <v>433</v>
      </c>
      <c r="B131" s="51" t="s">
        <v>390</v>
      </c>
      <c r="C131" s="51" t="s">
        <v>908</v>
      </c>
      <c r="D131" s="51" t="s">
        <v>366</v>
      </c>
      <c r="E131" s="51" t="b">
        <v>0</v>
      </c>
      <c r="F131" t="b">
        <v>0</v>
      </c>
      <c r="H131" s="646"/>
      <c r="I131" s="51" t="s">
        <v>902</v>
      </c>
      <c r="J131" s="51" t="s">
        <v>903</v>
      </c>
      <c r="K131" s="51" t="s">
        <v>909</v>
      </c>
      <c r="L131" s="51" t="s">
        <v>366</v>
      </c>
      <c r="M131" s="646"/>
      <c r="R131" s="646"/>
    </row>
    <row r="132">
      <c r="A132" s="51" t="s">
        <v>537</v>
      </c>
      <c r="B132" s="51" t="s">
        <v>538</v>
      </c>
      <c r="C132" s="51" t="s">
        <v>910</v>
      </c>
      <c r="D132" s="51" t="s">
        <v>370</v>
      </c>
      <c r="E132" s="51" t="b">
        <v>0</v>
      </c>
      <c r="F132" t="b">
        <v>0</v>
      </c>
      <c r="H132" s="646"/>
      <c r="I132" s="51" t="s">
        <v>911</v>
      </c>
      <c r="J132" s="51" t="s">
        <v>912</v>
      </c>
      <c r="K132" s="51" t="s">
        <v>913</v>
      </c>
      <c r="L132" s="51" t="s">
        <v>366</v>
      </c>
      <c r="M132" s="646"/>
      <c r="R132" s="646"/>
    </row>
    <row r="133">
      <c r="A133" s="51" t="s">
        <v>433</v>
      </c>
      <c r="B133" s="51" t="s">
        <v>390</v>
      </c>
      <c r="C133" s="51" t="s">
        <v>914</v>
      </c>
      <c r="D133" s="51" t="s">
        <v>366</v>
      </c>
      <c r="E133" s="51" t="b">
        <v>0</v>
      </c>
      <c r="F133" t="b">
        <v>0</v>
      </c>
      <c r="H133" s="646"/>
      <c r="I133" s="51" t="s">
        <v>915</v>
      </c>
      <c r="J133" s="51" t="s">
        <v>916</v>
      </c>
      <c r="K133" s="51" t="s">
        <v>917</v>
      </c>
      <c r="L133" s="51" t="s">
        <v>366</v>
      </c>
      <c r="M133" s="646"/>
      <c r="R133" s="646"/>
    </row>
    <row r="134">
      <c r="A134" s="51" t="s">
        <v>476</v>
      </c>
      <c r="B134" s="51" t="s">
        <v>399</v>
      </c>
      <c r="C134" s="51" t="s">
        <v>918</v>
      </c>
      <c r="D134" s="51" t="s">
        <v>366</v>
      </c>
      <c r="E134" s="51" t="b">
        <v>0</v>
      </c>
      <c r="F134" t="b">
        <v>0</v>
      </c>
      <c r="H134" s="646"/>
      <c r="I134" s="51" t="s">
        <v>919</v>
      </c>
      <c r="J134" s="51" t="s">
        <v>920</v>
      </c>
      <c r="K134" s="51" t="s">
        <v>921</v>
      </c>
      <c r="L134" s="51" t="s">
        <v>366</v>
      </c>
      <c r="M134" s="646"/>
      <c r="R134" s="646"/>
    </row>
    <row r="135">
      <c r="A135" s="51" t="s">
        <v>922</v>
      </c>
      <c r="B135" s="51" t="s">
        <v>523</v>
      </c>
      <c r="C135" s="51" t="s">
        <v>923</v>
      </c>
      <c r="D135" s="51" t="s">
        <v>366</v>
      </c>
      <c r="E135" t="b">
        <v>0</v>
      </c>
      <c r="F135" t="b">
        <v>0</v>
      </c>
      <c r="H135" s="646"/>
      <c r="I135" s="51" t="s">
        <v>924</v>
      </c>
      <c r="J135" s="51" t="s">
        <v>925</v>
      </c>
      <c r="K135" s="51" t="s">
        <v>926</v>
      </c>
      <c r="L135" s="51" t="s">
        <v>366</v>
      </c>
      <c r="M135" s="646"/>
      <c r="R135" s="646"/>
    </row>
    <row r="136">
      <c r="A136" s="51" t="s">
        <v>442</v>
      </c>
      <c r="B136" s="51" t="s">
        <v>443</v>
      </c>
      <c r="C136" s="51" t="s">
        <v>927</v>
      </c>
      <c r="D136" s="51" t="s">
        <v>370</v>
      </c>
      <c r="E136" s="51" t="b">
        <v>0</v>
      </c>
      <c r="F136" t="b">
        <v>0</v>
      </c>
      <c r="H136" s="646"/>
      <c r="I136" s="51" t="s">
        <v>928</v>
      </c>
      <c r="J136" s="51" t="s">
        <v>929</v>
      </c>
      <c r="K136" s="51" t="s">
        <v>930</v>
      </c>
      <c r="L136" s="51" t="s">
        <v>366</v>
      </c>
      <c r="M136" s="646"/>
      <c r="R136" s="646"/>
    </row>
    <row r="137">
      <c r="A137" s="51" t="s">
        <v>931</v>
      </c>
      <c r="B137" s="51" t="s">
        <v>932</v>
      </c>
      <c r="C137" s="51" t="s">
        <v>933</v>
      </c>
      <c r="D137" s="51" t="s">
        <v>366</v>
      </c>
      <c r="E137" s="51" t="b">
        <v>0</v>
      </c>
      <c r="F137" t="b">
        <v>0</v>
      </c>
      <c r="H137" s="646"/>
      <c r="I137" s="51" t="s">
        <v>934</v>
      </c>
      <c r="J137" s="51" t="s">
        <v>778</v>
      </c>
      <c r="K137" s="51" t="s">
        <v>935</v>
      </c>
      <c r="L137" s="51" t="s">
        <v>366</v>
      </c>
      <c r="M137" s="646"/>
      <c r="R137" s="646"/>
    </row>
    <row r="138">
      <c r="A138" s="51" t="s">
        <v>936</v>
      </c>
      <c r="B138" s="51" t="s">
        <v>937</v>
      </c>
      <c r="C138" s="51" t="s">
        <v>938</v>
      </c>
      <c r="D138" s="51" t="s">
        <v>366</v>
      </c>
      <c r="E138" s="51" t="b">
        <v>0</v>
      </c>
      <c r="F138" t="b">
        <v>0</v>
      </c>
      <c r="H138" s="646"/>
      <c r="I138" s="51" t="s">
        <v>939</v>
      </c>
      <c r="J138" s="51" t="s">
        <v>876</v>
      </c>
      <c r="K138" s="51" t="s">
        <v>940</v>
      </c>
      <c r="L138" s="51" t="s">
        <v>366</v>
      </c>
      <c r="M138" s="646"/>
      <c r="R138" s="646"/>
    </row>
    <row r="139">
      <c r="A139" s="51" t="s">
        <v>470</v>
      </c>
      <c r="B139" s="51" t="s">
        <v>471</v>
      </c>
      <c r="C139" s="51" t="s">
        <v>941</v>
      </c>
      <c r="D139" s="51" t="s">
        <v>366</v>
      </c>
      <c r="E139" s="51" t="b">
        <v>0</v>
      </c>
      <c r="F139" t="b">
        <v>0</v>
      </c>
      <c r="H139" s="646"/>
      <c r="I139" s="51" t="s">
        <v>942</v>
      </c>
      <c r="J139" s="51" t="s">
        <v>943</v>
      </c>
      <c r="K139" s="51" t="s">
        <v>944</v>
      </c>
      <c r="L139" s="51" t="s">
        <v>366</v>
      </c>
      <c r="M139" s="646"/>
      <c r="R139" s="646"/>
    </row>
    <row r="140">
      <c r="A140" s="51" t="s">
        <v>945</v>
      </c>
      <c r="B140" s="51" t="s">
        <v>946</v>
      </c>
      <c r="C140" s="51" t="s">
        <v>947</v>
      </c>
      <c r="D140" s="51" t="s">
        <v>366</v>
      </c>
      <c r="E140" s="51" t="b">
        <v>0</v>
      </c>
      <c r="F140" t="b">
        <v>0</v>
      </c>
      <c r="H140" s="646"/>
      <c r="I140" s="51" t="s">
        <v>948</v>
      </c>
      <c r="J140" s="51" t="s">
        <v>925</v>
      </c>
      <c r="K140" s="51" t="s">
        <v>949</v>
      </c>
      <c r="L140" s="51" t="s">
        <v>370</v>
      </c>
      <c r="M140" s="646"/>
      <c r="N140" s="51" t="s">
        <v>587</v>
      </c>
      <c r="O140" s="51" t="s">
        <v>588</v>
      </c>
      <c r="P140" s="51" t="s">
        <v>950</v>
      </c>
      <c r="Q140" s="51" t="s">
        <v>366</v>
      </c>
      <c r="R140" s="646"/>
    </row>
    <row r="141">
      <c r="A141" s="51" t="s">
        <v>476</v>
      </c>
      <c r="B141" s="51" t="s">
        <v>399</v>
      </c>
      <c r="C141" s="51" t="s">
        <v>951</v>
      </c>
      <c r="D141" s="51" t="s">
        <v>366</v>
      </c>
      <c r="E141" s="51" t="b">
        <v>0</v>
      </c>
      <c r="F141" t="b">
        <v>0</v>
      </c>
      <c r="H141" s="646"/>
      <c r="I141" s="51" t="s">
        <v>948</v>
      </c>
      <c r="J141" s="51" t="s">
        <v>925</v>
      </c>
      <c r="K141" s="51" t="s">
        <v>952</v>
      </c>
      <c r="L141" s="51" t="s">
        <v>366</v>
      </c>
      <c r="M141" s="646"/>
      <c r="R141" s="646"/>
    </row>
    <row r="142">
      <c r="A142" s="51" t="s">
        <v>953</v>
      </c>
      <c r="B142" s="51" t="s">
        <v>954</v>
      </c>
      <c r="C142" s="51" t="s">
        <v>955</v>
      </c>
      <c r="D142" s="51" t="s">
        <v>366</v>
      </c>
      <c r="E142" s="51" t="b">
        <v>0</v>
      </c>
      <c r="F142" t="b">
        <v>0</v>
      </c>
      <c r="H142" s="646"/>
      <c r="I142" s="51" t="s">
        <v>956</v>
      </c>
      <c r="J142" s="51" t="s">
        <v>957</v>
      </c>
      <c r="K142" s="51" t="s">
        <v>958</v>
      </c>
      <c r="L142" s="51" t="s">
        <v>366</v>
      </c>
      <c r="M142" s="646"/>
      <c r="N142" s="51" t="s">
        <v>587</v>
      </c>
      <c r="O142" s="51" t="s">
        <v>588</v>
      </c>
      <c r="P142" s="51" t="s">
        <v>959</v>
      </c>
      <c r="Q142" s="51" t="s">
        <v>366</v>
      </c>
      <c r="R142" s="646"/>
    </row>
    <row r="143">
      <c r="A143" s="51" t="s">
        <v>960</v>
      </c>
      <c r="B143" s="51" t="s">
        <v>961</v>
      </c>
      <c r="C143" s="51" t="s">
        <v>962</v>
      </c>
      <c r="D143" s="51" t="s">
        <v>366</v>
      </c>
      <c r="E143" s="51" t="b">
        <v>0</v>
      </c>
      <c r="F143" t="b">
        <v>0</v>
      </c>
      <c r="H143" s="646"/>
      <c r="I143" s="51" t="s">
        <v>963</v>
      </c>
      <c r="J143" s="51" t="s">
        <v>961</v>
      </c>
      <c r="K143" s="51" t="s">
        <v>964</v>
      </c>
      <c r="L143" s="51" t="s">
        <v>366</v>
      </c>
      <c r="M143" s="646"/>
      <c r="R143" s="646"/>
    </row>
    <row r="144">
      <c r="A144" s="51" t="s">
        <v>960</v>
      </c>
      <c r="B144" s="51" t="s">
        <v>961</v>
      </c>
      <c r="C144" s="51" t="s">
        <v>965</v>
      </c>
      <c r="D144" s="51" t="s">
        <v>366</v>
      </c>
      <c r="E144" s="51" t="b">
        <v>0</v>
      </c>
      <c r="F144" t="b">
        <v>0</v>
      </c>
      <c r="H144" s="646"/>
      <c r="I144" s="51" t="s">
        <v>963</v>
      </c>
      <c r="J144" s="51" t="s">
        <v>961</v>
      </c>
      <c r="K144" s="51" t="s">
        <v>966</v>
      </c>
      <c r="L144" s="51" t="s">
        <v>366</v>
      </c>
      <c r="M144" s="646"/>
      <c r="R144" s="646"/>
    </row>
    <row r="145">
      <c r="A145" s="51" t="s">
        <v>367</v>
      </c>
      <c r="B145" s="51" t="s">
        <v>368</v>
      </c>
      <c r="C145" s="51" t="s">
        <v>967</v>
      </c>
      <c r="D145" s="51" t="s">
        <v>366</v>
      </c>
      <c r="E145" s="51" t="b">
        <v>0</v>
      </c>
      <c r="F145" t="b">
        <v>0</v>
      </c>
      <c r="H145" s="646"/>
      <c r="I145" s="51" t="s">
        <v>968</v>
      </c>
      <c r="J145" s="51" t="s">
        <v>969</v>
      </c>
      <c r="K145" s="51" t="s">
        <v>970</v>
      </c>
      <c r="L145" s="51" t="s">
        <v>366</v>
      </c>
      <c r="M145" s="646"/>
      <c r="R145" s="646"/>
    </row>
    <row r="146">
      <c r="A146" s="51" t="s">
        <v>971</v>
      </c>
      <c r="B146" s="51" t="s">
        <v>972</v>
      </c>
      <c r="C146" s="51" t="s">
        <v>973</v>
      </c>
      <c r="D146" s="51" t="s">
        <v>366</v>
      </c>
      <c r="E146" t="b">
        <v>0</v>
      </c>
      <c r="F146" t="b">
        <v>0</v>
      </c>
      <c r="H146" s="646"/>
      <c r="I146" s="51" t="s">
        <v>968</v>
      </c>
      <c r="J146" s="51" t="s">
        <v>969</v>
      </c>
      <c r="K146" s="51" t="s">
        <v>974</v>
      </c>
      <c r="L146" s="51" t="s">
        <v>366</v>
      </c>
      <c r="M146" s="646"/>
      <c r="Q146" s="51" t="s">
        <v>366</v>
      </c>
      <c r="R146" s="646"/>
    </row>
    <row r="147">
      <c r="A147" s="51" t="s">
        <v>805</v>
      </c>
      <c r="B147" s="51" t="s">
        <v>806</v>
      </c>
      <c r="C147" s="51" t="s">
        <v>975</v>
      </c>
      <c r="D147" s="51" t="s">
        <v>366</v>
      </c>
      <c r="E147" s="51" t="b">
        <v>0</v>
      </c>
      <c r="F147" t="b">
        <v>0</v>
      </c>
      <c r="H147" s="646"/>
      <c r="I147" s="51" t="s">
        <v>968</v>
      </c>
      <c r="J147" s="51" t="s">
        <v>969</v>
      </c>
      <c r="K147" s="51" t="s">
        <v>976</v>
      </c>
      <c r="L147" s="51" t="s">
        <v>366</v>
      </c>
      <c r="M147" s="646"/>
      <c r="Q147" s="51" t="s">
        <v>366</v>
      </c>
      <c r="R147" s="646"/>
    </row>
    <row r="148">
      <c r="A148" s="51" t="s">
        <v>367</v>
      </c>
      <c r="B148" s="51" t="s">
        <v>368</v>
      </c>
      <c r="C148" s="51" t="s">
        <v>977</v>
      </c>
      <c r="D148" s="51" t="s">
        <v>366</v>
      </c>
      <c r="E148" s="51" t="b">
        <v>0</v>
      </c>
      <c r="F148" t="b">
        <v>0</v>
      </c>
      <c r="H148" s="646"/>
      <c r="I148" s="51" t="s">
        <v>968</v>
      </c>
      <c r="J148" s="51" t="s">
        <v>969</v>
      </c>
      <c r="K148" s="51" t="s">
        <v>978</v>
      </c>
      <c r="L148" s="51" t="s">
        <v>366</v>
      </c>
      <c r="M148" s="646"/>
      <c r="R148" s="646"/>
    </row>
    <row r="149">
      <c r="A149" s="51" t="s">
        <v>367</v>
      </c>
      <c r="B149" s="51" t="s">
        <v>368</v>
      </c>
      <c r="C149" s="51" t="s">
        <v>979</v>
      </c>
      <c r="D149" s="51" t="s">
        <v>366</v>
      </c>
      <c r="E149" s="51" t="b">
        <v>0</v>
      </c>
      <c r="F149" t="b">
        <v>0</v>
      </c>
      <c r="H149" s="646"/>
      <c r="I149" s="51" t="s">
        <v>968</v>
      </c>
      <c r="J149" s="51" t="s">
        <v>969</v>
      </c>
      <c r="K149" s="51" t="s">
        <v>980</v>
      </c>
      <c r="L149" s="51" t="s">
        <v>366</v>
      </c>
      <c r="M149" s="646"/>
      <c r="R149" s="646"/>
    </row>
    <row r="150">
      <c r="A150" s="51" t="s">
        <v>367</v>
      </c>
      <c r="B150" s="51" t="s">
        <v>368</v>
      </c>
      <c r="C150" s="51" t="s">
        <v>981</v>
      </c>
      <c r="D150" s="51" t="s">
        <v>366</v>
      </c>
      <c r="E150" s="51" t="b">
        <v>0</v>
      </c>
      <c r="F150" t="b">
        <v>0</v>
      </c>
      <c r="H150" s="646"/>
      <c r="I150" s="51" t="s">
        <v>968</v>
      </c>
      <c r="J150" s="51" t="s">
        <v>969</v>
      </c>
      <c r="K150" s="51" t="s">
        <v>982</v>
      </c>
      <c r="L150" s="51" t="s">
        <v>366</v>
      </c>
      <c r="M150" s="646"/>
      <c r="R150" s="646"/>
    </row>
    <row r="151">
      <c r="A151" s="51" t="s">
        <v>367</v>
      </c>
      <c r="B151" s="51" t="s">
        <v>368</v>
      </c>
      <c r="C151" s="51" t="s">
        <v>983</v>
      </c>
      <c r="D151" s="51" t="s">
        <v>366</v>
      </c>
      <c r="E151" s="51" t="b">
        <v>0</v>
      </c>
      <c r="F151" t="b">
        <v>0</v>
      </c>
      <c r="H151" s="646"/>
      <c r="I151" s="51" t="s">
        <v>968</v>
      </c>
      <c r="J151" s="51" t="s">
        <v>969</v>
      </c>
      <c r="K151" s="51" t="s">
        <v>984</v>
      </c>
      <c r="L151" s="51" t="s">
        <v>366</v>
      </c>
      <c r="M151" s="646"/>
      <c r="R151" s="646"/>
    </row>
    <row r="152">
      <c r="A152" s="51" t="s">
        <v>367</v>
      </c>
      <c r="B152" s="51" t="s">
        <v>368</v>
      </c>
      <c r="C152" s="51" t="s">
        <v>985</v>
      </c>
      <c r="D152" s="51" t="s">
        <v>366</v>
      </c>
      <c r="E152" s="51" t="b">
        <v>0</v>
      </c>
      <c r="F152" t="b">
        <v>0</v>
      </c>
      <c r="H152" s="646"/>
      <c r="I152" s="51" t="s">
        <v>968</v>
      </c>
      <c r="J152" s="51" t="s">
        <v>969</v>
      </c>
      <c r="K152" s="51" t="s">
        <v>986</v>
      </c>
      <c r="L152" s="51" t="s">
        <v>366</v>
      </c>
      <c r="M152" s="646"/>
      <c r="R152" s="646"/>
    </row>
    <row r="153">
      <c r="A153" s="51" t="s">
        <v>987</v>
      </c>
      <c r="B153" s="51" t="s">
        <v>378</v>
      </c>
      <c r="C153" s="51" t="s">
        <v>988</v>
      </c>
      <c r="D153" s="51" t="s">
        <v>366</v>
      </c>
      <c r="E153" s="51" t="b">
        <v>0</v>
      </c>
      <c r="F153" t="b">
        <v>0</v>
      </c>
      <c r="H153" s="646"/>
      <c r="I153" s="51" t="s">
        <v>968</v>
      </c>
      <c r="J153" s="51" t="s">
        <v>969</v>
      </c>
      <c r="K153" s="51" t="s">
        <v>989</v>
      </c>
      <c r="L153" s="51" t="s">
        <v>366</v>
      </c>
      <c r="M153" s="646"/>
      <c r="R153" s="646"/>
    </row>
    <row r="154">
      <c r="A154" s="51" t="s">
        <v>990</v>
      </c>
      <c r="B154" s="51" t="s">
        <v>991</v>
      </c>
      <c r="C154" s="51" t="s">
        <v>992</v>
      </c>
      <c r="D154" s="51" t="s">
        <v>366</v>
      </c>
      <c r="E154" s="51" t="b">
        <v>0</v>
      </c>
      <c r="F154" t="b">
        <v>0</v>
      </c>
      <c r="H154" s="646"/>
      <c r="I154" s="51" t="s">
        <v>993</v>
      </c>
      <c r="J154" s="51" t="s">
        <v>994</v>
      </c>
      <c r="K154" s="51" t="s">
        <v>995</v>
      </c>
      <c r="L154" s="51" t="s">
        <v>366</v>
      </c>
      <c r="M154" s="646"/>
      <c r="R154" s="646"/>
    </row>
    <row r="155">
      <c r="A155" s="51" t="s">
        <v>824</v>
      </c>
      <c r="B155" s="51" t="s">
        <v>375</v>
      </c>
      <c r="C155" s="51" t="s">
        <v>996</v>
      </c>
      <c r="D155" s="51" t="s">
        <v>366</v>
      </c>
      <c r="E155" t="b">
        <v>0</v>
      </c>
      <c r="F155" t="b">
        <v>0</v>
      </c>
      <c r="H155" s="646"/>
      <c r="I155" s="51" t="s">
        <v>993</v>
      </c>
      <c r="J155" s="51" t="s">
        <v>994</v>
      </c>
      <c r="K155" s="51" t="s">
        <v>997</v>
      </c>
      <c r="L155" s="51" t="s">
        <v>366</v>
      </c>
      <c r="M155" s="646"/>
      <c r="Q155" s="51" t="s">
        <v>366</v>
      </c>
      <c r="R155" s="646"/>
    </row>
    <row r="156">
      <c r="A156" s="51" t="s">
        <v>998</v>
      </c>
      <c r="C156" s="51" t="s">
        <v>999</v>
      </c>
      <c r="D156" s="51" t="s">
        <v>366</v>
      </c>
      <c r="E156" s="51" t="b">
        <v>0</v>
      </c>
      <c r="F156" t="b">
        <v>0</v>
      </c>
      <c r="H156" s="646"/>
      <c r="L156" s="51" t="s">
        <v>366</v>
      </c>
      <c r="M156" s="646"/>
      <c r="R156" s="646"/>
    </row>
    <row r="157">
      <c r="A157" s="51" t="s">
        <v>412</v>
      </c>
      <c r="B157" s="51" t="s">
        <v>413</v>
      </c>
      <c r="C157" s="51" t="s">
        <v>1000</v>
      </c>
      <c r="D157" s="51" t="s">
        <v>370</v>
      </c>
      <c r="E157" s="51" t="b">
        <v>0</v>
      </c>
      <c r="F157" t="b">
        <v>0</v>
      </c>
      <c r="H157" s="646"/>
      <c r="M157" s="646"/>
      <c r="R157" s="646"/>
    </row>
    <row r="158">
      <c r="A158" s="51" t="s">
        <v>412</v>
      </c>
      <c r="B158" s="51" t="s">
        <v>413</v>
      </c>
      <c r="C158" s="51" t="s">
        <v>1001</v>
      </c>
      <c r="D158" s="51" t="s">
        <v>370</v>
      </c>
      <c r="E158" s="51" t="b">
        <v>0</v>
      </c>
      <c r="F158" t="b">
        <v>0</v>
      </c>
      <c r="H158" s="646"/>
      <c r="M158" s="646"/>
      <c r="R158" s="646"/>
    </row>
    <row r="159">
      <c r="A159" s="51" t="s">
        <v>1002</v>
      </c>
      <c r="B159" s="51" t="s">
        <v>1003</v>
      </c>
      <c r="C159" s="51" t="s">
        <v>1004</v>
      </c>
      <c r="D159" s="51" t="s">
        <v>366</v>
      </c>
      <c r="E159" s="51" t="b">
        <v>0</v>
      </c>
      <c r="F159" t="b">
        <v>0</v>
      </c>
      <c r="H159" s="646"/>
      <c r="M159" s="646"/>
      <c r="R159" s="646"/>
    </row>
    <row r="160">
      <c r="A160" s="51" t="s">
        <v>1005</v>
      </c>
      <c r="B160" s="51" t="s">
        <v>1006</v>
      </c>
      <c r="C160" s="51" t="s">
        <v>1007</v>
      </c>
      <c r="D160" s="51" t="s">
        <v>366</v>
      </c>
      <c r="E160" s="51" t="b">
        <v>0</v>
      </c>
      <c r="F160" t="b">
        <v>0</v>
      </c>
      <c r="H160" s="646"/>
      <c r="M160" s="646"/>
      <c r="R160" s="646"/>
    </row>
    <row r="161">
      <c r="A161" s="51" t="s">
        <v>1008</v>
      </c>
      <c r="B161" s="51" t="s">
        <v>897</v>
      </c>
      <c r="C161" s="51" t="s">
        <v>1009</v>
      </c>
      <c r="D161" s="51" t="s">
        <v>366</v>
      </c>
      <c r="E161" t="b">
        <v>0</v>
      </c>
      <c r="F161" t="b">
        <v>0</v>
      </c>
      <c r="H161" s="646"/>
      <c r="M161" s="646"/>
      <c r="R161" s="646"/>
    </row>
    <row r="162">
      <c r="A162" s="51" t="s">
        <v>1010</v>
      </c>
      <c r="B162" s="51" t="s">
        <v>684</v>
      </c>
      <c r="C162" s="51" t="s">
        <v>1011</v>
      </c>
      <c r="D162" s="51" t="s">
        <v>366</v>
      </c>
      <c r="E162" t="b">
        <v>0</v>
      </c>
      <c r="F162" t="b">
        <v>0</v>
      </c>
      <c r="H162" s="646"/>
      <c r="M162" s="646"/>
      <c r="R162" s="646"/>
    </row>
    <row r="163">
      <c r="A163" s="51" t="s">
        <v>1012</v>
      </c>
      <c r="B163" s="51" t="s">
        <v>1013</v>
      </c>
      <c r="C163" s="51" t="s">
        <v>1014</v>
      </c>
      <c r="D163" s="51" t="s">
        <v>366</v>
      </c>
      <c r="E163" s="51" t="b">
        <v>0</v>
      </c>
      <c r="F163" t="b">
        <v>0</v>
      </c>
      <c r="H163" s="646"/>
      <c r="M163" s="646"/>
      <c r="R163" s="646"/>
    </row>
    <row r="164">
      <c r="A164" s="51" t="s">
        <v>1012</v>
      </c>
      <c r="B164" s="51" t="s">
        <v>1013</v>
      </c>
      <c r="C164" s="51" t="s">
        <v>1015</v>
      </c>
      <c r="D164" s="51" t="s">
        <v>366</v>
      </c>
      <c r="E164" s="51" t="b">
        <v>0</v>
      </c>
      <c r="F164" t="b">
        <v>0</v>
      </c>
      <c r="H164" s="646"/>
      <c r="M164" s="646"/>
      <c r="R164" s="646"/>
    </row>
    <row r="165">
      <c r="A165" s="51" t="s">
        <v>1012</v>
      </c>
      <c r="B165" s="51" t="s">
        <v>1013</v>
      </c>
      <c r="C165" s="51" t="s">
        <v>1015</v>
      </c>
      <c r="D165" s="51" t="s">
        <v>366</v>
      </c>
      <c r="E165" s="51" t="b">
        <v>0</v>
      </c>
      <c r="F165" t="b">
        <v>0</v>
      </c>
      <c r="H165" s="646"/>
      <c r="M165" s="646"/>
      <c r="R165" s="646"/>
    </row>
    <row r="166">
      <c r="A166" s="51" t="s">
        <v>1016</v>
      </c>
      <c r="B166" s="51" t="s">
        <v>1017</v>
      </c>
      <c r="C166" s="51" t="s">
        <v>1018</v>
      </c>
      <c r="D166" s="51" t="s">
        <v>366</v>
      </c>
      <c r="E166" s="51" t="b">
        <v>0</v>
      </c>
      <c r="F166" t="b">
        <v>0</v>
      </c>
      <c r="G166" s="51" t="s">
        <v>1019</v>
      </c>
      <c r="H166" s="646"/>
      <c r="M166" s="646"/>
      <c r="R166" s="646"/>
    </row>
    <row r="167">
      <c r="A167" s="51" t="s">
        <v>1020</v>
      </c>
      <c r="B167" s="51" t="s">
        <v>724</v>
      </c>
      <c r="C167" s="51" t="s">
        <v>1021</v>
      </c>
      <c r="D167" s="51" t="s">
        <v>370</v>
      </c>
      <c r="E167" s="51" t="b">
        <v>0</v>
      </c>
      <c r="F167" t="b">
        <v>0</v>
      </c>
      <c r="H167" s="646"/>
      <c r="M167" s="646"/>
      <c r="R167" s="646"/>
    </row>
    <row r="168">
      <c r="A168" s="51" t="s">
        <v>1022</v>
      </c>
      <c r="B168" s="51" t="s">
        <v>1023</v>
      </c>
      <c r="C168" s="51" t="s">
        <v>1024</v>
      </c>
      <c r="D168" s="51" t="s">
        <v>366</v>
      </c>
      <c r="E168" s="51" t="b">
        <v>0</v>
      </c>
      <c r="F168" t="b">
        <v>0</v>
      </c>
      <c r="H168" s="646"/>
      <c r="M168" s="646"/>
      <c r="R168" s="646"/>
    </row>
    <row r="169">
      <c r="A169" s="51" t="s">
        <v>1025</v>
      </c>
      <c r="B169" s="51" t="s">
        <v>1026</v>
      </c>
      <c r="C169" s="51" t="s">
        <v>1027</v>
      </c>
      <c r="D169" s="51" t="s">
        <v>370</v>
      </c>
      <c r="E169" s="51" t="b">
        <v>0</v>
      </c>
      <c r="F169" t="b">
        <v>0</v>
      </c>
      <c r="H169" s="646"/>
      <c r="M169" s="646"/>
      <c r="R169" s="646"/>
    </row>
    <row r="170">
      <c r="A170" s="51" t="s">
        <v>1028</v>
      </c>
      <c r="B170" s="51" t="s">
        <v>1029</v>
      </c>
      <c r="C170" s="51" t="s">
        <v>1030</v>
      </c>
      <c r="D170" s="51" t="s">
        <v>366</v>
      </c>
      <c r="E170" t="b">
        <v>0</v>
      </c>
      <c r="F170" t="b">
        <v>0</v>
      </c>
      <c r="H170" s="646"/>
      <c r="M170" s="646"/>
      <c r="R170" s="646"/>
    </row>
    <row r="171">
      <c r="A171" s="51" t="s">
        <v>1031</v>
      </c>
      <c r="B171" s="51" t="s">
        <v>778</v>
      </c>
      <c r="C171" s="51" t="s">
        <v>1032</v>
      </c>
      <c r="D171" s="51" t="s">
        <v>366</v>
      </c>
      <c r="E171" s="51" t="b">
        <v>0</v>
      </c>
      <c r="F171" t="b">
        <v>0</v>
      </c>
      <c r="H171" s="646"/>
      <c r="M171" s="646"/>
      <c r="R171" s="646"/>
    </row>
    <row r="172">
      <c r="A172" s="51" t="s">
        <v>1033</v>
      </c>
      <c r="B172" s="51" t="s">
        <v>1034</v>
      </c>
      <c r="C172" s="51" t="s">
        <v>1035</v>
      </c>
      <c r="D172" s="51" t="s">
        <v>370</v>
      </c>
      <c r="E172" s="51" t="b">
        <v>0</v>
      </c>
      <c r="F172" t="b">
        <v>0</v>
      </c>
      <c r="H172" s="646"/>
      <c r="M172" s="646"/>
      <c r="R172" s="646"/>
    </row>
    <row r="173">
      <c r="A173" s="51" t="s">
        <v>1036</v>
      </c>
      <c r="B173" s="51" t="s">
        <v>803</v>
      </c>
      <c r="C173" s="51" t="s">
        <v>1037</v>
      </c>
      <c r="D173" s="51" t="s">
        <v>366</v>
      </c>
      <c r="E173" s="51" t="b">
        <v>0</v>
      </c>
      <c r="F173" t="b">
        <v>0</v>
      </c>
      <c r="H173" s="646"/>
      <c r="M173" s="646"/>
      <c r="R173" s="646"/>
    </row>
    <row r="174">
      <c r="A174" s="51" t="s">
        <v>1038</v>
      </c>
      <c r="B174" s="51" t="s">
        <v>629</v>
      </c>
      <c r="C174" s="51" t="s">
        <v>1039</v>
      </c>
      <c r="D174" s="51" t="s">
        <v>366</v>
      </c>
      <c r="E174" s="51" t="b">
        <v>0</v>
      </c>
      <c r="F174" t="b">
        <v>0</v>
      </c>
      <c r="H174" s="646"/>
      <c r="M174" s="646"/>
      <c r="R174" s="646"/>
    </row>
    <row r="175">
      <c r="A175" s="51" t="s">
        <v>1038</v>
      </c>
      <c r="B175" s="51" t="s">
        <v>629</v>
      </c>
      <c r="C175" s="51" t="s">
        <v>1040</v>
      </c>
      <c r="D175" s="51" t="s">
        <v>366</v>
      </c>
      <c r="E175" t="b">
        <v>0</v>
      </c>
      <c r="F175" t="b">
        <v>0</v>
      </c>
      <c r="H175" s="646"/>
      <c r="M175" s="646"/>
      <c r="R175" s="646"/>
    </row>
    <row r="176">
      <c r="A176" s="51" t="s">
        <v>1041</v>
      </c>
      <c r="B176" s="51" t="s">
        <v>1042</v>
      </c>
      <c r="C176" s="51" t="s">
        <v>1043</v>
      </c>
      <c r="D176" s="51" t="s">
        <v>366</v>
      </c>
      <c r="E176" s="51" t="b">
        <v>0</v>
      </c>
      <c r="F176" t="b">
        <v>0</v>
      </c>
      <c r="H176" s="646"/>
      <c r="M176" s="646"/>
      <c r="R176" s="646"/>
    </row>
    <row r="177">
      <c r="A177" s="51" t="s">
        <v>1044</v>
      </c>
      <c r="B177" s="51" t="s">
        <v>1045</v>
      </c>
      <c r="C177" s="51" t="s">
        <v>1046</v>
      </c>
      <c r="D177" s="51" t="s">
        <v>366</v>
      </c>
      <c r="E177" s="51" t="b">
        <v>0</v>
      </c>
      <c r="F177" t="b">
        <v>0</v>
      </c>
      <c r="H177" s="646"/>
      <c r="M177" s="646"/>
      <c r="R177" s="646"/>
    </row>
    <row r="178">
      <c r="A178" s="51" t="s">
        <v>1047</v>
      </c>
      <c r="B178" s="51" t="s">
        <v>390</v>
      </c>
      <c r="C178" s="51" t="s">
        <v>1048</v>
      </c>
      <c r="D178" s="51" t="s">
        <v>366</v>
      </c>
      <c r="E178" s="51" t="b">
        <v>0</v>
      </c>
      <c r="F178" t="b">
        <v>0</v>
      </c>
      <c r="G178" s="51" t="s">
        <v>1049</v>
      </c>
      <c r="H178" s="646"/>
      <c r="M178" s="646"/>
      <c r="R178" s="646"/>
    </row>
    <row r="179">
      <c r="A179" s="51" t="s">
        <v>1050</v>
      </c>
      <c r="B179" s="51" t="s">
        <v>1051</v>
      </c>
      <c r="C179" s="51" t="s">
        <v>1052</v>
      </c>
      <c r="D179" s="51" t="s">
        <v>366</v>
      </c>
      <c r="E179" s="51" t="b">
        <v>0</v>
      </c>
      <c r="F179" t="b">
        <v>0</v>
      </c>
      <c r="H179" s="646"/>
      <c r="M179" s="646"/>
      <c r="R179" s="646"/>
    </row>
    <row r="180">
      <c r="A180" s="51" t="s">
        <v>1053</v>
      </c>
      <c r="B180" s="51" t="s">
        <v>1054</v>
      </c>
      <c r="C180" s="51" t="s">
        <v>1055</v>
      </c>
      <c r="D180" s="51" t="s">
        <v>370</v>
      </c>
      <c r="E180" s="51" t="b">
        <v>0</v>
      </c>
      <c r="F180" t="b">
        <v>0</v>
      </c>
      <c r="H180" s="646"/>
      <c r="M180" s="646"/>
      <c r="R180" s="646"/>
    </row>
    <row r="181">
      <c r="A181" s="51" t="s">
        <v>378</v>
      </c>
      <c r="B181" s="51" t="s">
        <v>1056</v>
      </c>
      <c r="C181" s="51" t="s">
        <v>1057</v>
      </c>
      <c r="D181" s="51" t="s">
        <v>366</v>
      </c>
      <c r="E181" s="51" t="b">
        <v>0</v>
      </c>
      <c r="F181" t="b">
        <v>0</v>
      </c>
      <c r="H181" s="646"/>
      <c r="M181" s="646"/>
      <c r="R181" s="646"/>
    </row>
    <row r="182">
      <c r="A182" s="51" t="s">
        <v>1058</v>
      </c>
      <c r="B182" s="51" t="s">
        <v>1059</v>
      </c>
      <c r="C182" s="51" t="s">
        <v>1060</v>
      </c>
      <c r="D182" s="51" t="s">
        <v>366</v>
      </c>
      <c r="E182" s="51" t="b">
        <v>0</v>
      </c>
      <c r="F182" t="b">
        <v>0</v>
      </c>
      <c r="H182" s="646"/>
      <c r="M182" s="646"/>
      <c r="R182" s="646"/>
    </row>
    <row r="183">
      <c r="A183" s="51" t="s">
        <v>1058</v>
      </c>
      <c r="B183" s="51" t="s">
        <v>1059</v>
      </c>
      <c r="C183" s="51" t="s">
        <v>1061</v>
      </c>
      <c r="D183" s="51" t="s">
        <v>366</v>
      </c>
      <c r="E183" s="51" t="b">
        <v>0</v>
      </c>
      <c r="F183" t="b">
        <v>0</v>
      </c>
      <c r="H183" s="646"/>
      <c r="M183" s="646"/>
      <c r="R183" s="646"/>
    </row>
    <row r="184">
      <c r="A184" s="51" t="s">
        <v>1062</v>
      </c>
      <c r="B184" s="51" t="s">
        <v>1063</v>
      </c>
      <c r="C184" s="51" t="s">
        <v>1064</v>
      </c>
      <c r="D184" s="51" t="s">
        <v>366</v>
      </c>
      <c r="E184" t="b">
        <v>0</v>
      </c>
      <c r="F184" t="b">
        <v>0</v>
      </c>
      <c r="H184" s="646"/>
      <c r="M184" s="646"/>
      <c r="R184" s="646"/>
    </row>
    <row r="185">
      <c r="A185" s="51" t="s">
        <v>1065</v>
      </c>
      <c r="B185" s="51" t="s">
        <v>1066</v>
      </c>
      <c r="C185" s="51" t="s">
        <v>1067</v>
      </c>
      <c r="D185" s="51" t="s">
        <v>366</v>
      </c>
      <c r="E185" s="51" t="b">
        <v>0</v>
      </c>
      <c r="F185" t="b">
        <v>0</v>
      </c>
      <c r="H185" s="646"/>
      <c r="M185" s="646"/>
      <c r="R185" s="646"/>
    </row>
    <row r="186">
      <c r="A186" s="51" t="s">
        <v>1068</v>
      </c>
      <c r="B186" s="51" t="s">
        <v>1069</v>
      </c>
      <c r="C186" s="51" t="s">
        <v>1070</v>
      </c>
      <c r="D186" s="51" t="s">
        <v>366</v>
      </c>
      <c r="E186" s="51" t="b">
        <v>0</v>
      </c>
      <c r="F186" t="b">
        <v>0</v>
      </c>
      <c r="H186" s="646"/>
      <c r="M186" s="646"/>
      <c r="R186" s="646"/>
    </row>
    <row r="187">
      <c r="A187" s="51" t="s">
        <v>1068</v>
      </c>
      <c r="B187" s="51" t="s">
        <v>1069</v>
      </c>
      <c r="C187" s="51" t="s">
        <v>1071</v>
      </c>
      <c r="D187" s="51" t="s">
        <v>366</v>
      </c>
      <c r="E187" s="51" t="b">
        <v>0</v>
      </c>
      <c r="F187" t="b">
        <v>0</v>
      </c>
      <c r="H187" s="646"/>
      <c r="M187" s="646"/>
      <c r="R187" s="646"/>
    </row>
    <row r="188">
      <c r="A188" s="51" t="s">
        <v>1068</v>
      </c>
      <c r="B188" s="51" t="s">
        <v>1069</v>
      </c>
      <c r="C188" s="51" t="s">
        <v>1072</v>
      </c>
      <c r="D188" s="51" t="s">
        <v>366</v>
      </c>
      <c r="E188" s="51" t="b">
        <v>0</v>
      </c>
      <c r="F188" t="b">
        <v>0</v>
      </c>
      <c r="H188" s="646"/>
      <c r="M188" s="646"/>
      <c r="R188" s="646"/>
    </row>
    <row r="189">
      <c r="A189" s="51" t="s">
        <v>1073</v>
      </c>
      <c r="B189" s="51" t="s">
        <v>1074</v>
      </c>
      <c r="C189" s="51" t="s">
        <v>1075</v>
      </c>
      <c r="D189" s="51" t="s">
        <v>366</v>
      </c>
      <c r="E189" s="51" t="b">
        <v>0</v>
      </c>
      <c r="F189" t="b">
        <v>0</v>
      </c>
      <c r="H189" s="646"/>
      <c r="M189" s="646"/>
      <c r="R189" s="646"/>
    </row>
    <row r="190">
      <c r="A190" s="51" t="s">
        <v>1076</v>
      </c>
      <c r="B190" s="51" t="s">
        <v>1077</v>
      </c>
      <c r="C190" s="51" t="s">
        <v>1078</v>
      </c>
      <c r="D190" s="51" t="s">
        <v>366</v>
      </c>
      <c r="E190" s="51" t="b">
        <v>0</v>
      </c>
      <c r="F190" t="b">
        <v>0</v>
      </c>
      <c r="H190" s="646"/>
      <c r="M190" s="646"/>
      <c r="R190" s="646"/>
    </row>
    <row r="191">
      <c r="A191" s="51" t="s">
        <v>1079</v>
      </c>
      <c r="B191" s="51" t="s">
        <v>474</v>
      </c>
      <c r="C191" s="51" t="s">
        <v>1080</v>
      </c>
      <c r="D191" s="51" t="s">
        <v>370</v>
      </c>
      <c r="E191" s="51" t="b">
        <v>0</v>
      </c>
      <c r="F191" t="b">
        <v>0</v>
      </c>
      <c r="H191" s="646"/>
      <c r="M191" s="646"/>
      <c r="R191" s="646"/>
    </row>
    <row r="192">
      <c r="A192" s="51" t="s">
        <v>1081</v>
      </c>
      <c r="B192" s="51" t="s">
        <v>714</v>
      </c>
      <c r="C192" s="51" t="s">
        <v>1082</v>
      </c>
      <c r="D192" s="51" t="s">
        <v>366</v>
      </c>
      <c r="E192" s="51" t="b">
        <v>0</v>
      </c>
      <c r="F192" t="b">
        <v>0</v>
      </c>
      <c r="H192" s="646"/>
      <c r="M192" s="646"/>
      <c r="R192" s="646"/>
    </row>
    <row r="193">
      <c r="A193" s="51" t="s">
        <v>1081</v>
      </c>
      <c r="B193" s="51" t="s">
        <v>714</v>
      </c>
      <c r="C193" s="51" t="s">
        <v>1083</v>
      </c>
      <c r="D193" s="51" t="s">
        <v>366</v>
      </c>
      <c r="E193" s="51" t="b">
        <v>0</v>
      </c>
      <c r="F193" t="b">
        <v>0</v>
      </c>
      <c r="H193" s="646"/>
      <c r="M193" s="646"/>
      <c r="R193" s="646"/>
    </row>
    <row r="194">
      <c r="A194" s="51" t="s">
        <v>1081</v>
      </c>
      <c r="B194" s="51" t="s">
        <v>714</v>
      </c>
      <c r="C194" s="51" t="s">
        <v>1084</v>
      </c>
      <c r="D194" s="51" t="s">
        <v>366</v>
      </c>
      <c r="E194" s="51" t="b">
        <v>0</v>
      </c>
      <c r="F194" t="b">
        <v>0</v>
      </c>
      <c r="H194" s="646"/>
      <c r="M194" s="646"/>
      <c r="R194" s="646"/>
    </row>
    <row r="195">
      <c r="A195" s="51" t="s">
        <v>1081</v>
      </c>
      <c r="B195" s="51" t="s">
        <v>714</v>
      </c>
      <c r="C195" s="51" t="s">
        <v>1085</v>
      </c>
      <c r="D195" s="51" t="s">
        <v>366</v>
      </c>
      <c r="E195" s="51" t="b">
        <v>0</v>
      </c>
      <c r="F195" t="b">
        <v>0</v>
      </c>
      <c r="H195" s="646"/>
      <c r="M195" s="646"/>
      <c r="R195" s="646"/>
    </row>
    <row r="196">
      <c r="A196" s="51" t="s">
        <v>1081</v>
      </c>
      <c r="B196" s="51" t="s">
        <v>714</v>
      </c>
      <c r="C196" s="51" t="s">
        <v>1086</v>
      </c>
      <c r="D196" s="51" t="s">
        <v>366</v>
      </c>
      <c r="E196" s="51" t="b">
        <v>0</v>
      </c>
      <c r="F196" t="b">
        <v>0</v>
      </c>
      <c r="H196" s="646"/>
      <c r="M196" s="646"/>
      <c r="R196" s="646"/>
    </row>
    <row r="197">
      <c r="A197" s="51" t="s">
        <v>1081</v>
      </c>
      <c r="B197" s="51" t="s">
        <v>714</v>
      </c>
      <c r="C197" s="51" t="s">
        <v>1087</v>
      </c>
      <c r="D197" s="51" t="s">
        <v>366</v>
      </c>
      <c r="E197" s="51" t="b">
        <v>0</v>
      </c>
      <c r="F197" t="b">
        <v>0</v>
      </c>
      <c r="H197" s="646"/>
      <c r="M197" s="646"/>
      <c r="R197" s="646"/>
    </row>
    <row r="198">
      <c r="A198" s="51" t="s">
        <v>1081</v>
      </c>
      <c r="B198" s="51" t="s">
        <v>714</v>
      </c>
      <c r="C198" s="51" t="s">
        <v>1088</v>
      </c>
      <c r="D198" s="51" t="s">
        <v>366</v>
      </c>
      <c r="E198" s="51" t="b">
        <v>0</v>
      </c>
      <c r="F198" t="b">
        <v>0</v>
      </c>
      <c r="H198" s="646"/>
      <c r="M198" s="646"/>
      <c r="R198" s="646"/>
    </row>
    <row r="199">
      <c r="A199" s="51" t="s">
        <v>1081</v>
      </c>
      <c r="B199" s="51" t="s">
        <v>714</v>
      </c>
      <c r="C199" s="51" t="s">
        <v>1089</v>
      </c>
      <c r="D199" s="51" t="s">
        <v>366</v>
      </c>
      <c r="E199" s="51" t="b">
        <v>0</v>
      </c>
      <c r="F199" t="b">
        <v>0</v>
      </c>
      <c r="H199" s="646"/>
      <c r="M199" s="646"/>
      <c r="R199" s="646"/>
    </row>
    <row r="200">
      <c r="A200" s="51" t="s">
        <v>1081</v>
      </c>
      <c r="B200" s="51" t="s">
        <v>714</v>
      </c>
      <c r="C200" s="51" t="s">
        <v>1090</v>
      </c>
      <c r="D200" s="51" t="s">
        <v>366</v>
      </c>
      <c r="E200" s="51" t="b">
        <v>0</v>
      </c>
      <c r="F200" t="b">
        <v>0</v>
      </c>
      <c r="H200" s="646"/>
      <c r="M200" s="646"/>
      <c r="R200" s="646"/>
    </row>
    <row r="201">
      <c r="A201" s="51" t="s">
        <v>1081</v>
      </c>
      <c r="B201" s="51" t="s">
        <v>714</v>
      </c>
      <c r="C201" s="51" t="s">
        <v>1091</v>
      </c>
      <c r="D201" s="51" t="s">
        <v>366</v>
      </c>
      <c r="E201" s="51" t="b">
        <v>0</v>
      </c>
      <c r="F201" t="b">
        <v>0</v>
      </c>
      <c r="H201" s="646"/>
      <c r="M201" s="646"/>
      <c r="R201" s="646"/>
    </row>
    <row r="202">
      <c r="A202" s="51" t="s">
        <v>1081</v>
      </c>
      <c r="B202" s="51" t="s">
        <v>714</v>
      </c>
      <c r="C202" s="51" t="s">
        <v>1092</v>
      </c>
      <c r="D202" s="51" t="s">
        <v>366</v>
      </c>
      <c r="E202" s="51" t="b">
        <v>0</v>
      </c>
      <c r="F202" t="b">
        <v>0</v>
      </c>
      <c r="H202" s="646"/>
      <c r="M202" s="646"/>
      <c r="R202" s="646"/>
    </row>
    <row r="203">
      <c r="A203" s="51" t="s">
        <v>1093</v>
      </c>
      <c r="B203" s="51" t="s">
        <v>1094</v>
      </c>
      <c r="C203" s="51" t="s">
        <v>1095</v>
      </c>
      <c r="D203" s="51" t="s">
        <v>366</v>
      </c>
      <c r="E203" s="51" t="b">
        <v>0</v>
      </c>
      <c r="F203" t="b">
        <v>0</v>
      </c>
      <c r="H203" s="646"/>
      <c r="M203" s="646"/>
      <c r="R203" s="646"/>
    </row>
    <row r="204">
      <c r="A204" s="51" t="s">
        <v>1096</v>
      </c>
      <c r="B204" s="51" t="s">
        <v>1097</v>
      </c>
      <c r="C204" s="51" t="s">
        <v>1098</v>
      </c>
      <c r="D204" s="51" t="s">
        <v>370</v>
      </c>
      <c r="E204" s="51" t="b">
        <v>0</v>
      </c>
      <c r="F204" t="b">
        <v>0</v>
      </c>
      <c r="H204" s="646"/>
      <c r="M204" s="646"/>
      <c r="R204" s="646"/>
    </row>
    <row r="205">
      <c r="A205" s="51" t="s">
        <v>1099</v>
      </c>
      <c r="B205" s="51" t="s">
        <v>523</v>
      </c>
      <c r="C205" s="51" t="s">
        <v>1100</v>
      </c>
      <c r="D205" s="51" t="s">
        <v>366</v>
      </c>
      <c r="E205" s="51" t="b">
        <v>0</v>
      </c>
      <c r="F205" t="b">
        <v>0</v>
      </c>
      <c r="H205" s="646"/>
      <c r="M205" s="646"/>
      <c r="R205" s="646"/>
    </row>
    <row r="206">
      <c r="A206" s="51" t="s">
        <v>1101</v>
      </c>
      <c r="B206" s="51" t="s">
        <v>399</v>
      </c>
      <c r="C206" s="51" t="s">
        <v>1102</v>
      </c>
      <c r="D206" s="51" t="s">
        <v>366</v>
      </c>
      <c r="E206" t="b">
        <v>0</v>
      </c>
      <c r="F206" t="b">
        <v>0</v>
      </c>
      <c r="H206" s="646"/>
      <c r="M206" s="646"/>
      <c r="R206" s="646"/>
    </row>
    <row r="207">
      <c r="A207" s="51" t="s">
        <v>1103</v>
      </c>
      <c r="B207" s="51" t="s">
        <v>1104</v>
      </c>
      <c r="C207" s="51" t="s">
        <v>1105</v>
      </c>
      <c r="D207" s="51" t="s">
        <v>366</v>
      </c>
      <c r="E207" s="51" t="b">
        <v>0</v>
      </c>
      <c r="F207" t="b">
        <v>0</v>
      </c>
      <c r="H207" s="646"/>
      <c r="M207" s="646"/>
      <c r="R207" s="646"/>
    </row>
    <row r="208">
      <c r="A208" s="51" t="s">
        <v>1106</v>
      </c>
      <c r="B208" s="51" t="s">
        <v>1107</v>
      </c>
      <c r="C208" s="51" t="s">
        <v>1108</v>
      </c>
      <c r="D208" s="51" t="s">
        <v>366</v>
      </c>
      <c r="E208" s="51" t="b">
        <v>0</v>
      </c>
      <c r="F208" t="b">
        <v>0</v>
      </c>
      <c r="H208" s="646"/>
      <c r="M208" s="646"/>
      <c r="R208" s="646"/>
    </row>
    <row r="209">
      <c r="A209" s="51" t="s">
        <v>1106</v>
      </c>
      <c r="B209" s="51" t="s">
        <v>1107</v>
      </c>
      <c r="C209" s="51" t="s">
        <v>1109</v>
      </c>
      <c r="D209" s="51" t="s">
        <v>366</v>
      </c>
      <c r="E209" s="51" t="b">
        <v>0</v>
      </c>
      <c r="F209" t="b">
        <v>0</v>
      </c>
      <c r="H209" s="646"/>
      <c r="M209" s="646"/>
      <c r="R209" s="646"/>
    </row>
    <row r="210">
      <c r="A210" s="51" t="s">
        <v>1106</v>
      </c>
      <c r="B210" s="51" t="s">
        <v>1107</v>
      </c>
      <c r="C210" s="51" t="s">
        <v>1110</v>
      </c>
      <c r="D210" s="51" t="s">
        <v>366</v>
      </c>
      <c r="E210" s="51" t="b">
        <v>0</v>
      </c>
      <c r="F210" t="b">
        <v>0</v>
      </c>
      <c r="H210" s="646"/>
      <c r="M210" s="646"/>
      <c r="R210" s="646"/>
    </row>
    <row r="211">
      <c r="A211" s="51" t="s">
        <v>1106</v>
      </c>
      <c r="B211" s="51" t="s">
        <v>1107</v>
      </c>
      <c r="C211" s="51" t="s">
        <v>1111</v>
      </c>
      <c r="D211" s="51" t="s">
        <v>366</v>
      </c>
      <c r="E211" s="51" t="b">
        <v>0</v>
      </c>
      <c r="F211" t="b">
        <v>0</v>
      </c>
      <c r="H211" s="646"/>
      <c r="M211" s="646"/>
      <c r="R211" s="646"/>
    </row>
    <row r="212">
      <c r="A212" s="51" t="s">
        <v>1106</v>
      </c>
      <c r="B212" s="51" t="s">
        <v>1107</v>
      </c>
      <c r="C212" s="51" t="s">
        <v>1112</v>
      </c>
      <c r="D212" s="51" t="s">
        <v>366</v>
      </c>
      <c r="E212" s="51" t="b">
        <v>0</v>
      </c>
      <c r="F212" t="b">
        <v>0</v>
      </c>
      <c r="H212" s="646"/>
      <c r="M212" s="646"/>
      <c r="R212" s="646"/>
    </row>
    <row r="213">
      <c r="A213" s="51" t="s">
        <v>1106</v>
      </c>
      <c r="B213" s="51" t="s">
        <v>1107</v>
      </c>
      <c r="C213" s="51" t="s">
        <v>1113</v>
      </c>
      <c r="D213" s="51" t="s">
        <v>366</v>
      </c>
      <c r="E213" s="51" t="b">
        <v>0</v>
      </c>
      <c r="F213" t="b">
        <v>0</v>
      </c>
      <c r="H213" s="646"/>
      <c r="M213" s="646"/>
      <c r="R213" s="646"/>
    </row>
    <row r="214">
      <c r="A214" s="51" t="s">
        <v>1106</v>
      </c>
      <c r="B214" s="51" t="s">
        <v>1107</v>
      </c>
      <c r="C214" s="51" t="s">
        <v>1114</v>
      </c>
      <c r="D214" s="51" t="s">
        <v>366</v>
      </c>
      <c r="E214" s="51" t="b">
        <v>0</v>
      </c>
      <c r="F214" t="b">
        <v>0</v>
      </c>
      <c r="H214" s="646"/>
      <c r="M214" s="646"/>
      <c r="R214" s="646"/>
    </row>
    <row r="215">
      <c r="A215" s="51" t="s">
        <v>1115</v>
      </c>
      <c r="B215" s="51" t="s">
        <v>1116</v>
      </c>
      <c r="C215" s="51" t="s">
        <v>1117</v>
      </c>
      <c r="D215" s="51" t="s">
        <v>366</v>
      </c>
      <c r="E215" s="51" t="b">
        <v>0</v>
      </c>
      <c r="F215" t="b">
        <v>0</v>
      </c>
      <c r="H215" s="646"/>
      <c r="M215" s="646"/>
      <c r="R215" s="646"/>
    </row>
    <row r="216">
      <c r="A216" s="51" t="s">
        <v>1118</v>
      </c>
      <c r="B216" s="51" t="s">
        <v>631</v>
      </c>
      <c r="C216" s="51" t="s">
        <v>1119</v>
      </c>
      <c r="D216" s="51" t="s">
        <v>370</v>
      </c>
      <c r="E216" s="51" t="b">
        <v>1</v>
      </c>
      <c r="F216" s="51" t="b">
        <v>1</v>
      </c>
      <c r="H216" s="646"/>
      <c r="M216" s="646"/>
      <c r="R216" s="646"/>
    </row>
    <row r="217">
      <c r="A217" s="51" t="s">
        <v>1120</v>
      </c>
      <c r="B217" s="51" t="s">
        <v>1121</v>
      </c>
      <c r="C217" s="51" t="s">
        <v>1122</v>
      </c>
      <c r="D217" s="51" t="s">
        <v>370</v>
      </c>
      <c r="E217" s="51" t="b">
        <v>0</v>
      </c>
      <c r="F217" t="b">
        <v>0</v>
      </c>
      <c r="H217" s="646"/>
      <c r="M217" s="646"/>
      <c r="R217" s="646"/>
    </row>
    <row r="218">
      <c r="A218" s="51" t="s">
        <v>1123</v>
      </c>
      <c r="B218" s="51" t="s">
        <v>417</v>
      </c>
      <c r="C218" s="51" t="s">
        <v>1124</v>
      </c>
      <c r="D218" s="51" t="s">
        <v>366</v>
      </c>
      <c r="E218" t="b">
        <v>0</v>
      </c>
      <c r="F218" t="b">
        <v>0</v>
      </c>
      <c r="G218" s="51" t="s">
        <v>1125</v>
      </c>
      <c r="H218" s="646"/>
      <c r="M218" s="646"/>
      <c r="R218" s="646"/>
    </row>
    <row r="219">
      <c r="A219" s="51" t="s">
        <v>1126</v>
      </c>
      <c r="B219" s="51" t="s">
        <v>1127</v>
      </c>
      <c r="C219" s="51" t="s">
        <v>1128</v>
      </c>
      <c r="D219" s="51" t="s">
        <v>366</v>
      </c>
      <c r="E219" s="51" t="b">
        <v>0</v>
      </c>
      <c r="F219" t="b">
        <v>0</v>
      </c>
      <c r="G219" s="51" t="s">
        <v>642</v>
      </c>
      <c r="H219" s="646"/>
      <c r="M219" s="646"/>
      <c r="R219" s="646"/>
    </row>
    <row r="220">
      <c r="A220" s="51" t="s">
        <v>1129</v>
      </c>
      <c r="B220" s="51" t="s">
        <v>1130</v>
      </c>
      <c r="C220" s="51" t="s">
        <v>1131</v>
      </c>
      <c r="D220" s="51" t="s">
        <v>366</v>
      </c>
      <c r="E220" s="51" t="b">
        <v>0</v>
      </c>
      <c r="F220" t="b">
        <v>0</v>
      </c>
      <c r="H220" s="646"/>
      <c r="M220" s="646"/>
      <c r="R220" s="646"/>
    </row>
    <row r="221">
      <c r="A221" s="51" t="s">
        <v>1132</v>
      </c>
      <c r="C221" s="51" t="s">
        <v>1133</v>
      </c>
      <c r="D221" s="51" t="s">
        <v>366</v>
      </c>
      <c r="E221" s="51" t="b">
        <v>0</v>
      </c>
      <c r="F221" t="b">
        <v>0</v>
      </c>
      <c r="H221" s="646"/>
      <c r="M221" s="646"/>
      <c r="R221" s="646"/>
    </row>
    <row r="222">
      <c r="A222" s="51" t="s">
        <v>1134</v>
      </c>
      <c r="B222" s="51" t="s">
        <v>718</v>
      </c>
      <c r="C222" s="51" t="s">
        <v>1135</v>
      </c>
      <c r="D222" s="51" t="s">
        <v>370</v>
      </c>
      <c r="E222" s="51" t="b">
        <v>0</v>
      </c>
      <c r="F222" t="b">
        <v>0</v>
      </c>
      <c r="H222" s="646"/>
      <c r="M222" s="646"/>
      <c r="R222" s="646"/>
    </row>
    <row r="223">
      <c r="A223" s="51" t="s">
        <v>1134</v>
      </c>
      <c r="B223" s="51" t="s">
        <v>718</v>
      </c>
      <c r="C223" s="51" t="s">
        <v>1136</v>
      </c>
      <c r="D223" s="51" t="s">
        <v>366</v>
      </c>
      <c r="E223" s="51" t="b">
        <v>0</v>
      </c>
      <c r="F223" t="b">
        <v>0</v>
      </c>
      <c r="H223" s="646"/>
      <c r="M223" s="646"/>
      <c r="R223" s="646"/>
    </row>
    <row r="224">
      <c r="A224" s="51" t="s">
        <v>1137</v>
      </c>
      <c r="B224" s="51" t="s">
        <v>718</v>
      </c>
      <c r="C224" s="51" t="s">
        <v>1138</v>
      </c>
      <c r="D224" s="51" t="s">
        <v>366</v>
      </c>
      <c r="E224" s="51" t="b">
        <v>0</v>
      </c>
      <c r="F224" t="b">
        <v>0</v>
      </c>
      <c r="H224" s="646"/>
      <c r="M224" s="646"/>
      <c r="R224" s="646"/>
    </row>
    <row r="225">
      <c r="A225" s="51" t="s">
        <v>1137</v>
      </c>
      <c r="B225" s="51" t="s">
        <v>718</v>
      </c>
      <c r="C225" s="51" t="s">
        <v>1139</v>
      </c>
      <c r="D225" s="51" t="s">
        <v>370</v>
      </c>
      <c r="E225" s="51" t="b">
        <v>0</v>
      </c>
      <c r="F225" t="b">
        <v>0</v>
      </c>
      <c r="H225" s="646"/>
      <c r="M225" s="646"/>
      <c r="R225" s="646"/>
    </row>
    <row r="226">
      <c r="A226" s="51" t="s">
        <v>1137</v>
      </c>
      <c r="B226" s="51" t="s">
        <v>718</v>
      </c>
      <c r="C226" s="51" t="s">
        <v>1140</v>
      </c>
      <c r="D226" s="51" t="s">
        <v>370</v>
      </c>
      <c r="E226" s="51" t="b">
        <v>0</v>
      </c>
      <c r="F226" t="b">
        <v>0</v>
      </c>
      <c r="H226" s="646"/>
      <c r="M226" s="646"/>
      <c r="R226" s="646"/>
    </row>
    <row r="227">
      <c r="A227" s="51" t="s">
        <v>1137</v>
      </c>
      <c r="B227" s="51" t="s">
        <v>1141</v>
      </c>
      <c r="C227" s="51" t="s">
        <v>1142</v>
      </c>
      <c r="D227" s="51" t="s">
        <v>366</v>
      </c>
      <c r="E227" s="51" t="b">
        <v>0</v>
      </c>
      <c r="F227" t="b">
        <v>0</v>
      </c>
      <c r="H227" s="646"/>
      <c r="M227" s="646"/>
      <c r="R227" s="646"/>
    </row>
    <row r="228">
      <c r="A228" s="51" t="s">
        <v>1143</v>
      </c>
      <c r="B228" s="51" t="s">
        <v>778</v>
      </c>
      <c r="C228" s="51" t="s">
        <v>1144</v>
      </c>
      <c r="D228" s="51" t="s">
        <v>366</v>
      </c>
      <c r="E228" s="51" t="b">
        <v>0</v>
      </c>
      <c r="F228" t="b">
        <v>0</v>
      </c>
      <c r="H228" s="646"/>
      <c r="M228" s="646"/>
      <c r="R228" s="646"/>
    </row>
    <row r="229">
      <c r="A229" s="51" t="s">
        <v>1143</v>
      </c>
      <c r="B229" s="51" t="s">
        <v>778</v>
      </c>
      <c r="C229" s="51" t="s">
        <v>1145</v>
      </c>
      <c r="D229" s="51" t="s">
        <v>370</v>
      </c>
      <c r="E229" s="51" t="b">
        <v>0</v>
      </c>
      <c r="F229" t="b">
        <v>0</v>
      </c>
      <c r="H229" s="646"/>
      <c r="M229" s="646"/>
      <c r="R229" s="646"/>
    </row>
    <row r="230">
      <c r="A230" s="51" t="s">
        <v>1146</v>
      </c>
      <c r="B230" s="51" t="s">
        <v>778</v>
      </c>
      <c r="C230" s="51" t="s">
        <v>1147</v>
      </c>
      <c r="D230" s="51" t="s">
        <v>370</v>
      </c>
      <c r="E230" s="51" t="b">
        <v>0</v>
      </c>
      <c r="F230" t="b">
        <v>0</v>
      </c>
      <c r="H230" s="646"/>
      <c r="M230" s="646"/>
      <c r="R230" s="646"/>
    </row>
    <row r="231">
      <c r="A231" s="51" t="s">
        <v>1148</v>
      </c>
      <c r="B231" s="51" t="s">
        <v>1149</v>
      </c>
      <c r="C231" s="51" t="s">
        <v>1150</v>
      </c>
      <c r="D231" s="51" t="s">
        <v>366</v>
      </c>
      <c r="E231" s="51" t="b">
        <v>0</v>
      </c>
      <c r="F231" t="b">
        <v>0</v>
      </c>
      <c r="G231" s="51" t="s">
        <v>642</v>
      </c>
      <c r="H231" s="646"/>
      <c r="M231" s="646"/>
      <c r="R231" s="646"/>
    </row>
    <row r="232">
      <c r="A232" s="51" t="s">
        <v>1151</v>
      </c>
      <c r="B232" s="51" t="s">
        <v>1152</v>
      </c>
      <c r="C232" s="51" t="s">
        <v>1153</v>
      </c>
      <c r="D232" s="51" t="s">
        <v>366</v>
      </c>
      <c r="E232" t="b">
        <v>0</v>
      </c>
      <c r="F232" t="b">
        <v>0</v>
      </c>
      <c r="H232" s="646"/>
      <c r="M232" s="646"/>
      <c r="R232" s="646"/>
    </row>
    <row r="233">
      <c r="A233" s="51" t="s">
        <v>1151</v>
      </c>
      <c r="B233" s="51" t="s">
        <v>1152</v>
      </c>
      <c r="C233" s="51" t="s">
        <v>1154</v>
      </c>
      <c r="D233" s="51" t="s">
        <v>370</v>
      </c>
      <c r="E233" s="51" t="b">
        <v>0</v>
      </c>
      <c r="F233" t="b">
        <v>0</v>
      </c>
      <c r="H233" s="646"/>
      <c r="M233" s="646"/>
      <c r="R233" s="646"/>
    </row>
    <row r="234">
      <c r="A234" s="51" t="s">
        <v>1155</v>
      </c>
      <c r="B234" s="51" t="s">
        <v>1156</v>
      </c>
      <c r="C234" s="51" t="s">
        <v>1157</v>
      </c>
      <c r="D234" s="51" t="s">
        <v>366</v>
      </c>
      <c r="E234" s="51" t="b">
        <v>0</v>
      </c>
      <c r="F234" t="b">
        <v>0</v>
      </c>
      <c r="H234" s="646"/>
      <c r="M234" s="646"/>
      <c r="R234" s="646"/>
    </row>
    <row r="235">
      <c r="A235" s="51" t="s">
        <v>1158</v>
      </c>
      <c r="B235" s="51" t="s">
        <v>1159</v>
      </c>
      <c r="C235" s="51" t="s">
        <v>1160</v>
      </c>
      <c r="D235" s="51" t="s">
        <v>366</v>
      </c>
      <c r="E235" s="51" t="b">
        <v>0</v>
      </c>
      <c r="F235" t="b">
        <v>0</v>
      </c>
      <c r="H235" s="646"/>
      <c r="M235" s="646"/>
      <c r="R235" s="646"/>
    </row>
    <row r="236">
      <c r="A236" s="51" t="s">
        <v>1161</v>
      </c>
      <c r="C236" s="51" t="s">
        <v>1162</v>
      </c>
      <c r="D236" s="51" t="s">
        <v>366</v>
      </c>
      <c r="E236" s="51" t="b">
        <v>0</v>
      </c>
      <c r="F236" t="b">
        <v>0</v>
      </c>
      <c r="G236" s="51" t="s">
        <v>1163</v>
      </c>
      <c r="H236" s="646"/>
      <c r="M236" s="646"/>
      <c r="R236" s="646"/>
    </row>
    <row r="237">
      <c r="A237" s="51" t="s">
        <v>1164</v>
      </c>
      <c r="B237" s="51" t="s">
        <v>1165</v>
      </c>
      <c r="C237" s="51" t="s">
        <v>1166</v>
      </c>
      <c r="D237" s="51" t="s">
        <v>366</v>
      </c>
      <c r="E237" s="51" t="b">
        <v>0</v>
      </c>
      <c r="F237" t="b">
        <v>0</v>
      </c>
      <c r="H237" s="646"/>
      <c r="M237" s="646"/>
      <c r="R237" s="646"/>
    </row>
    <row r="238">
      <c r="A238" s="51" t="s">
        <v>1164</v>
      </c>
      <c r="B238" s="51" t="s">
        <v>1165</v>
      </c>
      <c r="C238" s="51" t="s">
        <v>1167</v>
      </c>
      <c r="D238" s="51" t="s">
        <v>366</v>
      </c>
      <c r="E238" s="51" t="b">
        <v>0</v>
      </c>
      <c r="F238" t="b">
        <v>0</v>
      </c>
      <c r="H238" s="646"/>
      <c r="M238" s="646"/>
      <c r="R238" s="646"/>
    </row>
    <row r="239">
      <c r="A239" s="51" t="s">
        <v>1164</v>
      </c>
      <c r="B239" s="51" t="s">
        <v>1165</v>
      </c>
      <c r="C239" s="51" t="s">
        <v>1168</v>
      </c>
      <c r="D239" s="51" t="s">
        <v>366</v>
      </c>
      <c r="E239" t="b">
        <v>0</v>
      </c>
      <c r="F239" t="b">
        <v>0</v>
      </c>
      <c r="H239" s="646"/>
      <c r="M239" s="646"/>
      <c r="R239" s="646"/>
    </row>
    <row r="240">
      <c r="A240" s="51" t="s">
        <v>1164</v>
      </c>
      <c r="B240" s="51" t="s">
        <v>1165</v>
      </c>
      <c r="C240" s="51" t="s">
        <v>1169</v>
      </c>
      <c r="D240" s="51" t="s">
        <v>370</v>
      </c>
      <c r="E240" s="51" t="b">
        <v>0</v>
      </c>
      <c r="F240" t="b">
        <v>0</v>
      </c>
      <c r="H240" s="646"/>
      <c r="M240" s="646"/>
      <c r="R240" s="646"/>
    </row>
    <row r="241">
      <c r="A241" s="51" t="s">
        <v>1164</v>
      </c>
      <c r="B241" s="51" t="s">
        <v>1165</v>
      </c>
      <c r="C241" s="51" t="s">
        <v>1170</v>
      </c>
      <c r="D241" s="51" t="s">
        <v>366</v>
      </c>
      <c r="E241" s="51" t="b">
        <v>0</v>
      </c>
      <c r="F241" t="b">
        <v>0</v>
      </c>
      <c r="H241" s="646"/>
      <c r="M241" s="646"/>
      <c r="R241" s="646"/>
    </row>
    <row r="242">
      <c r="A242" s="51" t="s">
        <v>1171</v>
      </c>
      <c r="B242" s="51" t="s">
        <v>410</v>
      </c>
      <c r="C242" s="51" t="s">
        <v>1172</v>
      </c>
      <c r="D242" s="51" t="s">
        <v>366</v>
      </c>
      <c r="E242" s="51" t="b">
        <v>0</v>
      </c>
      <c r="F242" t="b">
        <v>0</v>
      </c>
      <c r="H242" s="646"/>
      <c r="M242" s="646"/>
      <c r="R242" s="646"/>
    </row>
    <row r="243">
      <c r="A243" s="51" t="s">
        <v>1173</v>
      </c>
      <c r="B243" s="51" t="s">
        <v>1174</v>
      </c>
      <c r="C243" s="51" t="s">
        <v>1175</v>
      </c>
      <c r="D243" s="51" t="s">
        <v>370</v>
      </c>
      <c r="E243" s="51" t="b">
        <v>0</v>
      </c>
      <c r="F243" t="b">
        <v>0</v>
      </c>
      <c r="H243" s="646"/>
      <c r="M243" s="646"/>
      <c r="R243" s="646"/>
    </row>
    <row r="244">
      <c r="A244" s="51" t="s">
        <v>1176</v>
      </c>
      <c r="B244" s="51" t="s">
        <v>1177</v>
      </c>
      <c r="C244" s="51" t="s">
        <v>1178</v>
      </c>
      <c r="D244" s="51" t="s">
        <v>370</v>
      </c>
      <c r="E244" s="51" t="b">
        <v>0</v>
      </c>
      <c r="F244" t="b">
        <v>0</v>
      </c>
      <c r="G244" s="51" t="s">
        <v>506</v>
      </c>
      <c r="H244" s="646"/>
      <c r="M244" s="646"/>
      <c r="R244" s="646"/>
    </row>
    <row r="245">
      <c r="A245" s="51" t="s">
        <v>1176</v>
      </c>
      <c r="B245" s="51" t="s">
        <v>1177</v>
      </c>
      <c r="C245" s="51" t="s">
        <v>1179</v>
      </c>
      <c r="D245" s="51" t="s">
        <v>370</v>
      </c>
      <c r="E245" s="51" t="b">
        <v>0</v>
      </c>
      <c r="F245" t="b">
        <v>0</v>
      </c>
      <c r="G245" s="51" t="s">
        <v>506</v>
      </c>
      <c r="H245" s="646"/>
      <c r="M245" s="646"/>
      <c r="R245" s="646"/>
    </row>
    <row r="246">
      <c r="A246" s="51" t="s">
        <v>1180</v>
      </c>
      <c r="B246" s="51" t="s">
        <v>1181</v>
      </c>
      <c r="C246" s="51" t="s">
        <v>1182</v>
      </c>
      <c r="D246" s="51" t="s">
        <v>366</v>
      </c>
      <c r="E246" s="51" t="b">
        <v>0</v>
      </c>
      <c r="F246" t="b">
        <v>0</v>
      </c>
      <c r="H246" s="646"/>
      <c r="M246" s="646"/>
      <c r="R246" s="646"/>
    </row>
    <row r="247">
      <c r="A247" s="51" t="s">
        <v>1183</v>
      </c>
      <c r="B247" s="51" t="s">
        <v>684</v>
      </c>
      <c r="C247" s="51" t="s">
        <v>1184</v>
      </c>
      <c r="D247" s="51" t="s">
        <v>366</v>
      </c>
      <c r="E247" t="b">
        <v>0</v>
      </c>
      <c r="F247" t="b">
        <v>0</v>
      </c>
      <c r="H247" s="646"/>
      <c r="M247" s="646"/>
      <c r="R247" s="646"/>
    </row>
    <row r="248">
      <c r="A248" s="51" t="s">
        <v>1185</v>
      </c>
      <c r="B248" s="51" t="s">
        <v>1186</v>
      </c>
      <c r="C248" s="51" t="s">
        <v>1187</v>
      </c>
      <c r="D248" s="51" t="s">
        <v>366</v>
      </c>
      <c r="E248" s="51" t="b">
        <v>0</v>
      </c>
      <c r="F248" t="b">
        <v>0</v>
      </c>
      <c r="H248" s="646"/>
      <c r="M248" s="646"/>
      <c r="R248" s="646"/>
    </row>
    <row r="249">
      <c r="A249" s="51" t="s">
        <v>1185</v>
      </c>
      <c r="B249" s="51" t="s">
        <v>1186</v>
      </c>
      <c r="C249" s="51" t="s">
        <v>1188</v>
      </c>
      <c r="D249" s="51" t="s">
        <v>366</v>
      </c>
      <c r="E249" s="51" t="b">
        <v>0</v>
      </c>
      <c r="F249" t="b">
        <v>0</v>
      </c>
      <c r="H249" s="646"/>
      <c r="M249" s="646"/>
      <c r="R249" s="646"/>
    </row>
    <row r="250">
      <c r="A250" s="51" t="s">
        <v>1189</v>
      </c>
      <c r="C250" s="51" t="s">
        <v>1190</v>
      </c>
      <c r="D250" s="51" t="s">
        <v>366</v>
      </c>
      <c r="E250" s="51" t="b">
        <v>0</v>
      </c>
      <c r="F250" t="b">
        <v>0</v>
      </c>
      <c r="H250" s="646"/>
      <c r="M250" s="646"/>
      <c r="R250" s="646"/>
    </row>
    <row r="251">
      <c r="A251" s="51" t="s">
        <v>1191</v>
      </c>
      <c r="C251" s="51" t="s">
        <v>1192</v>
      </c>
      <c r="D251" s="51" t="s">
        <v>370</v>
      </c>
      <c r="E251" s="51" t="b">
        <v>0</v>
      </c>
      <c r="F251" t="b">
        <v>0</v>
      </c>
      <c r="G251" s="51" t="s">
        <v>506</v>
      </c>
      <c r="H251" s="646"/>
      <c r="M251" s="646"/>
      <c r="R251" s="646"/>
    </row>
    <row r="252">
      <c r="A252" s="51" t="s">
        <v>1193</v>
      </c>
      <c r="B252" s="51" t="s">
        <v>1194</v>
      </c>
      <c r="C252" s="51" t="s">
        <v>1195</v>
      </c>
      <c r="D252" s="51" t="s">
        <v>366</v>
      </c>
      <c r="E252" s="51" t="b">
        <v>0</v>
      </c>
      <c r="F252" t="b">
        <v>0</v>
      </c>
      <c r="H252" s="646"/>
      <c r="M252" s="646"/>
      <c r="R252" s="646"/>
    </row>
    <row r="253">
      <c r="A253" s="51" t="s">
        <v>1196</v>
      </c>
      <c r="B253" s="51" t="s">
        <v>1197</v>
      </c>
      <c r="C253" s="51" t="s">
        <v>1198</v>
      </c>
      <c r="D253" s="51" t="s">
        <v>366</v>
      </c>
      <c r="E253" s="51" t="b">
        <v>0</v>
      </c>
      <c r="F253" t="b">
        <v>0</v>
      </c>
      <c r="H253" s="646"/>
      <c r="M253" s="646"/>
      <c r="R253" s="646"/>
    </row>
    <row r="254">
      <c r="A254" s="51" t="s">
        <v>1199</v>
      </c>
      <c r="B254" s="51" t="s">
        <v>1200</v>
      </c>
      <c r="C254" s="51" t="s">
        <v>1201</v>
      </c>
      <c r="D254" s="51" t="s">
        <v>1202</v>
      </c>
      <c r="E254" s="51" t="b">
        <v>0</v>
      </c>
      <c r="F254" t="b">
        <v>0</v>
      </c>
      <c r="H254" s="646"/>
      <c r="M254" s="646"/>
      <c r="R254" s="646"/>
    </row>
    <row r="255">
      <c r="A255" s="51" t="s">
        <v>1203</v>
      </c>
      <c r="B255" s="51" t="s">
        <v>1121</v>
      </c>
      <c r="C255" s="51" t="s">
        <v>1204</v>
      </c>
      <c r="D255" s="51" t="s">
        <v>370</v>
      </c>
      <c r="E255" s="51" t="b">
        <v>0</v>
      </c>
      <c r="F255" t="b">
        <v>0</v>
      </c>
      <c r="H255" s="646"/>
      <c r="M255" s="646"/>
      <c r="R255" s="646"/>
    </row>
    <row r="256">
      <c r="A256" s="51" t="s">
        <v>1205</v>
      </c>
      <c r="B256" s="51" t="s">
        <v>678</v>
      </c>
      <c r="C256" s="51" t="s">
        <v>1206</v>
      </c>
      <c r="D256" s="51" t="s">
        <v>366</v>
      </c>
      <c r="E256" s="51" t="b">
        <v>0</v>
      </c>
      <c r="F256" t="b">
        <v>0</v>
      </c>
      <c r="H256" s="646"/>
      <c r="M256" s="646"/>
      <c r="R256" s="646"/>
    </row>
    <row r="257">
      <c r="A257" s="51" t="s">
        <v>1207</v>
      </c>
      <c r="C257" s="51" t="s">
        <v>1208</v>
      </c>
      <c r="D257" s="51" t="s">
        <v>370</v>
      </c>
      <c r="E257" s="51" t="b">
        <v>0</v>
      </c>
      <c r="F257" t="b">
        <v>0</v>
      </c>
      <c r="G257" s="51" t="s">
        <v>506</v>
      </c>
      <c r="H257" s="646"/>
      <c r="M257" s="646"/>
      <c r="R257" s="646"/>
    </row>
    <row r="258">
      <c r="A258" s="51" t="s">
        <v>1209</v>
      </c>
      <c r="B258" s="51" t="s">
        <v>920</v>
      </c>
      <c r="C258" s="51" t="s">
        <v>1210</v>
      </c>
      <c r="D258" s="51" t="s">
        <v>366</v>
      </c>
      <c r="E258" s="51" t="b">
        <v>0</v>
      </c>
      <c r="F258" t="b">
        <v>0</v>
      </c>
      <c r="H258" s="646"/>
      <c r="M258" s="646"/>
      <c r="R258" s="646"/>
    </row>
    <row r="259">
      <c r="A259" s="51" t="s">
        <v>1211</v>
      </c>
      <c r="B259" s="51" t="s">
        <v>1212</v>
      </c>
      <c r="C259" s="51" t="s">
        <v>1213</v>
      </c>
      <c r="D259" s="51" t="s">
        <v>366</v>
      </c>
      <c r="E259" s="51" t="b">
        <v>0</v>
      </c>
      <c r="F259" t="b">
        <v>0</v>
      </c>
      <c r="H259" s="646"/>
      <c r="M259" s="646"/>
      <c r="R259" s="646"/>
    </row>
    <row r="260">
      <c r="A260" s="51" t="s">
        <v>1214</v>
      </c>
      <c r="B260" s="51" t="s">
        <v>1159</v>
      </c>
      <c r="C260" s="51" t="s">
        <v>1215</v>
      </c>
      <c r="D260" s="51" t="s">
        <v>366</v>
      </c>
      <c r="E260" s="51" t="b">
        <v>0</v>
      </c>
      <c r="F260" t="b">
        <v>0</v>
      </c>
      <c r="H260" s="646"/>
      <c r="M260" s="646"/>
      <c r="R260" s="646"/>
    </row>
    <row r="261">
      <c r="A261" s="51" t="s">
        <v>1216</v>
      </c>
      <c r="B261" s="51"/>
      <c r="C261" s="51" t="s">
        <v>1217</v>
      </c>
      <c r="D261" s="51" t="s">
        <v>366</v>
      </c>
      <c r="E261" s="51" t="b">
        <v>0</v>
      </c>
      <c r="F261" t="b">
        <v>0</v>
      </c>
      <c r="H261" s="646"/>
      <c r="M261" s="646"/>
      <c r="R261" s="646"/>
    </row>
    <row r="262">
      <c r="A262" s="51" t="s">
        <v>1216</v>
      </c>
      <c r="C262" s="51" t="s">
        <v>1218</v>
      </c>
      <c r="D262" s="51" t="s">
        <v>366</v>
      </c>
      <c r="E262" s="51" t="b">
        <v>0</v>
      </c>
      <c r="F262" t="b">
        <v>0</v>
      </c>
      <c r="H262" s="646"/>
      <c r="M262" s="646"/>
      <c r="R262" s="646"/>
    </row>
    <row r="263">
      <c r="A263" s="51" t="s">
        <v>1216</v>
      </c>
      <c r="C263" s="51" t="s">
        <v>1219</v>
      </c>
      <c r="D263" s="51" t="s">
        <v>366</v>
      </c>
      <c r="E263" s="51" t="b">
        <v>0</v>
      </c>
      <c r="F263" t="b">
        <v>0</v>
      </c>
      <c r="H263" s="646"/>
      <c r="M263" s="646"/>
      <c r="R263" s="646"/>
    </row>
    <row r="264">
      <c r="A264" s="51" t="s">
        <v>1220</v>
      </c>
      <c r="B264" s="51" t="s">
        <v>1221</v>
      </c>
      <c r="C264" s="51" t="s">
        <v>1222</v>
      </c>
      <c r="D264" s="51" t="s">
        <v>366</v>
      </c>
      <c r="E264" t="b">
        <v>0</v>
      </c>
      <c r="F264" t="b">
        <v>0</v>
      </c>
      <c r="H264" s="646"/>
      <c r="M264" s="646"/>
      <c r="R264" s="646"/>
    </row>
    <row r="265">
      <c r="A265" s="51" t="s">
        <v>445</v>
      </c>
      <c r="B265" s="51" t="s">
        <v>446</v>
      </c>
      <c r="C265" s="51" t="s">
        <v>1223</v>
      </c>
      <c r="D265" s="51" t="s">
        <v>366</v>
      </c>
      <c r="E265" s="51" t="b">
        <v>0</v>
      </c>
      <c r="F265" t="b">
        <v>0</v>
      </c>
      <c r="H265" s="646"/>
      <c r="M265" s="646"/>
      <c r="R265" s="646"/>
    </row>
    <row r="266">
      <c r="A266" s="51" t="s">
        <v>1224</v>
      </c>
      <c r="B266" s="51" t="s">
        <v>1225</v>
      </c>
      <c r="C266" s="51" t="s">
        <v>1226</v>
      </c>
      <c r="D266" s="51" t="s">
        <v>366</v>
      </c>
      <c r="E266" s="51" t="b">
        <v>0</v>
      </c>
      <c r="F266" t="b">
        <v>0</v>
      </c>
      <c r="H266" s="646"/>
      <c r="M266" s="646"/>
      <c r="R266" s="646"/>
    </row>
    <row r="267">
      <c r="A267" s="51" t="s">
        <v>1227</v>
      </c>
      <c r="B267" s="51" t="s">
        <v>1228</v>
      </c>
      <c r="C267" s="51" t="s">
        <v>1229</v>
      </c>
      <c r="D267" s="51" t="s">
        <v>366</v>
      </c>
      <c r="E267" s="51" t="b">
        <v>0</v>
      </c>
      <c r="F267" t="b">
        <v>0</v>
      </c>
      <c r="H267" s="646"/>
      <c r="M267" s="646"/>
      <c r="R267" s="646"/>
    </row>
    <row r="268">
      <c r="A268" s="51" t="s">
        <v>1230</v>
      </c>
      <c r="B268" s="51" t="s">
        <v>387</v>
      </c>
      <c r="C268" s="51" t="s">
        <v>1231</v>
      </c>
      <c r="D268" s="51" t="s">
        <v>366</v>
      </c>
      <c r="E268" t="b">
        <v>0</v>
      </c>
      <c r="F268" t="b">
        <v>0</v>
      </c>
      <c r="G268" s="51" t="s">
        <v>1232</v>
      </c>
      <c r="H268" s="646"/>
      <c r="M268" s="646"/>
      <c r="R268" s="646"/>
    </row>
    <row r="269">
      <c r="A269" s="51" t="s">
        <v>1233</v>
      </c>
      <c r="B269" s="51" t="s">
        <v>742</v>
      </c>
      <c r="C269" s="51" t="s">
        <v>1234</v>
      </c>
      <c r="D269" s="51" t="s">
        <v>366</v>
      </c>
      <c r="E269" s="51" t="b">
        <v>0</v>
      </c>
      <c r="F269" t="b">
        <v>0</v>
      </c>
      <c r="H269" s="646"/>
      <c r="M269" s="646"/>
      <c r="R269" s="646"/>
    </row>
    <row r="270">
      <c r="A270" s="51" t="s">
        <v>1235</v>
      </c>
      <c r="B270" s="51" t="s">
        <v>1236</v>
      </c>
      <c r="C270" s="51" t="s">
        <v>1237</v>
      </c>
      <c r="D270" s="51" t="s">
        <v>366</v>
      </c>
      <c r="E270" t="b">
        <v>0</v>
      </c>
      <c r="F270" t="b">
        <v>0</v>
      </c>
      <c r="G270" s="51" t="s">
        <v>1238</v>
      </c>
      <c r="H270" s="646"/>
      <c r="M270" s="646"/>
      <c r="R270" s="646"/>
    </row>
    <row r="271">
      <c r="A271" s="51" t="s">
        <v>1239</v>
      </c>
      <c r="B271" s="51" t="s">
        <v>785</v>
      </c>
      <c r="C271" s="51" t="s">
        <v>1240</v>
      </c>
      <c r="D271" s="51" t="s">
        <v>366</v>
      </c>
      <c r="E271" s="51" t="b">
        <v>0</v>
      </c>
      <c r="F271" t="b">
        <v>0</v>
      </c>
      <c r="H271" s="646"/>
      <c r="M271" s="646"/>
      <c r="R271" s="646"/>
    </row>
    <row r="272">
      <c r="A272" s="51" t="s">
        <v>1241</v>
      </c>
      <c r="B272" s="51" t="s">
        <v>785</v>
      </c>
      <c r="C272" s="51" t="s">
        <v>1242</v>
      </c>
      <c r="D272" s="51" t="s">
        <v>366</v>
      </c>
      <c r="E272" s="51" t="b">
        <v>0</v>
      </c>
      <c r="F272" t="b">
        <v>0</v>
      </c>
      <c r="H272" s="646"/>
      <c r="M272" s="646"/>
      <c r="R272" s="646"/>
    </row>
    <row r="273">
      <c r="A273" s="51" t="s">
        <v>1243</v>
      </c>
      <c r="B273" s="51" t="s">
        <v>1244</v>
      </c>
      <c r="C273" s="51" t="s">
        <v>1245</v>
      </c>
      <c r="D273" s="51" t="s">
        <v>366</v>
      </c>
      <c r="E273" s="51" t="b">
        <v>0</v>
      </c>
      <c r="F273" t="b">
        <v>0</v>
      </c>
      <c r="H273" s="646"/>
      <c r="M273" s="646"/>
      <c r="R273" s="646"/>
    </row>
    <row r="274">
      <c r="A274" s="51" t="s">
        <v>1246</v>
      </c>
      <c r="B274" s="51" t="s">
        <v>897</v>
      </c>
      <c r="C274" s="51" t="s">
        <v>1247</v>
      </c>
      <c r="D274" s="51" t="s">
        <v>366</v>
      </c>
      <c r="E274" s="51" t="b">
        <v>0</v>
      </c>
      <c r="F274" t="b">
        <v>0</v>
      </c>
      <c r="G274" s="51" t="s">
        <v>1163</v>
      </c>
      <c r="H274" s="646"/>
      <c r="M274" s="646"/>
      <c r="R274" s="646"/>
    </row>
    <row r="275">
      <c r="A275" s="51" t="s">
        <v>1248</v>
      </c>
      <c r="B275" s="51" t="s">
        <v>471</v>
      </c>
      <c r="C275" s="51" t="s">
        <v>1249</v>
      </c>
      <c r="D275" s="51" t="s">
        <v>366</v>
      </c>
      <c r="E275" s="51" t="b">
        <v>0</v>
      </c>
      <c r="F275" t="b">
        <v>0</v>
      </c>
      <c r="G275" s="51" t="s">
        <v>1250</v>
      </c>
      <c r="H275" s="646"/>
      <c r="M275" s="646"/>
      <c r="R275" s="646"/>
    </row>
    <row r="276">
      <c r="A276" s="51" t="s">
        <v>1251</v>
      </c>
      <c r="B276" s="51" t="s">
        <v>1252</v>
      </c>
      <c r="C276" s="51" t="s">
        <v>1253</v>
      </c>
      <c r="D276" s="51" t="s">
        <v>366</v>
      </c>
      <c r="E276" s="51" t="b">
        <v>0</v>
      </c>
      <c r="F276" t="b">
        <v>0</v>
      </c>
      <c r="G276" s="51" t="s">
        <v>1254</v>
      </c>
      <c r="H276" s="646"/>
      <c r="M276" s="646"/>
      <c r="R276" s="646"/>
    </row>
    <row r="277">
      <c r="A277" s="51" t="s">
        <v>1255</v>
      </c>
      <c r="B277" s="51" t="s">
        <v>1256</v>
      </c>
      <c r="C277" s="51" t="s">
        <v>1257</v>
      </c>
      <c r="D277" s="51" t="s">
        <v>366</v>
      </c>
      <c r="E277" s="51" t="b">
        <v>0</v>
      </c>
      <c r="F277" t="b">
        <v>0</v>
      </c>
      <c r="G277" s="51" t="s">
        <v>1258</v>
      </c>
      <c r="H277" s="646"/>
      <c r="M277" s="646"/>
      <c r="R277" s="646"/>
    </row>
    <row r="278">
      <c r="A278" s="51" t="s">
        <v>1259</v>
      </c>
      <c r="B278" s="51" t="s">
        <v>1260</v>
      </c>
      <c r="C278" s="51" t="s">
        <v>1261</v>
      </c>
      <c r="D278" s="51" t="s">
        <v>370</v>
      </c>
      <c r="E278" s="51" t="b">
        <v>0</v>
      </c>
      <c r="F278" t="b">
        <v>0</v>
      </c>
      <c r="H278" s="646"/>
      <c r="M278" s="646"/>
      <c r="R278" s="646"/>
    </row>
    <row r="279">
      <c r="A279" s="51" t="s">
        <v>1262</v>
      </c>
      <c r="B279" s="51" t="s">
        <v>1221</v>
      </c>
      <c r="C279" s="51" t="s">
        <v>1263</v>
      </c>
      <c r="D279" s="51" t="s">
        <v>366</v>
      </c>
      <c r="E279" t="b">
        <v>0</v>
      </c>
      <c r="F279" t="b">
        <v>0</v>
      </c>
      <c r="H279" s="646"/>
      <c r="M279" s="646"/>
      <c r="R279" s="646"/>
    </row>
    <row r="280">
      <c r="A280" s="51" t="s">
        <v>1264</v>
      </c>
      <c r="B280" s="51" t="s">
        <v>1159</v>
      </c>
      <c r="C280" s="51" t="s">
        <v>1265</v>
      </c>
      <c r="D280" s="51" t="s">
        <v>366</v>
      </c>
      <c r="E280" t="b">
        <v>0</v>
      </c>
      <c r="F280" t="b">
        <v>0</v>
      </c>
      <c r="H280" s="646"/>
      <c r="M280" s="646"/>
      <c r="R280" s="646"/>
    </row>
    <row r="281">
      <c r="A281" s="51" t="s">
        <v>1266</v>
      </c>
      <c r="B281" s="51" t="s">
        <v>1267</v>
      </c>
      <c r="C281" s="51" t="s">
        <v>1268</v>
      </c>
      <c r="D281" s="51" t="s">
        <v>366</v>
      </c>
      <c r="E281" s="51" t="b">
        <v>0</v>
      </c>
      <c r="F281" t="b">
        <v>0</v>
      </c>
      <c r="H281" s="646"/>
      <c r="M281" s="646"/>
      <c r="R281" s="646"/>
    </row>
    <row r="282">
      <c r="A282" s="51" t="s">
        <v>1269</v>
      </c>
      <c r="C282" s="51" t="s">
        <v>1270</v>
      </c>
      <c r="D282" s="51" t="s">
        <v>366</v>
      </c>
      <c r="E282" s="51" t="b">
        <v>0</v>
      </c>
      <c r="F282" t="b">
        <v>0</v>
      </c>
      <c r="H282" s="646"/>
      <c r="M282" s="646"/>
      <c r="R282" s="646"/>
    </row>
    <row r="283">
      <c r="A283" s="51" t="s">
        <v>1269</v>
      </c>
      <c r="C283" s="51" t="s">
        <v>1271</v>
      </c>
      <c r="D283" s="51" t="s">
        <v>366</v>
      </c>
      <c r="E283" s="51" t="b">
        <v>0</v>
      </c>
      <c r="F283" t="b">
        <v>0</v>
      </c>
      <c r="H283" s="646"/>
      <c r="M283" s="646"/>
      <c r="R283" s="646"/>
    </row>
    <row r="284">
      <c r="A284" s="51" t="s">
        <v>1269</v>
      </c>
      <c r="C284" s="51" t="s">
        <v>1272</v>
      </c>
      <c r="D284" s="51" t="s">
        <v>366</v>
      </c>
      <c r="E284" s="51" t="b">
        <v>0</v>
      </c>
      <c r="F284" t="b">
        <v>0</v>
      </c>
      <c r="H284" s="646"/>
      <c r="M284" s="646"/>
      <c r="R284" s="646"/>
    </row>
    <row r="285">
      <c r="A285" s="51" t="s">
        <v>1273</v>
      </c>
      <c r="B285" s="51" t="s">
        <v>1274</v>
      </c>
      <c r="C285" s="51" t="s">
        <v>1275</v>
      </c>
      <c r="D285" s="51" t="s">
        <v>366</v>
      </c>
      <c r="E285" s="51" t="b">
        <v>0</v>
      </c>
      <c r="F285" t="b">
        <v>0</v>
      </c>
      <c r="H285" s="646"/>
      <c r="M285" s="646"/>
      <c r="R285" s="646"/>
    </row>
    <row r="286">
      <c r="A286" s="51" t="s">
        <v>1276</v>
      </c>
      <c r="B286" s="51" t="s">
        <v>1277</v>
      </c>
      <c r="C286" s="51" t="s">
        <v>1278</v>
      </c>
      <c r="D286" s="51" t="s">
        <v>366</v>
      </c>
      <c r="E286" s="51" t="b">
        <v>0</v>
      </c>
      <c r="F286" t="b">
        <v>0</v>
      </c>
      <c r="H286" s="646"/>
      <c r="M286" s="646"/>
      <c r="R286" s="646"/>
    </row>
    <row r="287">
      <c r="A287" s="51" t="s">
        <v>1279</v>
      </c>
      <c r="B287" s="51" t="s">
        <v>1280</v>
      </c>
      <c r="C287" s="51" t="s">
        <v>1281</v>
      </c>
      <c r="D287" s="51" t="s">
        <v>366</v>
      </c>
      <c r="E287" s="51" t="b">
        <v>0</v>
      </c>
      <c r="F287" t="b">
        <v>0</v>
      </c>
      <c r="H287" s="646"/>
      <c r="M287" s="646"/>
      <c r="R287" s="646"/>
    </row>
    <row r="288">
      <c r="A288" s="51" t="s">
        <v>1282</v>
      </c>
      <c r="B288" s="51" t="s">
        <v>916</v>
      </c>
      <c r="C288" s="51" t="s">
        <v>1283</v>
      </c>
      <c r="D288" s="51" t="s">
        <v>366</v>
      </c>
      <c r="E288" s="51" t="b">
        <v>0</v>
      </c>
      <c r="F288" t="b">
        <v>0</v>
      </c>
      <c r="H288" s="646"/>
      <c r="M288" s="646"/>
      <c r="R288" s="646"/>
    </row>
    <row r="289">
      <c r="A289" s="51" t="s">
        <v>1284</v>
      </c>
      <c r="B289" s="51" t="s">
        <v>674</v>
      </c>
      <c r="C289" s="51" t="s">
        <v>1285</v>
      </c>
      <c r="D289" s="51" t="s">
        <v>366</v>
      </c>
      <c r="E289" s="51" t="b">
        <v>0</v>
      </c>
      <c r="F289" t="b">
        <v>0</v>
      </c>
      <c r="H289" s="646"/>
      <c r="M289" s="646"/>
      <c r="R289" s="646"/>
    </row>
    <row r="290">
      <c r="A290" s="51" t="s">
        <v>1284</v>
      </c>
      <c r="B290" s="51" t="s">
        <v>674</v>
      </c>
      <c r="C290" s="51" t="s">
        <v>1286</v>
      </c>
      <c r="D290" s="51" t="s">
        <v>366</v>
      </c>
      <c r="E290" s="51" t="b">
        <v>0</v>
      </c>
      <c r="F290" t="b">
        <v>0</v>
      </c>
      <c r="H290" s="646"/>
      <c r="M290" s="646"/>
      <c r="R290" s="646"/>
    </row>
    <row r="291">
      <c r="A291" s="51" t="s">
        <v>1284</v>
      </c>
      <c r="B291" s="51" t="s">
        <v>674</v>
      </c>
      <c r="C291" s="51" t="s">
        <v>1287</v>
      </c>
      <c r="D291" s="51" t="s">
        <v>366</v>
      </c>
      <c r="E291" s="51" t="b">
        <v>0</v>
      </c>
      <c r="F291" t="b">
        <v>0</v>
      </c>
      <c r="H291" s="646"/>
      <c r="M291" s="646"/>
      <c r="R291" s="646"/>
    </row>
    <row r="292">
      <c r="A292" s="51" t="s">
        <v>1284</v>
      </c>
      <c r="B292" s="51" t="s">
        <v>674</v>
      </c>
      <c r="C292" s="51" t="s">
        <v>1288</v>
      </c>
      <c r="D292" s="51" t="s">
        <v>366</v>
      </c>
      <c r="E292" s="51" t="b">
        <v>0</v>
      </c>
      <c r="F292" t="b">
        <v>0</v>
      </c>
      <c r="H292" s="646"/>
      <c r="M292" s="646"/>
      <c r="R292" s="646"/>
    </row>
    <row r="293">
      <c r="A293" s="51" t="s">
        <v>1289</v>
      </c>
      <c r="B293" s="51" t="s">
        <v>1290</v>
      </c>
      <c r="C293" s="51" t="s">
        <v>1291</v>
      </c>
      <c r="D293" s="51" t="s">
        <v>366</v>
      </c>
      <c r="E293" s="51" t="b">
        <v>0</v>
      </c>
      <c r="F293" t="b">
        <v>0</v>
      </c>
      <c r="H293" s="646"/>
      <c r="M293" s="646"/>
      <c r="R293" s="646"/>
    </row>
    <row r="294">
      <c r="A294" s="51" t="s">
        <v>1292</v>
      </c>
      <c r="B294" s="51" t="s">
        <v>897</v>
      </c>
      <c r="C294" s="51" t="s">
        <v>1293</v>
      </c>
      <c r="D294" s="51" t="s">
        <v>366</v>
      </c>
      <c r="E294" s="51" t="b">
        <v>0</v>
      </c>
      <c r="F294" t="b">
        <v>0</v>
      </c>
      <c r="H294" s="646"/>
      <c r="M294" s="646"/>
      <c r="R294" s="646"/>
    </row>
    <row r="295">
      <c r="A295" s="51" t="s">
        <v>1294</v>
      </c>
      <c r="B295" s="51" t="s">
        <v>1295</v>
      </c>
      <c r="C295" s="51" t="s">
        <v>1296</v>
      </c>
      <c r="D295" s="51" t="s">
        <v>366</v>
      </c>
      <c r="E295" s="51" t="b">
        <v>0</v>
      </c>
      <c r="F295" t="b">
        <v>0</v>
      </c>
      <c r="H295" s="646"/>
      <c r="M295" s="646"/>
      <c r="R295" s="646"/>
    </row>
    <row r="296">
      <c r="A296" s="51" t="s">
        <v>1297</v>
      </c>
      <c r="B296" s="51" t="s">
        <v>1298</v>
      </c>
      <c r="C296" s="51" t="s">
        <v>1299</v>
      </c>
      <c r="D296" s="51" t="s">
        <v>366</v>
      </c>
      <c r="E296" s="51" t="b">
        <v>0</v>
      </c>
      <c r="F296" t="b">
        <v>0</v>
      </c>
      <c r="H296" s="646"/>
      <c r="M296" s="646"/>
      <c r="R296" s="646"/>
    </row>
    <row r="297">
      <c r="A297" s="51" t="s">
        <v>1300</v>
      </c>
      <c r="B297" s="51" t="s">
        <v>1301</v>
      </c>
      <c r="C297" s="51" t="s">
        <v>1302</v>
      </c>
      <c r="D297" s="51" t="s">
        <v>366</v>
      </c>
      <c r="E297" s="51" t="b">
        <v>0</v>
      </c>
      <c r="F297" t="b">
        <v>0</v>
      </c>
      <c r="H297" s="646"/>
      <c r="M297" s="646"/>
      <c r="R297" s="646"/>
    </row>
    <row r="298">
      <c r="A298" s="51" t="s">
        <v>1303</v>
      </c>
      <c r="C298" s="51" t="s">
        <v>1304</v>
      </c>
      <c r="D298" s="51" t="s">
        <v>366</v>
      </c>
      <c r="E298" s="51" t="b">
        <v>0</v>
      </c>
      <c r="F298" t="b">
        <v>0</v>
      </c>
      <c r="G298" s="51" t="s">
        <v>1305</v>
      </c>
      <c r="H298" s="646"/>
      <c r="M298" s="646"/>
      <c r="R298" s="646"/>
    </row>
    <row r="299">
      <c r="A299" s="51" t="s">
        <v>1159</v>
      </c>
      <c r="B299" s="51" t="s">
        <v>1306</v>
      </c>
      <c r="C299" s="51" t="s">
        <v>1307</v>
      </c>
      <c r="D299" s="51" t="s">
        <v>366</v>
      </c>
      <c r="E299" s="51" t="b">
        <v>0</v>
      </c>
      <c r="F299" t="b">
        <v>0</v>
      </c>
      <c r="H299" s="646"/>
      <c r="M299" s="646"/>
      <c r="R299" s="646"/>
    </row>
    <row r="300">
      <c r="A300" s="51" t="s">
        <v>1308</v>
      </c>
      <c r="C300" s="51" t="s">
        <v>1309</v>
      </c>
      <c r="D300" s="51" t="s">
        <v>366</v>
      </c>
      <c r="E300" s="51" t="b">
        <v>0</v>
      </c>
      <c r="F300" t="b">
        <v>0</v>
      </c>
      <c r="H300" s="646"/>
      <c r="M300" s="646"/>
      <c r="R300" s="646"/>
    </row>
    <row r="301">
      <c r="A301" s="51" t="s">
        <v>1310</v>
      </c>
      <c r="B301" s="51" t="s">
        <v>1311</v>
      </c>
      <c r="C301" s="51" t="s">
        <v>1312</v>
      </c>
      <c r="D301" s="51" t="s">
        <v>366</v>
      </c>
      <c r="E301" s="51" t="b">
        <v>0</v>
      </c>
      <c r="F301" t="b">
        <v>0</v>
      </c>
      <c r="H301" s="646"/>
      <c r="M301" s="646"/>
      <c r="R301" s="646"/>
    </row>
    <row r="302">
      <c r="A302" s="51" t="s">
        <v>1313</v>
      </c>
      <c r="B302" s="51" t="s">
        <v>854</v>
      </c>
      <c r="C302" s="51" t="s">
        <v>1314</v>
      </c>
      <c r="D302" s="51" t="s">
        <v>366</v>
      </c>
      <c r="E302" s="51" t="b">
        <v>0</v>
      </c>
      <c r="F302" t="b">
        <v>0</v>
      </c>
      <c r="H302" s="646"/>
      <c r="M302" s="646"/>
      <c r="R302" s="646"/>
    </row>
    <row r="303">
      <c r="A303" s="51" t="s">
        <v>1315</v>
      </c>
      <c r="C303" s="51" t="s">
        <v>1316</v>
      </c>
      <c r="D303" s="51" t="s">
        <v>366</v>
      </c>
      <c r="E303" s="51" t="b">
        <v>0</v>
      </c>
      <c r="F303" t="b">
        <v>0</v>
      </c>
      <c r="H303" s="646"/>
      <c r="M303" s="646"/>
      <c r="R303" s="646"/>
    </row>
    <row r="304">
      <c r="A304" s="51" t="s">
        <v>1317</v>
      </c>
      <c r="B304" s="51" t="s">
        <v>1318</v>
      </c>
      <c r="C304" s="51" t="s">
        <v>1319</v>
      </c>
      <c r="D304" s="51" t="s">
        <v>366</v>
      </c>
      <c r="E304" s="51" t="b">
        <v>0</v>
      </c>
      <c r="F304" t="b">
        <v>0</v>
      </c>
      <c r="H304" s="646"/>
      <c r="M304" s="646"/>
      <c r="R304" s="646"/>
    </row>
    <row r="305">
      <c r="A305" s="51" t="s">
        <v>1320</v>
      </c>
      <c r="B305" s="51" t="s">
        <v>836</v>
      </c>
      <c r="C305" s="51" t="s">
        <v>1321</v>
      </c>
      <c r="D305" s="51" t="s">
        <v>366</v>
      </c>
      <c r="E305" s="51" t="b">
        <v>0</v>
      </c>
      <c r="F305" t="b">
        <v>0</v>
      </c>
      <c r="H305" s="646"/>
      <c r="M305" s="646"/>
      <c r="R305" s="646"/>
    </row>
    <row r="306">
      <c r="A306" s="51" t="s">
        <v>1322</v>
      </c>
      <c r="B306" s="51" t="s">
        <v>1323</v>
      </c>
      <c r="C306" s="51" t="s">
        <v>1324</v>
      </c>
      <c r="D306" s="51" t="s">
        <v>366</v>
      </c>
      <c r="E306" s="51" t="b">
        <v>0</v>
      </c>
      <c r="F306" t="b">
        <v>0</v>
      </c>
      <c r="H306" s="646"/>
      <c r="M306" s="646"/>
      <c r="R306" s="646"/>
    </row>
    <row r="307">
      <c r="A307" s="51" t="s">
        <v>1322</v>
      </c>
      <c r="B307" s="51" t="s">
        <v>1323</v>
      </c>
      <c r="C307" s="51" t="s">
        <v>1325</v>
      </c>
      <c r="D307" s="51" t="s">
        <v>366</v>
      </c>
      <c r="E307" s="51" t="b">
        <v>0</v>
      </c>
      <c r="F307" t="b">
        <v>0</v>
      </c>
      <c r="H307" s="646"/>
      <c r="M307" s="646"/>
      <c r="R307" s="646"/>
    </row>
    <row r="308">
      <c r="A308" s="51" t="s">
        <v>1326</v>
      </c>
      <c r="B308" s="51" t="s">
        <v>897</v>
      </c>
      <c r="C308" s="51" t="s">
        <v>1327</v>
      </c>
      <c r="D308" s="51" t="s">
        <v>366</v>
      </c>
      <c r="E308" s="51" t="b">
        <v>0</v>
      </c>
      <c r="F308" t="b">
        <v>0</v>
      </c>
      <c r="H308" s="646"/>
      <c r="M308" s="646"/>
      <c r="R308" s="646"/>
    </row>
    <row r="309">
      <c r="A309" s="51" t="s">
        <v>1328</v>
      </c>
      <c r="B309" s="51" t="s">
        <v>1221</v>
      </c>
      <c r="C309" s="51" t="s">
        <v>1329</v>
      </c>
      <c r="D309" s="51" t="s">
        <v>366</v>
      </c>
      <c r="E309" s="51" t="b">
        <v>0</v>
      </c>
      <c r="F309" t="b">
        <v>0</v>
      </c>
      <c r="H309" s="646"/>
      <c r="M309" s="646"/>
      <c r="R309" s="646"/>
    </row>
    <row r="310">
      <c r="A310" s="51" t="s">
        <v>1330</v>
      </c>
      <c r="B310" s="51" t="s">
        <v>1280</v>
      </c>
      <c r="C310" s="51" t="s">
        <v>1331</v>
      </c>
      <c r="D310" s="51" t="s">
        <v>366</v>
      </c>
      <c r="E310" t="b">
        <v>0</v>
      </c>
      <c r="F310" t="b">
        <v>0</v>
      </c>
      <c r="H310" s="646"/>
      <c r="M310" s="646"/>
      <c r="R310" s="646"/>
    </row>
    <row r="311">
      <c r="A311" s="51" t="s">
        <v>1332</v>
      </c>
      <c r="B311" s="51" t="s">
        <v>674</v>
      </c>
      <c r="C311" s="51" t="s">
        <v>1333</v>
      </c>
      <c r="D311" s="51" t="s">
        <v>366</v>
      </c>
      <c r="E311" s="51" t="b">
        <v>0</v>
      </c>
      <c r="F311" t="b">
        <v>0</v>
      </c>
      <c r="H311" s="646"/>
      <c r="M311" s="646"/>
      <c r="R311" s="646"/>
    </row>
    <row r="312">
      <c r="A312" s="51" t="s">
        <v>1332</v>
      </c>
      <c r="B312" s="51" t="s">
        <v>674</v>
      </c>
      <c r="C312" s="51" t="s">
        <v>1334</v>
      </c>
      <c r="D312" s="51" t="s">
        <v>366</v>
      </c>
      <c r="E312" s="51" t="b">
        <v>0</v>
      </c>
      <c r="F312" t="b">
        <v>0</v>
      </c>
      <c r="H312" s="646"/>
      <c r="M312" s="646"/>
      <c r="R312" s="646"/>
    </row>
    <row r="313">
      <c r="A313" s="51" t="s">
        <v>1332</v>
      </c>
      <c r="B313" s="51" t="s">
        <v>674</v>
      </c>
      <c r="C313" s="51" t="s">
        <v>1335</v>
      </c>
      <c r="D313" s="51" t="s">
        <v>366</v>
      </c>
      <c r="E313" s="51" t="b">
        <v>0</v>
      </c>
      <c r="F313" t="b">
        <v>0</v>
      </c>
      <c r="H313" s="646"/>
      <c r="M313" s="646"/>
      <c r="R313" s="646"/>
    </row>
    <row r="314">
      <c r="A314" s="51" t="s">
        <v>1332</v>
      </c>
      <c r="B314" s="51" t="s">
        <v>674</v>
      </c>
      <c r="C314" s="51" t="s">
        <v>1336</v>
      </c>
      <c r="D314" s="51" t="s">
        <v>366</v>
      </c>
      <c r="E314" s="51" t="b">
        <v>0</v>
      </c>
      <c r="F314" t="b">
        <v>0</v>
      </c>
      <c r="H314" s="646"/>
      <c r="M314" s="646"/>
      <c r="R314" s="646"/>
    </row>
    <row r="315">
      <c r="A315" s="51" t="s">
        <v>1337</v>
      </c>
      <c r="B315" s="51" t="s">
        <v>1338</v>
      </c>
      <c r="C315" s="51" t="s">
        <v>1339</v>
      </c>
      <c r="D315" s="51" t="s">
        <v>366</v>
      </c>
      <c r="E315" s="51" t="b">
        <v>0</v>
      </c>
      <c r="F315" t="b">
        <v>0</v>
      </c>
      <c r="H315" s="646"/>
      <c r="M315" s="646"/>
      <c r="R315" s="646"/>
    </row>
    <row r="316">
      <c r="A316" s="51" t="s">
        <v>1340</v>
      </c>
      <c r="B316" s="51" t="s">
        <v>684</v>
      </c>
      <c r="C316" s="51" t="s">
        <v>1341</v>
      </c>
      <c r="D316" s="51" t="s">
        <v>366</v>
      </c>
      <c r="E316" s="51" t="b">
        <v>1</v>
      </c>
      <c r="F316" t="b">
        <v>0</v>
      </c>
      <c r="H316" s="646"/>
      <c r="M316" s="646"/>
      <c r="R316" s="646"/>
    </row>
    <row r="317">
      <c r="A317" s="51" t="s">
        <v>1342</v>
      </c>
      <c r="B317" s="51" t="s">
        <v>1343</v>
      </c>
      <c r="C317" s="51" t="s">
        <v>1344</v>
      </c>
      <c r="D317" s="51" t="s">
        <v>366</v>
      </c>
      <c r="E317" t="b">
        <v>0</v>
      </c>
      <c r="F317" t="b">
        <v>0</v>
      </c>
      <c r="G317" s="51" t="s">
        <v>1345</v>
      </c>
      <c r="H317" s="646"/>
      <c r="M317" s="646"/>
      <c r="R317" s="646"/>
    </row>
    <row r="318">
      <c r="A318" s="51" t="s">
        <v>1346</v>
      </c>
      <c r="B318" s="51" t="s">
        <v>1347</v>
      </c>
      <c r="C318" s="51" t="s">
        <v>1348</v>
      </c>
      <c r="D318" s="51" t="s">
        <v>370</v>
      </c>
      <c r="E318" t="b">
        <v>0</v>
      </c>
      <c r="F318" t="b">
        <v>0</v>
      </c>
      <c r="H318" s="646"/>
      <c r="M318" s="646"/>
      <c r="R318" s="646"/>
    </row>
    <row r="319">
      <c r="A319" s="51" t="s">
        <v>1349</v>
      </c>
      <c r="B319" s="51" t="s">
        <v>778</v>
      </c>
      <c r="C319" s="51" t="s">
        <v>1350</v>
      </c>
      <c r="D319" s="51" t="s">
        <v>366</v>
      </c>
      <c r="E319" t="b">
        <v>0</v>
      </c>
      <c r="F319" t="b">
        <v>0</v>
      </c>
      <c r="H319" s="646"/>
      <c r="M319" s="646"/>
      <c r="R319" s="646"/>
    </row>
    <row r="320">
      <c r="A320" s="51" t="s">
        <v>1351</v>
      </c>
      <c r="B320" s="51" t="s">
        <v>1352</v>
      </c>
      <c r="C320" s="51" t="s">
        <v>1353</v>
      </c>
      <c r="D320" s="51" t="s">
        <v>366</v>
      </c>
      <c r="E320" s="51" t="b">
        <v>0</v>
      </c>
      <c r="F320" t="b">
        <v>0</v>
      </c>
      <c r="H320" s="646"/>
      <c r="M320" s="646"/>
      <c r="R320" s="646"/>
    </row>
    <row r="321">
      <c r="A321" s="51" t="s">
        <v>1354</v>
      </c>
      <c r="B321" s="51" t="s">
        <v>1355</v>
      </c>
      <c r="C321" s="51" t="s">
        <v>1356</v>
      </c>
      <c r="D321" s="51" t="s">
        <v>366</v>
      </c>
      <c r="E321" s="51" t="b">
        <v>0</v>
      </c>
      <c r="F321" t="b">
        <v>0</v>
      </c>
      <c r="H321" s="646"/>
      <c r="M321" s="646"/>
      <c r="R321" s="646"/>
    </row>
    <row r="322">
      <c r="A322" s="51" t="s">
        <v>1354</v>
      </c>
      <c r="B322" s="51" t="s">
        <v>1355</v>
      </c>
      <c r="C322" s="51" t="s">
        <v>1357</v>
      </c>
      <c r="D322" s="51" t="s">
        <v>366</v>
      </c>
      <c r="E322" s="51" t="b">
        <v>0</v>
      </c>
      <c r="F322" t="b">
        <v>0</v>
      </c>
      <c r="H322" s="646"/>
      <c r="M322" s="646"/>
      <c r="R322" s="646"/>
    </row>
    <row r="323">
      <c r="A323" s="51" t="s">
        <v>1354</v>
      </c>
      <c r="B323" s="51" t="s">
        <v>1355</v>
      </c>
      <c r="C323" s="51" t="s">
        <v>1358</v>
      </c>
      <c r="D323" s="51" t="s">
        <v>366</v>
      </c>
      <c r="E323" s="51" t="b">
        <v>0</v>
      </c>
      <c r="F323" t="b">
        <v>0</v>
      </c>
      <c r="H323" s="646"/>
      <c r="M323" s="646"/>
      <c r="R323" s="646"/>
    </row>
    <row r="324">
      <c r="A324" s="51" t="s">
        <v>1354</v>
      </c>
      <c r="B324" s="51" t="s">
        <v>1355</v>
      </c>
      <c r="C324" s="51" t="s">
        <v>1359</v>
      </c>
      <c r="D324" s="51" t="s">
        <v>366</v>
      </c>
      <c r="E324" s="51" t="b">
        <v>0</v>
      </c>
      <c r="F324" t="b">
        <v>0</v>
      </c>
      <c r="H324" s="646"/>
      <c r="M324" s="646"/>
      <c r="R324" s="646"/>
    </row>
    <row r="325">
      <c r="A325" s="51" t="s">
        <v>1354</v>
      </c>
      <c r="B325" s="51" t="s">
        <v>1355</v>
      </c>
      <c r="C325" s="51" t="s">
        <v>1360</v>
      </c>
      <c r="D325" s="51" t="s">
        <v>366</v>
      </c>
      <c r="E325" s="51" t="b">
        <v>0</v>
      </c>
      <c r="F325" t="b">
        <v>0</v>
      </c>
      <c r="H325" s="646"/>
      <c r="M325" s="646"/>
      <c r="R325" s="646"/>
    </row>
    <row r="326">
      <c r="A326" s="51" t="s">
        <v>1354</v>
      </c>
      <c r="B326" s="51" t="s">
        <v>1355</v>
      </c>
      <c r="C326" s="51" t="s">
        <v>1361</v>
      </c>
      <c r="D326" s="51" t="s">
        <v>366</v>
      </c>
      <c r="E326" s="51" t="b">
        <v>0</v>
      </c>
      <c r="F326" t="b">
        <v>0</v>
      </c>
      <c r="H326" s="646"/>
      <c r="M326" s="646"/>
      <c r="R326" s="646"/>
    </row>
    <row r="327">
      <c r="A327" s="51" t="s">
        <v>1354</v>
      </c>
      <c r="B327" s="51" t="s">
        <v>1355</v>
      </c>
      <c r="C327" s="51" t="s">
        <v>1362</v>
      </c>
      <c r="D327" s="51" t="s">
        <v>366</v>
      </c>
      <c r="E327" s="51" t="b">
        <v>0</v>
      </c>
      <c r="F327" t="b">
        <v>0</v>
      </c>
      <c r="H327" s="646"/>
      <c r="M327" s="646"/>
      <c r="R327" s="646"/>
    </row>
    <row r="328">
      <c r="A328" s="51" t="s">
        <v>1354</v>
      </c>
      <c r="B328" s="51" t="s">
        <v>1355</v>
      </c>
      <c r="C328" s="51" t="s">
        <v>1363</v>
      </c>
      <c r="D328" s="51" t="s">
        <v>366</v>
      </c>
      <c r="E328" s="51" t="b">
        <v>0</v>
      </c>
      <c r="F328" t="b">
        <v>0</v>
      </c>
      <c r="H328" s="646"/>
      <c r="M328" s="646"/>
      <c r="R328" s="646"/>
    </row>
    <row r="329">
      <c r="A329" s="51" t="s">
        <v>1354</v>
      </c>
      <c r="B329" s="51" t="s">
        <v>1355</v>
      </c>
      <c r="C329" s="51" t="s">
        <v>1364</v>
      </c>
      <c r="D329" s="51" t="s">
        <v>366</v>
      </c>
      <c r="E329" s="51" t="b">
        <v>0</v>
      </c>
      <c r="F329" t="b">
        <v>0</v>
      </c>
      <c r="H329" s="646"/>
      <c r="M329" s="646"/>
      <c r="R329" s="646"/>
    </row>
    <row r="330">
      <c r="A330" s="51" t="s">
        <v>1354</v>
      </c>
      <c r="B330" s="51" t="s">
        <v>1355</v>
      </c>
      <c r="C330" s="51" t="s">
        <v>1365</v>
      </c>
      <c r="D330" s="51" t="s">
        <v>366</v>
      </c>
      <c r="E330" s="51" t="b">
        <v>0</v>
      </c>
      <c r="F330" t="b">
        <v>0</v>
      </c>
      <c r="H330" s="646"/>
      <c r="M330" s="646"/>
      <c r="R330" s="646"/>
    </row>
    <row r="331">
      <c r="A331" s="51" t="s">
        <v>1354</v>
      </c>
      <c r="B331" s="51" t="s">
        <v>1355</v>
      </c>
      <c r="C331" s="51" t="s">
        <v>1366</v>
      </c>
      <c r="D331" s="51" t="s">
        <v>366</v>
      </c>
      <c r="E331" s="51" t="b">
        <v>0</v>
      </c>
      <c r="F331" t="b">
        <v>0</v>
      </c>
      <c r="H331" s="646"/>
      <c r="M331" s="646"/>
      <c r="R331" s="646"/>
    </row>
    <row r="332">
      <c r="A332" s="51" t="s">
        <v>1354</v>
      </c>
      <c r="B332" s="51" t="s">
        <v>1355</v>
      </c>
      <c r="C332" s="51" t="s">
        <v>1367</v>
      </c>
      <c r="D332" s="51" t="s">
        <v>366</v>
      </c>
      <c r="E332" s="51" t="b">
        <v>0</v>
      </c>
      <c r="F332" t="b">
        <v>0</v>
      </c>
      <c r="H332" s="646"/>
      <c r="M332" s="646"/>
      <c r="R332" s="646"/>
    </row>
    <row r="333">
      <c r="A333" s="51" t="s">
        <v>1354</v>
      </c>
      <c r="B333" s="51" t="s">
        <v>1355</v>
      </c>
      <c r="C333" s="51" t="s">
        <v>1368</v>
      </c>
      <c r="D333" s="51" t="s">
        <v>366</v>
      </c>
      <c r="E333" s="51" t="b">
        <v>0</v>
      </c>
      <c r="F333" t="b">
        <v>0</v>
      </c>
      <c r="H333" s="646"/>
      <c r="M333" s="646"/>
      <c r="R333" s="646"/>
    </row>
    <row r="334">
      <c r="A334" s="51" t="s">
        <v>1354</v>
      </c>
      <c r="B334" s="51" t="s">
        <v>1355</v>
      </c>
      <c r="C334" s="51" t="s">
        <v>1369</v>
      </c>
      <c r="D334" s="51" t="s">
        <v>366</v>
      </c>
      <c r="E334" s="51" t="b">
        <v>0</v>
      </c>
      <c r="F334" t="b">
        <v>0</v>
      </c>
      <c r="H334" s="646"/>
      <c r="M334" s="646"/>
      <c r="R334" s="646"/>
    </row>
    <row r="335">
      <c r="A335" s="51" t="s">
        <v>1354</v>
      </c>
      <c r="B335" s="51" t="s">
        <v>1355</v>
      </c>
      <c r="C335" s="51" t="s">
        <v>1370</v>
      </c>
      <c r="D335" s="51" t="s">
        <v>366</v>
      </c>
      <c r="E335" s="51" t="b">
        <v>0</v>
      </c>
      <c r="F335" t="b">
        <v>0</v>
      </c>
      <c r="H335" s="646"/>
      <c r="M335" s="646"/>
      <c r="R335" s="646"/>
    </row>
    <row r="336">
      <c r="A336" s="51" t="s">
        <v>1354</v>
      </c>
      <c r="B336" s="51" t="s">
        <v>1355</v>
      </c>
      <c r="C336" s="51" t="s">
        <v>1371</v>
      </c>
      <c r="D336" s="51" t="s">
        <v>366</v>
      </c>
      <c r="E336" s="51" t="b">
        <v>0</v>
      </c>
      <c r="F336" t="b">
        <v>0</v>
      </c>
      <c r="H336" s="646"/>
      <c r="M336" s="646"/>
      <c r="R336" s="646"/>
    </row>
    <row r="337">
      <c r="A337" s="51" t="s">
        <v>1354</v>
      </c>
      <c r="B337" s="51" t="s">
        <v>1355</v>
      </c>
      <c r="C337" s="51" t="s">
        <v>1372</v>
      </c>
      <c r="D337" s="51" t="s">
        <v>366</v>
      </c>
      <c r="E337" s="51" t="b">
        <v>0</v>
      </c>
      <c r="F337" t="b">
        <v>0</v>
      </c>
      <c r="H337" s="646"/>
      <c r="M337" s="646"/>
      <c r="R337" s="646"/>
    </row>
    <row r="338">
      <c r="A338" s="51" t="s">
        <v>1354</v>
      </c>
      <c r="B338" s="51" t="s">
        <v>1355</v>
      </c>
      <c r="C338" s="51" t="s">
        <v>1373</v>
      </c>
      <c r="D338" s="51" t="s">
        <v>366</v>
      </c>
      <c r="E338" s="51" t="b">
        <v>0</v>
      </c>
      <c r="F338" t="b">
        <v>0</v>
      </c>
      <c r="H338" s="646"/>
      <c r="M338" s="646"/>
      <c r="R338" s="646"/>
    </row>
    <row r="339">
      <c r="A339" s="51" t="s">
        <v>1354</v>
      </c>
      <c r="B339" s="51" t="s">
        <v>1355</v>
      </c>
      <c r="C339" s="51" t="s">
        <v>1374</v>
      </c>
      <c r="D339" s="51" t="s">
        <v>366</v>
      </c>
      <c r="E339" s="51" t="b">
        <v>0</v>
      </c>
      <c r="F339" t="b">
        <v>0</v>
      </c>
      <c r="H339" s="646"/>
      <c r="M339" s="646"/>
      <c r="R339" s="646"/>
    </row>
    <row r="340">
      <c r="A340" s="51" t="s">
        <v>1354</v>
      </c>
      <c r="B340" s="51" t="s">
        <v>1355</v>
      </c>
      <c r="C340" s="51" t="s">
        <v>1375</v>
      </c>
      <c r="D340" s="51" t="s">
        <v>366</v>
      </c>
      <c r="E340" s="51" t="b">
        <v>0</v>
      </c>
      <c r="F340" t="b">
        <v>0</v>
      </c>
      <c r="H340" s="646"/>
      <c r="M340" s="646"/>
      <c r="R340" s="646"/>
    </row>
    <row r="341">
      <c r="A341" s="51" t="s">
        <v>1354</v>
      </c>
      <c r="B341" s="51" t="s">
        <v>1355</v>
      </c>
      <c r="C341" s="51" t="s">
        <v>1376</v>
      </c>
      <c r="D341" s="51" t="s">
        <v>366</v>
      </c>
      <c r="E341" s="51" t="b">
        <v>0</v>
      </c>
      <c r="F341" t="b">
        <v>0</v>
      </c>
      <c r="H341" s="646"/>
      <c r="M341" s="646"/>
      <c r="R341" s="646"/>
    </row>
    <row r="342">
      <c r="A342" s="51" t="s">
        <v>1354</v>
      </c>
      <c r="B342" s="51" t="s">
        <v>1355</v>
      </c>
      <c r="C342" s="51" t="s">
        <v>1377</v>
      </c>
      <c r="D342" s="51" t="s">
        <v>366</v>
      </c>
      <c r="E342" s="51" t="b">
        <v>0</v>
      </c>
      <c r="F342" t="b">
        <v>0</v>
      </c>
      <c r="H342" s="646"/>
      <c r="M342" s="646"/>
      <c r="R342" s="646"/>
    </row>
    <row r="343">
      <c r="A343" s="51" t="s">
        <v>1354</v>
      </c>
      <c r="B343" s="51" t="s">
        <v>1355</v>
      </c>
      <c r="C343" s="51" t="s">
        <v>1378</v>
      </c>
      <c r="D343" s="51" t="s">
        <v>366</v>
      </c>
      <c r="E343" s="51" t="b">
        <v>0</v>
      </c>
      <c r="F343" t="b">
        <v>0</v>
      </c>
      <c r="H343" s="646"/>
      <c r="M343" s="646"/>
      <c r="R343" s="646"/>
    </row>
    <row r="344">
      <c r="A344" s="51" t="s">
        <v>1354</v>
      </c>
      <c r="B344" s="51" t="s">
        <v>1355</v>
      </c>
      <c r="C344" s="51" t="s">
        <v>1379</v>
      </c>
      <c r="D344" s="51" t="s">
        <v>366</v>
      </c>
      <c r="E344" s="51" t="b">
        <v>0</v>
      </c>
      <c r="F344" t="b">
        <v>0</v>
      </c>
      <c r="H344" s="646"/>
      <c r="M344" s="646"/>
      <c r="R344" s="646"/>
    </row>
    <row r="345">
      <c r="A345" s="51" t="s">
        <v>1354</v>
      </c>
      <c r="B345" s="51" t="s">
        <v>1355</v>
      </c>
      <c r="C345" s="51" t="s">
        <v>1380</v>
      </c>
      <c r="D345" s="51" t="s">
        <v>366</v>
      </c>
      <c r="E345" s="51" t="b">
        <v>0</v>
      </c>
      <c r="F345" t="b">
        <v>0</v>
      </c>
      <c r="H345" s="646"/>
      <c r="M345" s="646"/>
      <c r="R345" s="646"/>
    </row>
    <row r="346">
      <c r="A346" s="51" t="s">
        <v>1354</v>
      </c>
      <c r="B346" s="51" t="s">
        <v>1355</v>
      </c>
      <c r="C346" s="51" t="s">
        <v>1381</v>
      </c>
      <c r="D346" s="51" t="s">
        <v>366</v>
      </c>
      <c r="E346" s="51" t="b">
        <v>0</v>
      </c>
      <c r="F346" t="b">
        <v>0</v>
      </c>
      <c r="H346" s="646"/>
      <c r="M346" s="646"/>
      <c r="R346" s="646"/>
    </row>
    <row r="347">
      <c r="A347" s="51" t="s">
        <v>1354</v>
      </c>
      <c r="B347" s="51" t="s">
        <v>1355</v>
      </c>
      <c r="C347" s="51" t="s">
        <v>1382</v>
      </c>
      <c r="D347" s="51" t="s">
        <v>366</v>
      </c>
      <c r="E347" s="51" t="b">
        <v>0</v>
      </c>
      <c r="F347" t="b">
        <v>0</v>
      </c>
      <c r="H347" s="646"/>
      <c r="M347" s="646"/>
      <c r="R347" s="646"/>
    </row>
    <row r="348">
      <c r="A348" s="51" t="s">
        <v>1354</v>
      </c>
      <c r="B348" s="51" t="s">
        <v>1355</v>
      </c>
      <c r="C348" s="51" t="s">
        <v>1383</v>
      </c>
      <c r="D348" s="51" t="s">
        <v>366</v>
      </c>
      <c r="E348" s="51" t="b">
        <v>0</v>
      </c>
      <c r="F348" t="b">
        <v>0</v>
      </c>
      <c r="H348" s="646"/>
      <c r="M348" s="646"/>
      <c r="R348" s="646"/>
    </row>
    <row r="349">
      <c r="A349" s="51" t="s">
        <v>1354</v>
      </c>
      <c r="B349" s="51" t="s">
        <v>1355</v>
      </c>
      <c r="C349" s="51" t="s">
        <v>1384</v>
      </c>
      <c r="D349" s="51" t="s">
        <v>366</v>
      </c>
      <c r="E349" s="51" t="b">
        <v>0</v>
      </c>
      <c r="F349" t="b">
        <v>0</v>
      </c>
      <c r="H349" s="646"/>
      <c r="M349" s="646"/>
      <c r="R349" s="646"/>
    </row>
    <row r="350">
      <c r="A350" s="51" t="s">
        <v>1354</v>
      </c>
      <c r="B350" s="51" t="s">
        <v>1355</v>
      </c>
      <c r="C350" s="51" t="s">
        <v>1385</v>
      </c>
      <c r="D350" s="51" t="s">
        <v>366</v>
      </c>
      <c r="E350" s="51" t="b">
        <v>0</v>
      </c>
      <c r="F350" t="b">
        <v>0</v>
      </c>
      <c r="H350" s="646"/>
      <c r="M350" s="646"/>
      <c r="R350" s="646"/>
    </row>
    <row r="351">
      <c r="A351" s="51" t="s">
        <v>1354</v>
      </c>
      <c r="B351" s="51" t="s">
        <v>1355</v>
      </c>
      <c r="C351" s="51" t="s">
        <v>1386</v>
      </c>
      <c r="D351" s="51" t="s">
        <v>366</v>
      </c>
      <c r="E351" s="51" t="b">
        <v>0</v>
      </c>
      <c r="F351" t="b">
        <v>0</v>
      </c>
      <c r="H351" s="646"/>
      <c r="M351" s="646"/>
      <c r="R351" s="646"/>
    </row>
    <row r="352">
      <c r="A352" s="51" t="s">
        <v>1354</v>
      </c>
      <c r="B352" s="51" t="s">
        <v>1355</v>
      </c>
      <c r="C352" s="51" t="s">
        <v>1387</v>
      </c>
      <c r="D352" s="51" t="s">
        <v>366</v>
      </c>
      <c r="E352" s="51" t="b">
        <v>0</v>
      </c>
      <c r="F352" t="b">
        <v>0</v>
      </c>
      <c r="H352" s="646"/>
      <c r="M352" s="646"/>
      <c r="R352" s="646"/>
    </row>
    <row r="353">
      <c r="A353" s="51" t="s">
        <v>1354</v>
      </c>
      <c r="B353" s="51" t="s">
        <v>1355</v>
      </c>
      <c r="C353" s="51" t="s">
        <v>1388</v>
      </c>
      <c r="D353" s="51" t="s">
        <v>366</v>
      </c>
      <c r="E353" s="51" t="b">
        <v>0</v>
      </c>
      <c r="F353" t="b">
        <v>0</v>
      </c>
      <c r="H353" s="646"/>
      <c r="M353" s="646"/>
      <c r="R353" s="646"/>
    </row>
    <row r="354">
      <c r="A354" s="51" t="s">
        <v>1354</v>
      </c>
      <c r="B354" s="51" t="s">
        <v>1355</v>
      </c>
      <c r="C354" s="51" t="s">
        <v>1389</v>
      </c>
      <c r="D354" s="51" t="s">
        <v>366</v>
      </c>
      <c r="E354" s="51" t="b">
        <v>0</v>
      </c>
      <c r="F354" t="b">
        <v>0</v>
      </c>
      <c r="H354" s="646"/>
      <c r="M354" s="646"/>
      <c r="R354" s="646"/>
    </row>
    <row r="355">
      <c r="A355" s="51" t="s">
        <v>1390</v>
      </c>
      <c r="B355" s="51" t="s">
        <v>708</v>
      </c>
      <c r="C355" s="51" t="s">
        <v>1391</v>
      </c>
      <c r="D355" s="51" t="s">
        <v>366</v>
      </c>
      <c r="E355" s="51" t="b">
        <v>0</v>
      </c>
      <c r="F355" t="b">
        <v>0</v>
      </c>
      <c r="H355" s="646"/>
      <c r="M355" s="646"/>
      <c r="R355" s="646"/>
    </row>
    <row r="356">
      <c r="A356" s="51" t="s">
        <v>1392</v>
      </c>
      <c r="B356" s="51" t="s">
        <v>1393</v>
      </c>
      <c r="C356" s="51" t="s">
        <v>1394</v>
      </c>
      <c r="D356" s="51" t="s">
        <v>366</v>
      </c>
      <c r="E356" s="51" t="b">
        <v>0</v>
      </c>
      <c r="F356" t="b">
        <v>0</v>
      </c>
      <c r="H356" s="646"/>
      <c r="M356" s="646"/>
      <c r="R356" s="646"/>
    </row>
    <row r="357">
      <c r="A357" s="51" t="s">
        <v>478</v>
      </c>
      <c r="B357" s="51" t="s">
        <v>1395</v>
      </c>
      <c r="C357" s="51" t="s">
        <v>1396</v>
      </c>
      <c r="D357" s="51" t="s">
        <v>370</v>
      </c>
      <c r="E357" s="51" t="b">
        <v>0</v>
      </c>
      <c r="F357" t="b">
        <v>0</v>
      </c>
      <c r="H357" s="646"/>
      <c r="M357" s="646"/>
      <c r="R357" s="646"/>
    </row>
    <row r="358">
      <c r="A358" s="51" t="s">
        <v>1397</v>
      </c>
      <c r="B358" s="51" t="s">
        <v>1398</v>
      </c>
      <c r="C358" s="51" t="s">
        <v>1399</v>
      </c>
      <c r="D358" s="51" t="s">
        <v>366</v>
      </c>
      <c r="E358" s="51" t="b">
        <v>0</v>
      </c>
      <c r="F358" t="b">
        <v>0</v>
      </c>
      <c r="H358" s="646"/>
      <c r="M358" s="646"/>
      <c r="R358" s="646"/>
    </row>
    <row r="359">
      <c r="A359" s="51" t="s">
        <v>1400</v>
      </c>
      <c r="B359" s="51" t="s">
        <v>1401</v>
      </c>
      <c r="C359" s="51" t="s">
        <v>1402</v>
      </c>
      <c r="D359" s="51" t="s">
        <v>366</v>
      </c>
      <c r="E359" t="b">
        <v>0</v>
      </c>
      <c r="F359" t="b">
        <v>0</v>
      </c>
      <c r="H359" s="646"/>
      <c r="M359" s="646"/>
      <c r="R359" s="646"/>
    </row>
    <row r="360">
      <c r="A360" s="51" t="s">
        <v>1403</v>
      </c>
      <c r="B360" s="51" t="s">
        <v>1404</v>
      </c>
      <c r="C360" s="51" t="s">
        <v>1405</v>
      </c>
      <c r="D360" s="51" t="s">
        <v>366</v>
      </c>
      <c r="E360" s="51" t="b">
        <v>0</v>
      </c>
      <c r="F360" t="b">
        <v>0</v>
      </c>
      <c r="H360" s="646"/>
      <c r="M360" s="646"/>
      <c r="R360" s="646"/>
    </row>
    <row r="361">
      <c r="A361" s="51" t="s">
        <v>1406</v>
      </c>
      <c r="B361" s="51" t="s">
        <v>1407</v>
      </c>
      <c r="C361" s="51" t="s">
        <v>1408</v>
      </c>
      <c r="D361" s="51" t="s">
        <v>366</v>
      </c>
      <c r="E361" s="51" t="b">
        <v>0</v>
      </c>
      <c r="F361" t="b">
        <v>0</v>
      </c>
      <c r="H361" s="646"/>
      <c r="M361" s="646"/>
      <c r="R361" s="646"/>
    </row>
    <row r="362">
      <c r="A362" s="51" t="s">
        <v>1409</v>
      </c>
      <c r="B362" s="51" t="s">
        <v>1410</v>
      </c>
      <c r="C362" s="51" t="s">
        <v>1411</v>
      </c>
      <c r="D362" s="51" t="s">
        <v>366</v>
      </c>
      <c r="E362" s="51" t="b">
        <v>0</v>
      </c>
      <c r="F362" t="b">
        <v>0</v>
      </c>
      <c r="H362" s="646"/>
      <c r="M362" s="646"/>
      <c r="R362" s="646"/>
    </row>
    <row r="363">
      <c r="A363" s="51" t="s">
        <v>1409</v>
      </c>
      <c r="B363" s="51" t="s">
        <v>1410</v>
      </c>
      <c r="C363" s="51" t="s">
        <v>1412</v>
      </c>
      <c r="D363" s="51" t="s">
        <v>366</v>
      </c>
      <c r="E363" s="51" t="b">
        <v>0</v>
      </c>
      <c r="F363" t="b">
        <v>0</v>
      </c>
      <c r="H363" s="646"/>
      <c r="M363" s="646"/>
      <c r="R363" s="646"/>
    </row>
    <row r="364">
      <c r="A364" s="51" t="s">
        <v>1409</v>
      </c>
      <c r="B364" s="51" t="s">
        <v>1410</v>
      </c>
      <c r="C364" s="51" t="s">
        <v>1413</v>
      </c>
      <c r="D364" s="51" t="s">
        <v>366</v>
      </c>
      <c r="E364" s="51" t="b">
        <v>0</v>
      </c>
      <c r="F364" t="b">
        <v>0</v>
      </c>
      <c r="H364" s="646"/>
      <c r="M364" s="646"/>
      <c r="R364" s="646"/>
    </row>
    <row r="365">
      <c r="A365" s="51" t="s">
        <v>1409</v>
      </c>
      <c r="B365" s="51" t="s">
        <v>1410</v>
      </c>
      <c r="C365" s="51" t="s">
        <v>1414</v>
      </c>
      <c r="D365" s="51" t="s">
        <v>366</v>
      </c>
      <c r="E365" s="51" t="b">
        <v>0</v>
      </c>
      <c r="F365" t="b">
        <v>0</v>
      </c>
      <c r="H365" s="646"/>
      <c r="M365" s="646"/>
      <c r="R365" s="646"/>
    </row>
    <row r="366">
      <c r="A366" s="51" t="s">
        <v>1409</v>
      </c>
      <c r="B366" s="51" t="s">
        <v>1410</v>
      </c>
      <c r="C366" s="51" t="s">
        <v>1415</v>
      </c>
      <c r="D366" s="51" t="s">
        <v>366</v>
      </c>
      <c r="E366" s="51" t="b">
        <v>0</v>
      </c>
      <c r="F366" t="b">
        <v>0</v>
      </c>
      <c r="H366" s="646"/>
      <c r="M366" s="646"/>
      <c r="R366" s="646"/>
    </row>
    <row r="367">
      <c r="A367" s="51" t="s">
        <v>1409</v>
      </c>
      <c r="B367" s="51" t="s">
        <v>1410</v>
      </c>
      <c r="C367" s="51" t="s">
        <v>1416</v>
      </c>
      <c r="D367" s="51" t="s">
        <v>366</v>
      </c>
      <c r="E367" s="51" t="b">
        <v>0</v>
      </c>
      <c r="F367" t="b">
        <v>0</v>
      </c>
      <c r="H367" s="646"/>
      <c r="M367" s="646"/>
      <c r="R367" s="646"/>
    </row>
    <row r="368">
      <c r="A368" s="51" t="s">
        <v>1417</v>
      </c>
      <c r="B368" s="51" t="s">
        <v>1418</v>
      </c>
      <c r="C368" s="51" t="s">
        <v>1419</v>
      </c>
      <c r="D368" s="51" t="s">
        <v>370</v>
      </c>
      <c r="E368" s="51" t="b">
        <v>0</v>
      </c>
      <c r="F368" t="b">
        <v>0</v>
      </c>
      <c r="H368" s="646"/>
      <c r="M368" s="646"/>
      <c r="R368" s="646"/>
    </row>
    <row r="369">
      <c r="A369" s="51" t="s">
        <v>1420</v>
      </c>
      <c r="B369" s="51" t="s">
        <v>1421</v>
      </c>
      <c r="C369" s="51" t="s">
        <v>1422</v>
      </c>
      <c r="D369" s="51" t="s">
        <v>366</v>
      </c>
      <c r="E369" s="51" t="b">
        <v>0</v>
      </c>
      <c r="F369" t="b">
        <v>0</v>
      </c>
      <c r="H369" s="646"/>
      <c r="M369" s="646"/>
      <c r="R369" s="646"/>
    </row>
    <row r="370">
      <c r="A370" s="51" t="s">
        <v>1423</v>
      </c>
      <c r="B370" s="51" t="s">
        <v>1424</v>
      </c>
      <c r="C370" s="51" t="s">
        <v>1425</v>
      </c>
      <c r="D370" s="51" t="s">
        <v>366</v>
      </c>
      <c r="E370" s="51" t="b">
        <v>0</v>
      </c>
      <c r="F370" t="b">
        <v>0</v>
      </c>
      <c r="H370" s="646"/>
      <c r="M370" s="646"/>
      <c r="R370" s="646"/>
    </row>
    <row r="371">
      <c r="A371" s="51" t="s">
        <v>1423</v>
      </c>
      <c r="B371" s="51" t="s">
        <v>1424</v>
      </c>
      <c r="C371" s="51" t="s">
        <v>1426</v>
      </c>
      <c r="D371" s="51" t="s">
        <v>366</v>
      </c>
      <c r="E371" s="51" t="b">
        <v>0</v>
      </c>
      <c r="F371" t="b">
        <v>0</v>
      </c>
      <c r="H371" s="646"/>
      <c r="M371" s="646"/>
      <c r="R371" s="646"/>
    </row>
    <row r="372">
      <c r="A372" s="51" t="s">
        <v>1427</v>
      </c>
      <c r="B372" s="51" t="s">
        <v>1428</v>
      </c>
      <c r="C372" s="51" t="s">
        <v>1429</v>
      </c>
      <c r="D372" s="51" t="s">
        <v>366</v>
      </c>
      <c r="E372" s="51" t="b">
        <v>0</v>
      </c>
      <c r="F372" t="b">
        <v>0</v>
      </c>
      <c r="H372" s="646"/>
      <c r="M372" s="646"/>
      <c r="R372" s="646"/>
    </row>
    <row r="373">
      <c r="A373" s="51" t="s">
        <v>1430</v>
      </c>
      <c r="B373" s="51" t="s">
        <v>778</v>
      </c>
      <c r="C373" s="51" t="s">
        <v>1431</v>
      </c>
      <c r="D373" s="51" t="s">
        <v>366</v>
      </c>
      <c r="E373" s="51" t="b">
        <v>0</v>
      </c>
      <c r="F373" t="b">
        <v>0</v>
      </c>
      <c r="H373" s="646"/>
      <c r="M373" s="646"/>
      <c r="R373" s="646"/>
    </row>
    <row r="374">
      <c r="A374" s="51" t="s">
        <v>1432</v>
      </c>
      <c r="B374" s="51" t="s">
        <v>1318</v>
      </c>
      <c r="C374" s="51" t="s">
        <v>1433</v>
      </c>
      <c r="D374" s="51" t="s">
        <v>366</v>
      </c>
      <c r="E374" t="b">
        <v>0</v>
      </c>
      <c r="F374" t="b">
        <v>0</v>
      </c>
      <c r="H374" s="646"/>
      <c r="M374" s="646"/>
      <c r="R374" s="646"/>
    </row>
    <row r="375">
      <c r="A375" s="51" t="s">
        <v>1434</v>
      </c>
      <c r="B375" s="51" t="s">
        <v>1435</v>
      </c>
      <c r="C375" s="51" t="s">
        <v>1436</v>
      </c>
      <c r="D375" s="51" t="s">
        <v>366</v>
      </c>
      <c r="E375" s="51" t="b">
        <v>0</v>
      </c>
      <c r="F375" t="b">
        <v>0</v>
      </c>
      <c r="H375" s="646"/>
      <c r="M375" s="646"/>
      <c r="R375" s="646"/>
    </row>
    <row r="376">
      <c r="A376" s="51" t="s">
        <v>1434</v>
      </c>
      <c r="B376" s="51" t="s">
        <v>1435</v>
      </c>
      <c r="C376" s="51" t="s">
        <v>1437</v>
      </c>
      <c r="D376" s="51" t="s">
        <v>366</v>
      </c>
      <c r="E376" s="51" t="b">
        <v>0</v>
      </c>
      <c r="F376" t="b">
        <v>0</v>
      </c>
      <c r="H376" s="646"/>
      <c r="M376" s="646"/>
      <c r="R376" s="646"/>
    </row>
    <row r="377">
      <c r="A377" s="51" t="s">
        <v>1434</v>
      </c>
      <c r="B377" s="51" t="s">
        <v>1435</v>
      </c>
      <c r="C377" s="51" t="s">
        <v>1438</v>
      </c>
      <c r="D377" s="51" t="s">
        <v>366</v>
      </c>
      <c r="E377" s="51" t="b">
        <v>0</v>
      </c>
      <c r="F377" t="b">
        <v>0</v>
      </c>
      <c r="H377" s="646"/>
      <c r="M377" s="646"/>
      <c r="R377" s="646"/>
    </row>
    <row r="378">
      <c r="A378" s="51" t="s">
        <v>1434</v>
      </c>
      <c r="B378" s="51" t="s">
        <v>1435</v>
      </c>
      <c r="C378" s="51" t="s">
        <v>1439</v>
      </c>
      <c r="D378" s="51" t="s">
        <v>366</v>
      </c>
      <c r="E378" s="51" t="b">
        <v>0</v>
      </c>
      <c r="F378" t="b">
        <v>0</v>
      </c>
      <c r="H378" s="646"/>
      <c r="M378" s="646"/>
      <c r="R378" s="646"/>
    </row>
    <row r="379">
      <c r="A379" s="51" t="s">
        <v>1440</v>
      </c>
      <c r="B379" s="51" t="s">
        <v>1441</v>
      </c>
      <c r="C379" s="51" t="s">
        <v>1442</v>
      </c>
      <c r="D379" s="51" t="s">
        <v>366</v>
      </c>
      <c r="E379" t="b">
        <v>0</v>
      </c>
      <c r="F379" t="b">
        <v>0</v>
      </c>
      <c r="G379" s="51" t="s">
        <v>1443</v>
      </c>
      <c r="H379" s="646"/>
      <c r="M379" s="646"/>
      <c r="R379" s="646"/>
    </row>
    <row r="380">
      <c r="A380" s="51" t="s">
        <v>1444</v>
      </c>
      <c r="B380" s="51" t="s">
        <v>1445</v>
      </c>
      <c r="C380" s="51" t="s">
        <v>1446</v>
      </c>
      <c r="D380" s="51" t="s">
        <v>366</v>
      </c>
      <c r="E380" s="51" t="b">
        <v>0</v>
      </c>
      <c r="F380" t="b">
        <v>0</v>
      </c>
      <c r="H380" s="646"/>
      <c r="M380" s="646"/>
      <c r="R380" s="646"/>
    </row>
    <row r="381">
      <c r="A381" s="51" t="s">
        <v>1447</v>
      </c>
      <c r="B381" s="51" t="s">
        <v>684</v>
      </c>
      <c r="C381" s="51" t="s">
        <v>1448</v>
      </c>
      <c r="D381" s="51" t="s">
        <v>366</v>
      </c>
      <c r="E381" s="51" t="b">
        <v>0</v>
      </c>
      <c r="F381" t="b">
        <v>0</v>
      </c>
      <c r="H381" s="646"/>
      <c r="M381" s="646"/>
      <c r="R381" s="646"/>
    </row>
    <row r="382">
      <c r="A382" s="51" t="s">
        <v>1449</v>
      </c>
      <c r="B382" s="51" t="s">
        <v>920</v>
      </c>
      <c r="C382" s="51" t="s">
        <v>1450</v>
      </c>
      <c r="D382" s="51" t="s">
        <v>366</v>
      </c>
      <c r="E382" t="b">
        <v>0</v>
      </c>
      <c r="F382" t="b">
        <v>0</v>
      </c>
      <c r="G382" s="51" t="s">
        <v>1451</v>
      </c>
      <c r="H382" s="646"/>
      <c r="M382" s="646"/>
      <c r="R382" s="646"/>
    </row>
    <row r="383">
      <c r="A383" s="51" t="s">
        <v>1452</v>
      </c>
      <c r="B383" s="51" t="s">
        <v>1453</v>
      </c>
      <c r="C383" s="51" t="s">
        <v>1454</v>
      </c>
      <c r="D383" s="51" t="s">
        <v>370</v>
      </c>
      <c r="E383" s="51" t="b">
        <v>0</v>
      </c>
      <c r="F383" t="b">
        <v>0</v>
      </c>
      <c r="H383" s="646"/>
      <c r="M383" s="646"/>
      <c r="R383" s="646"/>
    </row>
    <row r="384">
      <c r="A384" s="51" t="s">
        <v>1452</v>
      </c>
      <c r="B384" s="51" t="s">
        <v>1453</v>
      </c>
      <c r="C384" s="51" t="s">
        <v>1455</v>
      </c>
      <c r="D384" s="51" t="s">
        <v>370</v>
      </c>
      <c r="E384" s="51" t="b">
        <v>0</v>
      </c>
      <c r="F384" t="b">
        <v>0</v>
      </c>
      <c r="H384" s="646"/>
      <c r="M384" s="646"/>
      <c r="R384" s="646"/>
    </row>
    <row r="385">
      <c r="A385" s="51" t="s">
        <v>1452</v>
      </c>
      <c r="B385" s="51" t="s">
        <v>1453</v>
      </c>
      <c r="C385" s="51" t="s">
        <v>1456</v>
      </c>
      <c r="D385" s="51" t="s">
        <v>366</v>
      </c>
      <c r="E385" s="51" t="b">
        <v>0</v>
      </c>
      <c r="F385" t="b">
        <v>0</v>
      </c>
      <c r="H385" s="646"/>
      <c r="M385" s="646"/>
      <c r="R385" s="646"/>
    </row>
    <row r="386">
      <c r="A386" s="51" t="s">
        <v>1452</v>
      </c>
      <c r="B386" s="51" t="s">
        <v>1457</v>
      </c>
      <c r="C386" s="51" t="s">
        <v>1458</v>
      </c>
      <c r="D386" s="51" t="s">
        <v>366</v>
      </c>
      <c r="E386" s="51" t="b">
        <v>0</v>
      </c>
      <c r="F386" t="b">
        <v>0</v>
      </c>
      <c r="H386" s="646"/>
      <c r="M386" s="646"/>
      <c r="R386" s="646"/>
    </row>
    <row r="387">
      <c r="A387" s="51" t="s">
        <v>1452</v>
      </c>
      <c r="B387" s="51" t="s">
        <v>1457</v>
      </c>
      <c r="C387" s="51" t="s">
        <v>1459</v>
      </c>
      <c r="D387" s="51" t="s">
        <v>366</v>
      </c>
      <c r="E387" s="51" t="b">
        <v>1</v>
      </c>
      <c r="F387" t="b">
        <v>0</v>
      </c>
      <c r="H387" s="646"/>
      <c r="M387" s="646"/>
      <c r="R387" s="646"/>
    </row>
    <row r="388">
      <c r="A388" s="51" t="s">
        <v>1452</v>
      </c>
      <c r="B388" s="51" t="s">
        <v>1453</v>
      </c>
      <c r="C388" s="51" t="s">
        <v>1460</v>
      </c>
      <c r="D388" s="51" t="s">
        <v>366</v>
      </c>
      <c r="E388" s="51" t="b">
        <v>0</v>
      </c>
      <c r="F388" t="b">
        <v>0</v>
      </c>
      <c r="H388" s="646"/>
      <c r="M388" s="646"/>
      <c r="R388" s="646"/>
    </row>
    <row r="389">
      <c r="A389" s="51" t="s">
        <v>1452</v>
      </c>
      <c r="B389" s="51" t="s">
        <v>1457</v>
      </c>
      <c r="C389" s="51" t="s">
        <v>1461</v>
      </c>
      <c r="D389" s="51" t="s">
        <v>366</v>
      </c>
      <c r="E389" s="51" t="b">
        <v>0</v>
      </c>
      <c r="F389" t="b">
        <v>0</v>
      </c>
      <c r="H389" s="646"/>
      <c r="M389" s="646"/>
      <c r="R389" s="646"/>
    </row>
    <row r="390">
      <c r="A390" s="51" t="s">
        <v>1462</v>
      </c>
      <c r="B390" s="51" t="s">
        <v>1463</v>
      </c>
      <c r="C390" s="51" t="s">
        <v>1464</v>
      </c>
      <c r="D390" s="51" t="s">
        <v>366</v>
      </c>
      <c r="E390" s="51" t="b">
        <v>0</v>
      </c>
      <c r="F390" t="b">
        <v>0</v>
      </c>
      <c r="H390" s="646"/>
      <c r="M390" s="646"/>
      <c r="R390" s="646"/>
    </row>
    <row r="391">
      <c r="A391" s="51" t="s">
        <v>1465</v>
      </c>
      <c r="B391" s="51" t="s">
        <v>1466</v>
      </c>
      <c r="C391" s="51" t="s">
        <v>1467</v>
      </c>
      <c r="D391" s="51" t="s">
        <v>366</v>
      </c>
      <c r="E391" s="51" t="b">
        <v>0</v>
      </c>
      <c r="F391" t="b">
        <v>0</v>
      </c>
      <c r="H391" s="646"/>
      <c r="M391" s="646"/>
      <c r="R391" s="646"/>
    </row>
    <row r="392">
      <c r="A392" s="51" t="s">
        <v>1468</v>
      </c>
      <c r="B392" s="51" t="s">
        <v>1469</v>
      </c>
      <c r="C392" s="51" t="s">
        <v>1470</v>
      </c>
      <c r="D392" s="51" t="s">
        <v>370</v>
      </c>
      <c r="E392" s="51" t="b">
        <v>0</v>
      </c>
      <c r="F392" t="b">
        <v>0</v>
      </c>
      <c r="H392" s="646"/>
      <c r="M392" s="646"/>
      <c r="R392" s="646"/>
    </row>
    <row r="393">
      <c r="A393" s="51" t="s">
        <v>1471</v>
      </c>
      <c r="B393" s="51" t="s">
        <v>836</v>
      </c>
      <c r="C393" s="51" t="s">
        <v>1472</v>
      </c>
      <c r="D393" s="51" t="s">
        <v>366</v>
      </c>
      <c r="E393" s="51" t="b">
        <v>0</v>
      </c>
      <c r="F393" t="b">
        <v>0</v>
      </c>
      <c r="H393" s="646"/>
      <c r="M393" s="646"/>
      <c r="R393" s="646"/>
    </row>
    <row r="394">
      <c r="A394" s="51" t="s">
        <v>1473</v>
      </c>
      <c r="B394" s="51" t="s">
        <v>1474</v>
      </c>
      <c r="C394" s="51" t="s">
        <v>1475</v>
      </c>
      <c r="D394" s="51" t="s">
        <v>366</v>
      </c>
      <c r="E394" s="51" t="b">
        <v>0</v>
      </c>
      <c r="F394" t="b">
        <v>0</v>
      </c>
      <c r="H394" s="646"/>
      <c r="M394" s="646"/>
      <c r="R394" s="646"/>
    </row>
    <row r="395">
      <c r="A395" s="51" t="s">
        <v>1476</v>
      </c>
      <c r="B395" s="51" t="s">
        <v>1477</v>
      </c>
      <c r="C395" s="51" t="s">
        <v>1478</v>
      </c>
      <c r="D395" s="51" t="s">
        <v>366</v>
      </c>
      <c r="E395" s="51" t="b">
        <v>0</v>
      </c>
      <c r="F395" t="b">
        <v>0</v>
      </c>
      <c r="H395" s="646"/>
      <c r="M395" s="646"/>
      <c r="R395" s="646"/>
    </row>
    <row r="396">
      <c r="A396" s="51" t="s">
        <v>1479</v>
      </c>
      <c r="B396" s="51" t="s">
        <v>1480</v>
      </c>
      <c r="C396" s="51" t="s">
        <v>1481</v>
      </c>
      <c r="D396" s="51" t="s">
        <v>366</v>
      </c>
      <c r="E396" s="51" t="b">
        <v>0</v>
      </c>
      <c r="F396" t="b">
        <v>0</v>
      </c>
      <c r="H396" s="646"/>
      <c r="M396" s="646"/>
      <c r="R396" s="646"/>
    </row>
    <row r="397">
      <c r="A397" s="51" t="s">
        <v>1482</v>
      </c>
      <c r="B397" s="51" t="s">
        <v>393</v>
      </c>
      <c r="C397" s="51" t="s">
        <v>1483</v>
      </c>
      <c r="D397" s="51" t="s">
        <v>366</v>
      </c>
      <c r="E397" t="b">
        <v>0</v>
      </c>
      <c r="F397" t="b">
        <v>0</v>
      </c>
      <c r="H397" s="646"/>
      <c r="M397" s="646"/>
      <c r="R397" s="646"/>
    </row>
    <row r="398">
      <c r="A398" s="51" t="s">
        <v>1484</v>
      </c>
      <c r="B398" s="51" t="s">
        <v>1485</v>
      </c>
      <c r="C398" s="51" t="s">
        <v>1486</v>
      </c>
      <c r="D398" s="51" t="s">
        <v>366</v>
      </c>
      <c r="E398" s="51" t="b">
        <v>0</v>
      </c>
      <c r="F398" t="b">
        <v>0</v>
      </c>
      <c r="H398" s="646"/>
      <c r="M398" s="646"/>
      <c r="R398" s="646"/>
    </row>
    <row r="399">
      <c r="A399" s="51" t="s">
        <v>1487</v>
      </c>
      <c r="B399" s="51" t="s">
        <v>1488</v>
      </c>
      <c r="C399" s="51" t="s">
        <v>1489</v>
      </c>
      <c r="D399" s="51" t="s">
        <v>366</v>
      </c>
      <c r="E399" t="b">
        <v>0</v>
      </c>
      <c r="F399" t="b">
        <v>0</v>
      </c>
      <c r="H399" s="646"/>
      <c r="M399" s="646"/>
      <c r="R399" s="646"/>
    </row>
    <row r="400">
      <c r="A400" s="51" t="s">
        <v>612</v>
      </c>
      <c r="B400" s="51" t="s">
        <v>684</v>
      </c>
      <c r="C400" s="51" t="s">
        <v>1490</v>
      </c>
      <c r="D400" s="51" t="s">
        <v>366</v>
      </c>
      <c r="E400" s="51" t="b">
        <v>1</v>
      </c>
      <c r="F400" s="51" t="b">
        <v>1</v>
      </c>
      <c r="H400" s="646"/>
      <c r="M400" s="646"/>
      <c r="R400" s="646"/>
    </row>
    <row r="401">
      <c r="A401" s="51" t="s">
        <v>560</v>
      </c>
      <c r="B401" s="51" t="s">
        <v>561</v>
      </c>
      <c r="C401" s="51" t="s">
        <v>1491</v>
      </c>
      <c r="D401" s="51" t="s">
        <v>366</v>
      </c>
      <c r="E401" t="b">
        <v>0</v>
      </c>
      <c r="F401" t="b">
        <v>0</v>
      </c>
      <c r="H401" s="646"/>
      <c r="M401" s="646"/>
      <c r="R401" s="646"/>
    </row>
    <row r="402">
      <c r="A402" s="51" t="s">
        <v>560</v>
      </c>
      <c r="B402" s="51" t="s">
        <v>561</v>
      </c>
      <c r="C402" s="51" t="s">
        <v>1492</v>
      </c>
      <c r="D402" s="51" t="s">
        <v>366</v>
      </c>
      <c r="E402" t="b">
        <v>0</v>
      </c>
      <c r="F402" t="b">
        <v>0</v>
      </c>
      <c r="H402" s="646"/>
      <c r="M402" s="646"/>
      <c r="R402" s="646"/>
    </row>
    <row r="403">
      <c r="A403" s="51" t="s">
        <v>560</v>
      </c>
      <c r="B403" s="51" t="s">
        <v>561</v>
      </c>
      <c r="C403" s="51" t="s">
        <v>1493</v>
      </c>
      <c r="D403" s="51" t="s">
        <v>366</v>
      </c>
      <c r="E403" t="b">
        <v>0</v>
      </c>
      <c r="F403" t="b">
        <v>0</v>
      </c>
      <c r="H403" s="646"/>
      <c r="M403" s="646"/>
      <c r="R403" s="646"/>
    </row>
    <row r="404">
      <c r="A404" s="51" t="s">
        <v>1494</v>
      </c>
      <c r="C404" s="51" t="s">
        <v>1495</v>
      </c>
      <c r="D404" s="51" t="s">
        <v>366</v>
      </c>
      <c r="E404" s="51" t="b">
        <v>0</v>
      </c>
      <c r="F404" t="b">
        <v>0</v>
      </c>
      <c r="H404" s="646"/>
      <c r="M404" s="646"/>
      <c r="R404" s="646"/>
    </row>
    <row r="405">
      <c r="A405" s="51" t="s">
        <v>1496</v>
      </c>
      <c r="C405" s="51" t="s">
        <v>1497</v>
      </c>
      <c r="D405" s="51" t="s">
        <v>366</v>
      </c>
      <c r="E405" s="51" t="b">
        <v>0</v>
      </c>
      <c r="F405" t="b">
        <v>0</v>
      </c>
      <c r="H405" s="646"/>
      <c r="M405" s="646"/>
      <c r="R405" s="646"/>
    </row>
    <row r="406">
      <c r="A406" s="51" t="s">
        <v>1498</v>
      </c>
      <c r="B406" s="51" t="s">
        <v>1499</v>
      </c>
      <c r="C406" s="51" t="s">
        <v>1500</v>
      </c>
      <c r="D406" s="51" t="s">
        <v>366</v>
      </c>
      <c r="E406" s="51" t="b">
        <v>0</v>
      </c>
      <c r="F406" t="b">
        <v>0</v>
      </c>
      <c r="H406" s="646"/>
      <c r="M406" s="646"/>
      <c r="R406" s="646"/>
    </row>
    <row r="407">
      <c r="A407" s="51" t="s">
        <v>1501</v>
      </c>
      <c r="B407" s="51" t="s">
        <v>1502</v>
      </c>
      <c r="C407" s="51" t="s">
        <v>1503</v>
      </c>
      <c r="D407" s="51" t="s">
        <v>366</v>
      </c>
      <c r="E407" s="51" t="b">
        <v>0</v>
      </c>
      <c r="F407" t="b">
        <v>0</v>
      </c>
      <c r="H407" s="646"/>
      <c r="M407" s="646"/>
      <c r="R407" s="646"/>
    </row>
    <row r="408">
      <c r="A408" s="51" t="s">
        <v>1504</v>
      </c>
      <c r="B408" s="51" t="s">
        <v>440</v>
      </c>
      <c r="C408" s="51" t="s">
        <v>1505</v>
      </c>
      <c r="D408" s="51" t="s">
        <v>366</v>
      </c>
      <c r="E408" t="b">
        <v>0</v>
      </c>
      <c r="F408" t="b">
        <v>0</v>
      </c>
      <c r="H408" s="646"/>
      <c r="M408" s="646"/>
      <c r="R408" s="646"/>
    </row>
    <row r="409">
      <c r="A409" s="51" t="s">
        <v>565</v>
      </c>
      <c r="B409" s="51" t="s">
        <v>566</v>
      </c>
      <c r="C409" s="51" t="s">
        <v>1506</v>
      </c>
      <c r="D409" s="51" t="s">
        <v>366</v>
      </c>
      <c r="E409" s="51" t="b">
        <v>0</v>
      </c>
      <c r="F409" t="b">
        <v>0</v>
      </c>
      <c r="H409" s="646"/>
      <c r="M409" s="646"/>
      <c r="R409" s="646"/>
    </row>
    <row r="410">
      <c r="A410" s="51" t="s">
        <v>565</v>
      </c>
      <c r="B410" s="51" t="s">
        <v>566</v>
      </c>
      <c r="C410" s="51" t="s">
        <v>1507</v>
      </c>
      <c r="D410" s="51" t="s">
        <v>366</v>
      </c>
      <c r="E410" s="51" t="b">
        <v>0</v>
      </c>
      <c r="F410" t="b">
        <v>0</v>
      </c>
      <c r="H410" s="646"/>
      <c r="M410" s="646"/>
      <c r="R410" s="646"/>
    </row>
    <row r="411">
      <c r="A411" s="51" t="s">
        <v>1508</v>
      </c>
      <c r="B411" s="51" t="s">
        <v>1509</v>
      </c>
      <c r="C411" s="51" t="s">
        <v>1510</v>
      </c>
      <c r="D411" s="51" t="s">
        <v>366</v>
      </c>
      <c r="E411" t="b">
        <v>0</v>
      </c>
      <c r="F411" t="b">
        <v>0</v>
      </c>
      <c r="H411" s="646"/>
      <c r="M411" s="646"/>
      <c r="R411" s="646"/>
    </row>
    <row r="412">
      <c r="A412" s="51" t="s">
        <v>1511</v>
      </c>
      <c r="B412" s="51" t="s">
        <v>1306</v>
      </c>
      <c r="C412" s="51" t="s">
        <v>1512</v>
      </c>
      <c r="D412" s="51" t="s">
        <v>366</v>
      </c>
      <c r="E412" s="51" t="b">
        <v>0</v>
      </c>
      <c r="F412" t="b">
        <v>0</v>
      </c>
      <c r="H412" s="646"/>
      <c r="M412" s="646"/>
      <c r="R412" s="646"/>
    </row>
    <row r="413">
      <c r="A413" s="51" t="s">
        <v>1513</v>
      </c>
      <c r="B413" s="51" t="s">
        <v>1006</v>
      </c>
      <c r="C413" s="51" t="s">
        <v>1514</v>
      </c>
      <c r="D413" s="51" t="s">
        <v>366</v>
      </c>
      <c r="E413" s="51" t="b">
        <v>0</v>
      </c>
      <c r="F413" t="b">
        <v>0</v>
      </c>
      <c r="H413" s="646"/>
      <c r="M413" s="646"/>
      <c r="R413" s="646"/>
    </row>
    <row r="414">
      <c r="A414" s="51" t="s">
        <v>1513</v>
      </c>
      <c r="B414" s="51" t="s">
        <v>1006</v>
      </c>
      <c r="C414" s="51" t="s">
        <v>1515</v>
      </c>
      <c r="D414" s="51" t="s">
        <v>366</v>
      </c>
      <c r="E414" s="51" t="b">
        <v>0</v>
      </c>
      <c r="F414" t="b">
        <v>0</v>
      </c>
      <c r="H414" s="646"/>
      <c r="M414" s="646"/>
      <c r="R414" s="646"/>
    </row>
    <row r="415">
      <c r="A415" s="51" t="s">
        <v>1513</v>
      </c>
      <c r="B415" s="51" t="s">
        <v>1006</v>
      </c>
      <c r="C415" s="51" t="s">
        <v>1516</v>
      </c>
      <c r="D415" s="51" t="s">
        <v>366</v>
      </c>
      <c r="E415" s="51" t="b">
        <v>0</v>
      </c>
      <c r="F415" t="b">
        <v>0</v>
      </c>
      <c r="H415" s="646"/>
      <c r="M415" s="646"/>
      <c r="R415" s="646"/>
    </row>
    <row r="416">
      <c r="A416" s="51" t="s">
        <v>1513</v>
      </c>
      <c r="B416" s="51" t="s">
        <v>1006</v>
      </c>
      <c r="C416" s="51" t="s">
        <v>1517</v>
      </c>
      <c r="D416" s="51" t="s">
        <v>366</v>
      </c>
      <c r="E416" s="51" t="b">
        <v>0</v>
      </c>
      <c r="F416" t="b">
        <v>0</v>
      </c>
      <c r="H416" s="646"/>
      <c r="M416" s="646"/>
      <c r="R416" s="646"/>
    </row>
    <row r="417">
      <c r="A417" s="51" t="s">
        <v>1513</v>
      </c>
      <c r="B417" s="51" t="s">
        <v>1006</v>
      </c>
      <c r="C417" s="51" t="s">
        <v>1518</v>
      </c>
      <c r="D417" s="51" t="s">
        <v>366</v>
      </c>
      <c r="E417" s="51" t="b">
        <v>0</v>
      </c>
      <c r="F417" t="b">
        <v>0</v>
      </c>
      <c r="H417" s="646"/>
      <c r="M417" s="646"/>
      <c r="R417" s="646"/>
    </row>
    <row r="418">
      <c r="A418" s="51" t="s">
        <v>1519</v>
      </c>
      <c r="B418" s="51" t="s">
        <v>1520</v>
      </c>
      <c r="C418" s="51" t="s">
        <v>1521</v>
      </c>
      <c r="D418" s="51" t="s">
        <v>366</v>
      </c>
      <c r="E418" s="51" t="b">
        <v>0</v>
      </c>
      <c r="F418" t="b">
        <v>0</v>
      </c>
      <c r="H418" s="646"/>
      <c r="M418" s="646"/>
      <c r="R418" s="646"/>
    </row>
    <row r="419">
      <c r="A419" s="51" t="s">
        <v>1522</v>
      </c>
      <c r="B419" s="51" t="s">
        <v>1523</v>
      </c>
      <c r="C419" s="51" t="s">
        <v>1524</v>
      </c>
      <c r="D419" s="51" t="s">
        <v>366</v>
      </c>
      <c r="E419" s="51" t="b">
        <v>0</v>
      </c>
      <c r="F419" t="b">
        <v>0</v>
      </c>
      <c r="H419" s="646"/>
      <c r="M419" s="646"/>
      <c r="R419" s="646"/>
    </row>
    <row r="420">
      <c r="A420" s="51" t="s">
        <v>1525</v>
      </c>
      <c r="B420" s="51" t="s">
        <v>1104</v>
      </c>
      <c r="C420" s="51" t="s">
        <v>1526</v>
      </c>
      <c r="D420" s="51" t="s">
        <v>366</v>
      </c>
      <c r="E420" s="51" t="b">
        <v>0</v>
      </c>
      <c r="F420" t="b">
        <v>0</v>
      </c>
      <c r="H420" s="646"/>
      <c r="M420" s="646"/>
      <c r="R420" s="646"/>
    </row>
    <row r="421">
      <c r="A421" s="51" t="s">
        <v>1527</v>
      </c>
      <c r="B421" s="51" t="s">
        <v>1528</v>
      </c>
      <c r="C421" s="51" t="s">
        <v>1529</v>
      </c>
      <c r="D421" s="51" t="s">
        <v>366</v>
      </c>
      <c r="E421" t="b">
        <v>0</v>
      </c>
      <c r="F421" t="b">
        <v>0</v>
      </c>
      <c r="H421" s="646"/>
      <c r="M421" s="646"/>
      <c r="R421" s="646"/>
    </row>
    <row r="422">
      <c r="A422" s="51" t="s">
        <v>1530</v>
      </c>
      <c r="B422" s="51" t="s">
        <v>1531</v>
      </c>
      <c r="C422" s="51" t="s">
        <v>1532</v>
      </c>
      <c r="D422" s="51" t="s">
        <v>366</v>
      </c>
      <c r="E422" s="51" t="b">
        <v>0</v>
      </c>
      <c r="F422" t="b">
        <v>0</v>
      </c>
      <c r="H422" s="646"/>
      <c r="M422" s="646"/>
      <c r="R422" s="646"/>
    </row>
    <row r="423">
      <c r="A423" s="51" t="s">
        <v>1533</v>
      </c>
      <c r="B423" s="51" t="s">
        <v>1534</v>
      </c>
      <c r="C423" s="51" t="s">
        <v>1535</v>
      </c>
      <c r="D423" s="51" t="s">
        <v>370</v>
      </c>
      <c r="E423" s="51" t="b">
        <v>0</v>
      </c>
      <c r="F423" t="b">
        <v>0</v>
      </c>
      <c r="H423" s="646"/>
      <c r="M423" s="646"/>
      <c r="R423" s="646"/>
    </row>
    <row r="424">
      <c r="A424" s="51" t="s">
        <v>1536</v>
      </c>
      <c r="B424" s="51" t="s">
        <v>1537</v>
      </c>
      <c r="C424" s="51" t="s">
        <v>1538</v>
      </c>
      <c r="D424" s="51" t="s">
        <v>370</v>
      </c>
      <c r="E424" s="51" t="b">
        <v>0</v>
      </c>
      <c r="F424" t="b">
        <v>0</v>
      </c>
      <c r="H424" s="646"/>
      <c r="M424" s="646"/>
      <c r="R424" s="646"/>
    </row>
    <row r="425">
      <c r="A425" s="51" t="s">
        <v>679</v>
      </c>
      <c r="B425" s="51" t="s">
        <v>575</v>
      </c>
      <c r="C425" s="51" t="s">
        <v>1539</v>
      </c>
      <c r="D425" s="51" t="s">
        <v>366</v>
      </c>
      <c r="E425" s="51" t="b">
        <v>0</v>
      </c>
      <c r="F425" t="b">
        <v>0</v>
      </c>
      <c r="H425" s="646"/>
      <c r="M425" s="646"/>
      <c r="R425" s="646"/>
    </row>
    <row r="426">
      <c r="A426" s="51" t="s">
        <v>679</v>
      </c>
      <c r="B426" s="51" t="s">
        <v>575</v>
      </c>
      <c r="C426" s="51" t="s">
        <v>1540</v>
      </c>
      <c r="D426" s="51" t="s">
        <v>366</v>
      </c>
      <c r="E426" s="51" t="b">
        <v>0</v>
      </c>
      <c r="F426" t="b">
        <v>0</v>
      </c>
      <c r="H426" s="646"/>
      <c r="M426" s="646"/>
      <c r="R426" s="646"/>
    </row>
    <row r="427">
      <c r="A427" s="51" t="s">
        <v>1541</v>
      </c>
      <c r="B427" s="51" t="s">
        <v>1542</v>
      </c>
      <c r="C427" s="51" t="s">
        <v>1543</v>
      </c>
      <c r="D427" s="51" t="s">
        <v>370</v>
      </c>
      <c r="E427" s="51" t="b">
        <v>0</v>
      </c>
      <c r="F427" t="b">
        <v>0</v>
      </c>
      <c r="H427" s="646"/>
      <c r="M427" s="646"/>
      <c r="R427" s="646"/>
    </row>
    <row r="428">
      <c r="A428" s="51" t="s">
        <v>1541</v>
      </c>
      <c r="B428" s="51" t="s">
        <v>1542</v>
      </c>
      <c r="C428" s="51" t="s">
        <v>1544</v>
      </c>
      <c r="D428" s="51" t="s">
        <v>370</v>
      </c>
      <c r="E428" s="51" t="b">
        <v>0</v>
      </c>
      <c r="F428" t="b">
        <v>0</v>
      </c>
      <c r="H428" s="646"/>
      <c r="M428" s="646"/>
      <c r="R428" s="646"/>
    </row>
    <row r="429">
      <c r="A429" s="51" t="s">
        <v>1541</v>
      </c>
      <c r="B429" s="51" t="s">
        <v>1542</v>
      </c>
      <c r="C429" s="51" t="s">
        <v>1545</v>
      </c>
      <c r="D429" s="51" t="s">
        <v>370</v>
      </c>
      <c r="E429" s="51" t="b">
        <v>0</v>
      </c>
      <c r="F429" t="b">
        <v>0</v>
      </c>
      <c r="H429" s="646"/>
      <c r="M429" s="646"/>
      <c r="R429" s="646"/>
    </row>
    <row r="430">
      <c r="A430" s="51" t="s">
        <v>1546</v>
      </c>
      <c r="B430" s="51" t="s">
        <v>1165</v>
      </c>
      <c r="C430" s="51" t="s">
        <v>1547</v>
      </c>
      <c r="D430" s="51" t="s">
        <v>366</v>
      </c>
      <c r="E430" s="51" t="b">
        <v>0</v>
      </c>
      <c r="F430" t="b">
        <v>0</v>
      </c>
      <c r="H430" s="646"/>
      <c r="M430" s="646"/>
      <c r="R430" s="646"/>
    </row>
    <row r="431">
      <c r="A431" s="51" t="s">
        <v>1548</v>
      </c>
      <c r="B431" s="51" t="s">
        <v>1549</v>
      </c>
      <c r="C431" s="51" t="s">
        <v>1550</v>
      </c>
      <c r="D431" s="51" t="s">
        <v>366</v>
      </c>
      <c r="E431" s="51" t="b">
        <v>0</v>
      </c>
      <c r="F431" t="b">
        <v>0</v>
      </c>
      <c r="H431" s="646"/>
      <c r="M431" s="646"/>
      <c r="R431" s="646"/>
    </row>
    <row r="432">
      <c r="A432" s="51" t="s">
        <v>1548</v>
      </c>
      <c r="B432" s="51" t="s">
        <v>1549</v>
      </c>
      <c r="C432" s="51" t="s">
        <v>1551</v>
      </c>
      <c r="D432" s="51" t="s">
        <v>366</v>
      </c>
      <c r="E432" s="51" t="b">
        <v>0</v>
      </c>
      <c r="F432" t="b">
        <v>0</v>
      </c>
      <c r="H432" s="646"/>
      <c r="M432" s="646"/>
      <c r="R432" s="646"/>
    </row>
    <row r="433">
      <c r="A433" s="51" t="s">
        <v>1552</v>
      </c>
      <c r="B433" s="51" t="s">
        <v>785</v>
      </c>
      <c r="C433" s="51" t="s">
        <v>1553</v>
      </c>
      <c r="D433" s="51" t="s">
        <v>366</v>
      </c>
      <c r="E433" s="51" t="b">
        <v>0</v>
      </c>
      <c r="F433" t="b">
        <v>0</v>
      </c>
      <c r="H433" s="646"/>
      <c r="M433" s="646"/>
      <c r="R433" s="646"/>
    </row>
    <row r="434">
      <c r="A434" s="51" t="s">
        <v>1554</v>
      </c>
      <c r="B434" s="51" t="s">
        <v>1555</v>
      </c>
      <c r="C434" s="650" t="s">
        <v>1556</v>
      </c>
      <c r="D434" s="51" t="s">
        <v>366</v>
      </c>
      <c r="E434" s="51" t="b">
        <v>0</v>
      </c>
      <c r="F434" t="b">
        <v>0</v>
      </c>
      <c r="H434" s="646"/>
      <c r="M434" s="646"/>
      <c r="R434" s="646"/>
    </row>
    <row r="435">
      <c r="A435" s="51" t="s">
        <v>1557</v>
      </c>
      <c r="B435" s="51" t="s">
        <v>1558</v>
      </c>
      <c r="C435" s="51" t="s">
        <v>1559</v>
      </c>
      <c r="D435" s="51" t="s">
        <v>366</v>
      </c>
      <c r="E435" s="51" t="b">
        <v>0</v>
      </c>
      <c r="F435" t="b">
        <v>0</v>
      </c>
      <c r="H435" s="646"/>
      <c r="M435" s="646"/>
      <c r="R435" s="646"/>
    </row>
    <row r="436">
      <c r="A436" s="51" t="s">
        <v>1557</v>
      </c>
      <c r="B436" s="51" t="s">
        <v>1558</v>
      </c>
      <c r="C436" s="51" t="s">
        <v>1560</v>
      </c>
      <c r="D436" s="51" t="s">
        <v>366</v>
      </c>
      <c r="E436" s="51" t="b">
        <v>0</v>
      </c>
      <c r="F436" t="b">
        <v>0</v>
      </c>
      <c r="H436" s="646"/>
      <c r="M436" s="646"/>
      <c r="R436" s="646"/>
    </row>
    <row r="437">
      <c r="A437" s="51" t="s">
        <v>1561</v>
      </c>
      <c r="B437" s="51" t="s">
        <v>1562</v>
      </c>
      <c r="C437" s="51" t="s">
        <v>1563</v>
      </c>
      <c r="D437" s="51" t="s">
        <v>366</v>
      </c>
      <c r="E437" s="51" t="b">
        <v>0</v>
      </c>
      <c r="F437" t="b">
        <v>0</v>
      </c>
      <c r="H437" s="646"/>
      <c r="M437" s="646"/>
      <c r="R437" s="646"/>
    </row>
    <row r="438">
      <c r="A438" s="51" t="s">
        <v>1564</v>
      </c>
      <c r="B438" s="51" t="s">
        <v>1174</v>
      </c>
      <c r="C438" s="51" t="s">
        <v>1565</v>
      </c>
      <c r="D438" s="51" t="s">
        <v>370</v>
      </c>
      <c r="E438" s="51" t="b">
        <v>0</v>
      </c>
      <c r="F438" t="b">
        <v>0</v>
      </c>
      <c r="H438" s="646"/>
      <c r="M438" s="646"/>
      <c r="R438" s="646"/>
    </row>
    <row r="439">
      <c r="A439" s="51" t="s">
        <v>1566</v>
      </c>
      <c r="B439" s="51" t="s">
        <v>658</v>
      </c>
      <c r="C439" s="51" t="s">
        <v>1567</v>
      </c>
      <c r="D439" s="51" t="s">
        <v>370</v>
      </c>
      <c r="E439" s="51" t="b">
        <v>0</v>
      </c>
      <c r="F439" t="b">
        <v>0</v>
      </c>
      <c r="H439" s="646"/>
      <c r="M439" s="646"/>
      <c r="R439" s="646"/>
    </row>
    <row r="440">
      <c r="A440" s="51" t="s">
        <v>1568</v>
      </c>
      <c r="B440" s="51" t="s">
        <v>1569</v>
      </c>
      <c r="C440" s="51" t="s">
        <v>1570</v>
      </c>
      <c r="D440" s="51" t="s">
        <v>366</v>
      </c>
      <c r="E440" s="51" t="b">
        <v>0</v>
      </c>
      <c r="F440" t="b">
        <v>0</v>
      </c>
      <c r="H440" s="646"/>
      <c r="M440" s="646"/>
      <c r="R440" s="646"/>
    </row>
    <row r="441">
      <c r="A441" s="51" t="s">
        <v>1571</v>
      </c>
      <c r="B441" s="51" t="s">
        <v>1572</v>
      </c>
      <c r="C441" s="51" t="s">
        <v>1573</v>
      </c>
      <c r="D441" s="51" t="s">
        <v>366</v>
      </c>
      <c r="E441" t="b">
        <v>0</v>
      </c>
      <c r="F441" t="b">
        <v>0</v>
      </c>
      <c r="H441" s="646"/>
      <c r="M441" s="646"/>
      <c r="R441" s="646"/>
    </row>
    <row r="442">
      <c r="A442" s="51" t="s">
        <v>1574</v>
      </c>
      <c r="B442" s="51" t="s">
        <v>437</v>
      </c>
      <c r="C442" s="51" t="s">
        <v>1575</v>
      </c>
      <c r="D442" s="51" t="s">
        <v>366</v>
      </c>
      <c r="E442" s="51" t="b">
        <v>0</v>
      </c>
      <c r="F442" t="b">
        <v>0</v>
      </c>
      <c r="H442" s="646"/>
      <c r="M442" s="646"/>
      <c r="R442" s="646"/>
    </row>
    <row r="443">
      <c r="A443" s="51" t="s">
        <v>1576</v>
      </c>
      <c r="B443" s="51" t="s">
        <v>1577</v>
      </c>
      <c r="C443" s="51" t="s">
        <v>1578</v>
      </c>
      <c r="D443" s="51" t="s">
        <v>366</v>
      </c>
      <c r="E443" s="51" t="b">
        <v>0</v>
      </c>
      <c r="F443" t="b">
        <v>0</v>
      </c>
      <c r="H443" s="646"/>
      <c r="M443" s="646"/>
      <c r="R443" s="646"/>
    </row>
    <row r="444">
      <c r="A444" s="51" t="s">
        <v>1579</v>
      </c>
      <c r="B444" s="51" t="s">
        <v>1580</v>
      </c>
      <c r="C444" s="51" t="s">
        <v>1581</v>
      </c>
      <c r="D444" s="51" t="s">
        <v>366</v>
      </c>
      <c r="E444" s="51" t="b">
        <v>0</v>
      </c>
      <c r="F444" t="b">
        <v>0</v>
      </c>
      <c r="H444" s="646"/>
      <c r="M444" s="646"/>
      <c r="R444" s="646"/>
    </row>
    <row r="445">
      <c r="A445" s="51" t="s">
        <v>1579</v>
      </c>
      <c r="B445" s="51" t="s">
        <v>1580</v>
      </c>
      <c r="C445" s="51" t="s">
        <v>1582</v>
      </c>
      <c r="D445" s="51" t="s">
        <v>366</v>
      </c>
      <c r="E445" s="51" t="b">
        <v>0</v>
      </c>
      <c r="F445" t="b">
        <v>0</v>
      </c>
      <c r="H445" s="646"/>
      <c r="M445" s="646"/>
      <c r="R445" s="646"/>
    </row>
    <row r="446">
      <c r="A446" s="51" t="s">
        <v>1583</v>
      </c>
      <c r="B446" s="51" t="s">
        <v>1034</v>
      </c>
      <c r="C446" s="51" t="s">
        <v>1584</v>
      </c>
      <c r="D446" s="51" t="s">
        <v>370</v>
      </c>
      <c r="E446" s="51" t="b">
        <v>0</v>
      </c>
      <c r="F446" t="b">
        <v>0</v>
      </c>
      <c r="H446" s="646"/>
      <c r="M446" s="646"/>
      <c r="R446" s="646"/>
    </row>
    <row r="447">
      <c r="A447" s="51" t="s">
        <v>1585</v>
      </c>
      <c r="B447" s="51" t="s">
        <v>1586</v>
      </c>
      <c r="C447" s="51" t="s">
        <v>1587</v>
      </c>
      <c r="D447" s="51" t="s">
        <v>366</v>
      </c>
      <c r="E447" s="51" t="b">
        <v>0</v>
      </c>
      <c r="F447" t="b">
        <v>0</v>
      </c>
      <c r="H447" s="646"/>
      <c r="M447" s="646"/>
      <c r="R447" s="646"/>
    </row>
    <row r="448">
      <c r="A448" s="51" t="s">
        <v>1588</v>
      </c>
      <c r="B448" s="51" t="s">
        <v>1589</v>
      </c>
      <c r="C448" s="51" t="s">
        <v>1590</v>
      </c>
      <c r="D448" s="51" t="s">
        <v>366</v>
      </c>
      <c r="E448" s="51" t="b">
        <v>0</v>
      </c>
      <c r="F448" t="b">
        <v>0</v>
      </c>
      <c r="H448" s="646"/>
      <c r="M448" s="646"/>
      <c r="R448" s="646"/>
    </row>
    <row r="449">
      <c r="A449" s="51" t="s">
        <v>1588</v>
      </c>
      <c r="B449" s="51" t="s">
        <v>1589</v>
      </c>
      <c r="C449" s="51" t="s">
        <v>1591</v>
      </c>
      <c r="D449" s="51" t="s">
        <v>370</v>
      </c>
      <c r="E449" t="b">
        <v>0</v>
      </c>
      <c r="F449" t="b">
        <v>0</v>
      </c>
      <c r="H449" s="646"/>
      <c r="M449" s="646"/>
      <c r="R449" s="646"/>
    </row>
    <row r="450">
      <c r="A450" s="51" t="s">
        <v>1592</v>
      </c>
      <c r="B450" s="51" t="s">
        <v>471</v>
      </c>
      <c r="C450" s="51" t="s">
        <v>1593</v>
      </c>
      <c r="D450" s="51" t="s">
        <v>366</v>
      </c>
      <c r="E450" s="51" t="b">
        <v>0</v>
      </c>
      <c r="F450" t="b">
        <v>0</v>
      </c>
      <c r="G450" s="51" t="s">
        <v>1594</v>
      </c>
      <c r="H450" s="646"/>
      <c r="M450" s="646"/>
      <c r="R450" s="646"/>
    </row>
    <row r="451">
      <c r="A451" s="51" t="s">
        <v>1595</v>
      </c>
      <c r="B451" s="51" t="s">
        <v>1596</v>
      </c>
      <c r="C451" s="51" t="s">
        <v>1597</v>
      </c>
      <c r="D451" s="51" t="s">
        <v>366</v>
      </c>
      <c r="E451" s="51" t="b">
        <v>0</v>
      </c>
      <c r="F451" t="b">
        <v>0</v>
      </c>
      <c r="H451" s="646"/>
      <c r="M451" s="646"/>
      <c r="R451" s="646"/>
    </row>
    <row r="452">
      <c r="A452" s="51" t="s">
        <v>1598</v>
      </c>
      <c r="C452" s="51" t="s">
        <v>1599</v>
      </c>
      <c r="D452" s="51" t="s">
        <v>366</v>
      </c>
      <c r="E452" s="51" t="b">
        <v>0</v>
      </c>
      <c r="F452" t="b">
        <v>0</v>
      </c>
      <c r="H452" s="646"/>
      <c r="M452" s="646"/>
      <c r="R452" s="646"/>
    </row>
    <row r="453">
      <c r="A453" s="51" t="s">
        <v>1600</v>
      </c>
      <c r="B453" s="51" t="s">
        <v>1601</v>
      </c>
      <c r="C453" s="51" t="s">
        <v>1602</v>
      </c>
      <c r="D453" s="51" t="s">
        <v>370</v>
      </c>
      <c r="E453" s="51" t="b">
        <v>0</v>
      </c>
      <c r="F453" t="b">
        <v>0</v>
      </c>
      <c r="H453" s="646"/>
      <c r="M453" s="646"/>
      <c r="R453" s="646"/>
    </row>
    <row r="454">
      <c r="A454" s="51" t="s">
        <v>1600</v>
      </c>
      <c r="B454" s="51" t="s">
        <v>1601</v>
      </c>
      <c r="C454" s="51" t="s">
        <v>1603</v>
      </c>
      <c r="D454" s="51" t="s">
        <v>370</v>
      </c>
      <c r="E454" s="51" t="b">
        <v>0</v>
      </c>
      <c r="F454" t="b">
        <v>0</v>
      </c>
      <c r="H454" s="646"/>
      <c r="M454" s="646"/>
      <c r="R454" s="646"/>
    </row>
    <row r="455">
      <c r="A455" s="51" t="s">
        <v>1600</v>
      </c>
      <c r="B455" s="51" t="s">
        <v>1601</v>
      </c>
      <c r="C455" s="51" t="s">
        <v>1604</v>
      </c>
      <c r="D455" s="51" t="s">
        <v>370</v>
      </c>
      <c r="E455" s="51" t="b">
        <v>0</v>
      </c>
      <c r="F455" t="b">
        <v>0</v>
      </c>
      <c r="H455" s="646"/>
      <c r="M455" s="646"/>
      <c r="R455" s="646"/>
    </row>
    <row r="456">
      <c r="A456" s="51" t="s">
        <v>1605</v>
      </c>
      <c r="B456" s="51" t="s">
        <v>1606</v>
      </c>
      <c r="C456" s="51" t="s">
        <v>1607</v>
      </c>
      <c r="D456" s="51" t="s">
        <v>366</v>
      </c>
      <c r="E456" s="51" t="b">
        <v>0</v>
      </c>
      <c r="F456" t="b">
        <v>0</v>
      </c>
      <c r="H456" s="646"/>
      <c r="M456" s="646"/>
      <c r="R456" s="646"/>
    </row>
    <row r="457">
      <c r="A457" s="51" t="s">
        <v>1605</v>
      </c>
      <c r="B457" s="51" t="s">
        <v>1606</v>
      </c>
      <c r="C457" s="51" t="s">
        <v>1608</v>
      </c>
      <c r="D457" s="51" t="s">
        <v>366</v>
      </c>
      <c r="E457" s="51" t="b">
        <v>0</v>
      </c>
      <c r="F457" t="b">
        <v>0</v>
      </c>
      <c r="H457" s="646"/>
      <c r="M457" s="646"/>
      <c r="R457" s="646"/>
    </row>
    <row r="458">
      <c r="A458" s="51" t="s">
        <v>1609</v>
      </c>
      <c r="B458" s="51" t="s">
        <v>1610</v>
      </c>
      <c r="C458" s="51" t="s">
        <v>1611</v>
      </c>
      <c r="D458" s="51" t="s">
        <v>366</v>
      </c>
      <c r="E458" s="51" t="b">
        <v>0</v>
      </c>
      <c r="F458" t="b">
        <v>0</v>
      </c>
      <c r="H458" s="646"/>
      <c r="M458" s="646"/>
      <c r="R458" s="646"/>
    </row>
    <row r="459">
      <c r="A459" s="51" t="s">
        <v>1609</v>
      </c>
      <c r="B459" s="51" t="s">
        <v>1610</v>
      </c>
      <c r="C459" s="651" t="s">
        <v>1611</v>
      </c>
      <c r="D459" s="51" t="s">
        <v>366</v>
      </c>
      <c r="E459" s="51" t="b">
        <v>0</v>
      </c>
      <c r="F459" t="b">
        <v>0</v>
      </c>
      <c r="H459" s="646"/>
      <c r="M459" s="646"/>
      <c r="R459" s="646"/>
    </row>
    <row r="460">
      <c r="A460" s="51" t="s">
        <v>1609</v>
      </c>
      <c r="B460" s="51" t="s">
        <v>1610</v>
      </c>
      <c r="C460" s="51" t="s">
        <v>1612</v>
      </c>
      <c r="D460" s="51" t="s">
        <v>366</v>
      </c>
      <c r="E460" s="51" t="b">
        <v>0</v>
      </c>
      <c r="F460" t="b">
        <v>0</v>
      </c>
      <c r="H460" s="646"/>
      <c r="M460" s="646"/>
      <c r="R460" s="646"/>
    </row>
    <row r="461">
      <c r="A461" s="51" t="s">
        <v>1613</v>
      </c>
      <c r="B461" s="51" t="s">
        <v>1614</v>
      </c>
      <c r="C461" s="51" t="s">
        <v>1615</v>
      </c>
      <c r="D461" s="51" t="s">
        <v>366</v>
      </c>
      <c r="E461" s="51" t="b">
        <v>0</v>
      </c>
      <c r="F461" t="b">
        <v>0</v>
      </c>
      <c r="H461" s="646"/>
      <c r="M461" s="646"/>
      <c r="R461" s="646"/>
    </row>
    <row r="462">
      <c r="A462" s="51" t="s">
        <v>1616</v>
      </c>
      <c r="B462" s="51" t="s">
        <v>778</v>
      </c>
      <c r="C462" s="51" t="s">
        <v>1617</v>
      </c>
      <c r="D462" s="51" t="s">
        <v>366</v>
      </c>
      <c r="E462" s="51" t="b">
        <v>0</v>
      </c>
      <c r="F462" t="b">
        <v>0</v>
      </c>
      <c r="H462" s="646"/>
      <c r="M462" s="646"/>
      <c r="R462" s="646"/>
    </row>
    <row r="463">
      <c r="A463" s="51" t="s">
        <v>1616</v>
      </c>
      <c r="B463" s="51" t="s">
        <v>778</v>
      </c>
      <c r="C463" s="51" t="s">
        <v>1618</v>
      </c>
      <c r="D463" s="51" t="s">
        <v>366</v>
      </c>
      <c r="E463" s="51" t="b">
        <v>0</v>
      </c>
      <c r="F463" t="b">
        <v>0</v>
      </c>
      <c r="H463" s="646"/>
      <c r="M463" s="646"/>
      <c r="R463" s="646"/>
    </row>
    <row r="464">
      <c r="A464" s="51" t="s">
        <v>1616</v>
      </c>
      <c r="B464" s="51" t="s">
        <v>778</v>
      </c>
      <c r="C464" s="51" t="s">
        <v>1619</v>
      </c>
      <c r="D464" s="51" t="s">
        <v>366</v>
      </c>
      <c r="E464" s="51" t="b">
        <v>0</v>
      </c>
      <c r="F464" t="b">
        <v>0</v>
      </c>
      <c r="H464" s="646"/>
      <c r="M464" s="646"/>
      <c r="R464" s="646"/>
    </row>
    <row r="465">
      <c r="A465" s="51" t="s">
        <v>1616</v>
      </c>
      <c r="B465" s="51" t="s">
        <v>778</v>
      </c>
      <c r="C465" s="51" t="s">
        <v>1620</v>
      </c>
      <c r="D465" s="51" t="s">
        <v>366</v>
      </c>
      <c r="E465" t="b">
        <v>0</v>
      </c>
      <c r="F465" t="b">
        <v>0</v>
      </c>
      <c r="H465" s="646"/>
      <c r="M465" s="646"/>
      <c r="R465" s="646"/>
    </row>
    <row r="466">
      <c r="A466" s="51" t="s">
        <v>1621</v>
      </c>
      <c r="B466" s="51" t="s">
        <v>1622</v>
      </c>
      <c r="C466" s="51" t="s">
        <v>1623</v>
      </c>
      <c r="D466" s="51" t="s">
        <v>366</v>
      </c>
      <c r="E466" s="51" t="b">
        <v>0</v>
      </c>
      <c r="F466" t="b">
        <v>0</v>
      </c>
      <c r="H466" s="646"/>
      <c r="M466" s="646"/>
      <c r="R466" s="646"/>
    </row>
    <row r="467">
      <c r="A467" s="51" t="s">
        <v>1624</v>
      </c>
      <c r="B467" s="51" t="s">
        <v>718</v>
      </c>
      <c r="C467" s="51" t="s">
        <v>1625</v>
      </c>
      <c r="D467" s="51" t="s">
        <v>366</v>
      </c>
      <c r="E467" s="51" t="b">
        <v>0</v>
      </c>
      <c r="F467" t="b">
        <v>0</v>
      </c>
      <c r="H467" s="646"/>
      <c r="M467" s="646"/>
      <c r="R467" s="646"/>
    </row>
    <row r="468">
      <c r="A468" s="51" t="s">
        <v>1626</v>
      </c>
      <c r="B468" s="51" t="s">
        <v>1627</v>
      </c>
      <c r="C468" s="51" t="s">
        <v>1628</v>
      </c>
      <c r="D468" s="51" t="s">
        <v>366</v>
      </c>
      <c r="E468" s="51" t="b">
        <v>0</v>
      </c>
      <c r="F468" t="b">
        <v>0</v>
      </c>
      <c r="G468" s="51" t="s">
        <v>1629</v>
      </c>
      <c r="H468" s="646"/>
      <c r="M468" s="646"/>
      <c r="R468" s="646"/>
    </row>
    <row r="469">
      <c r="A469" s="51" t="s">
        <v>1630</v>
      </c>
      <c r="B469" s="51" t="s">
        <v>1631</v>
      </c>
      <c r="C469" s="51" t="s">
        <v>1632</v>
      </c>
      <c r="D469" s="51" t="s">
        <v>370</v>
      </c>
      <c r="E469" s="51" t="b">
        <v>0</v>
      </c>
      <c r="F469" t="b">
        <v>0</v>
      </c>
      <c r="H469" s="646"/>
      <c r="M469" s="646"/>
      <c r="R469" s="646"/>
    </row>
    <row r="470">
      <c r="A470" s="51" t="s">
        <v>1633</v>
      </c>
      <c r="B470" s="51" t="s">
        <v>1634</v>
      </c>
      <c r="C470" s="51" t="s">
        <v>1635</v>
      </c>
      <c r="D470" s="51" t="s">
        <v>366</v>
      </c>
      <c r="E470" s="51" t="b">
        <v>0</v>
      </c>
      <c r="F470" t="b">
        <v>0</v>
      </c>
      <c r="G470" s="51" t="s">
        <v>1163</v>
      </c>
      <c r="H470" s="646"/>
      <c r="M470" s="646"/>
      <c r="R470" s="646"/>
    </row>
    <row r="471">
      <c r="A471" s="51" t="s">
        <v>1636</v>
      </c>
      <c r="B471" s="51" t="s">
        <v>1637</v>
      </c>
      <c r="C471" s="51" t="s">
        <v>1638</v>
      </c>
      <c r="D471" s="51" t="s">
        <v>366</v>
      </c>
      <c r="E471" s="51" t="b">
        <v>0</v>
      </c>
      <c r="F471" t="b">
        <v>0</v>
      </c>
      <c r="H471" s="646"/>
      <c r="M471" s="646"/>
      <c r="R471" s="646"/>
    </row>
    <row r="472">
      <c r="A472" s="51" t="s">
        <v>1639</v>
      </c>
      <c r="B472" s="51" t="s">
        <v>1640</v>
      </c>
      <c r="C472" s="51" t="s">
        <v>1641</v>
      </c>
      <c r="D472" s="51" t="s">
        <v>366</v>
      </c>
      <c r="E472" s="51" t="b">
        <v>0</v>
      </c>
      <c r="F472" t="b">
        <v>0</v>
      </c>
      <c r="H472" s="646"/>
      <c r="M472" s="646"/>
      <c r="R472" s="646"/>
    </row>
    <row r="473">
      <c r="A473" s="51" t="s">
        <v>1639</v>
      </c>
      <c r="B473" s="51" t="s">
        <v>1640</v>
      </c>
      <c r="C473" s="51" t="s">
        <v>1642</v>
      </c>
      <c r="D473" s="51" t="s">
        <v>366</v>
      </c>
      <c r="E473" s="51" t="b">
        <v>0</v>
      </c>
      <c r="F473" t="b">
        <v>0</v>
      </c>
      <c r="H473" s="646"/>
      <c r="M473" s="646"/>
      <c r="R473" s="646"/>
    </row>
    <row r="474">
      <c r="A474" s="51" t="s">
        <v>1643</v>
      </c>
      <c r="B474" s="51" t="s">
        <v>647</v>
      </c>
      <c r="C474" s="51" t="s">
        <v>1644</v>
      </c>
      <c r="D474" s="51" t="s">
        <v>366</v>
      </c>
      <c r="E474" s="51" t="b">
        <v>0</v>
      </c>
      <c r="F474" t="b">
        <v>0</v>
      </c>
      <c r="H474" s="646"/>
      <c r="M474" s="646"/>
      <c r="R474" s="646"/>
    </row>
    <row r="475">
      <c r="A475" s="51" t="s">
        <v>1645</v>
      </c>
      <c r="B475" s="51" t="s">
        <v>1646</v>
      </c>
      <c r="C475" s="51" t="s">
        <v>1647</v>
      </c>
      <c r="D475" s="51" t="s">
        <v>366</v>
      </c>
      <c r="E475" s="51" t="b">
        <v>0</v>
      </c>
      <c r="F475" t="b">
        <v>0</v>
      </c>
      <c r="H475" s="646"/>
      <c r="M475" s="646"/>
      <c r="R475" s="646"/>
    </row>
    <row r="476">
      <c r="A476" s="51" t="s">
        <v>1648</v>
      </c>
      <c r="B476" s="51" t="s">
        <v>1649</v>
      </c>
      <c r="C476" s="51" t="s">
        <v>1650</v>
      </c>
      <c r="D476" s="51" t="s">
        <v>366</v>
      </c>
      <c r="E476" s="51" t="b">
        <v>0</v>
      </c>
      <c r="F476" t="b">
        <v>0</v>
      </c>
      <c r="H476" s="646"/>
      <c r="M476" s="646"/>
      <c r="R476" s="646"/>
    </row>
    <row r="477">
      <c r="A477" s="51" t="s">
        <v>1651</v>
      </c>
      <c r="C477" s="51" t="s">
        <v>1652</v>
      </c>
      <c r="D477" s="51" t="s">
        <v>370</v>
      </c>
      <c r="E477" s="51" t="b">
        <v>0</v>
      </c>
      <c r="F477" t="b">
        <v>0</v>
      </c>
      <c r="H477" s="646"/>
      <c r="M477" s="646"/>
      <c r="R477" s="646"/>
    </row>
    <row r="478">
      <c r="A478" s="51" t="s">
        <v>1653</v>
      </c>
      <c r="B478" s="51" t="s">
        <v>1654</v>
      </c>
      <c r="C478" s="51" t="s">
        <v>1655</v>
      </c>
      <c r="D478" s="51" t="s">
        <v>366</v>
      </c>
      <c r="E478" s="51" t="b">
        <v>0</v>
      </c>
      <c r="F478" t="b">
        <v>0</v>
      </c>
      <c r="G478" s="51" t="s">
        <v>1250</v>
      </c>
      <c r="H478" s="646"/>
      <c r="M478" s="646"/>
      <c r="R478" s="646"/>
    </row>
    <row r="479">
      <c r="A479" s="51" t="s">
        <v>1656</v>
      </c>
      <c r="B479" s="51" t="s">
        <v>1657</v>
      </c>
      <c r="C479" s="51" t="s">
        <v>1658</v>
      </c>
      <c r="D479" s="51" t="s">
        <v>370</v>
      </c>
      <c r="E479" s="51" t="b">
        <v>0</v>
      </c>
      <c r="F479" t="b">
        <v>0</v>
      </c>
      <c r="H479" s="646"/>
      <c r="M479" s="646"/>
      <c r="R479" s="646"/>
    </row>
    <row r="480">
      <c r="A480" s="51" t="s">
        <v>1659</v>
      </c>
      <c r="B480" s="51" t="s">
        <v>1660</v>
      </c>
      <c r="C480" s="51" t="s">
        <v>1661</v>
      </c>
      <c r="D480" s="51" t="s">
        <v>370</v>
      </c>
      <c r="E480" s="51" t="b">
        <v>0</v>
      </c>
      <c r="F480" t="b">
        <v>0</v>
      </c>
      <c r="H480" s="646"/>
      <c r="M480" s="646"/>
      <c r="R480" s="646"/>
    </row>
    <row r="481">
      <c r="A481" s="51" t="s">
        <v>1662</v>
      </c>
      <c r="B481" s="51" t="s">
        <v>1663</v>
      </c>
      <c r="C481" s="51" t="s">
        <v>1664</v>
      </c>
      <c r="D481" s="51" t="s">
        <v>366</v>
      </c>
      <c r="E481" s="51" t="b">
        <v>0</v>
      </c>
      <c r="F481" t="b">
        <v>0</v>
      </c>
      <c r="H481" s="646"/>
      <c r="M481" s="646"/>
      <c r="R481" s="646"/>
    </row>
    <row r="482">
      <c r="A482" s="51" t="s">
        <v>1665</v>
      </c>
      <c r="B482" s="51" t="s">
        <v>640</v>
      </c>
      <c r="C482" s="51" t="s">
        <v>1666</v>
      </c>
      <c r="D482" s="51" t="s">
        <v>366</v>
      </c>
      <c r="E482" s="51" t="b">
        <v>0</v>
      </c>
      <c r="F482" t="b">
        <v>0</v>
      </c>
      <c r="H482" s="646"/>
      <c r="M482" s="646"/>
      <c r="R482" s="646"/>
    </row>
    <row r="483">
      <c r="A483" s="51" t="s">
        <v>1667</v>
      </c>
      <c r="B483" s="51" t="s">
        <v>1668</v>
      </c>
      <c r="C483" s="51" t="s">
        <v>1669</v>
      </c>
      <c r="D483" s="51" t="s">
        <v>366</v>
      </c>
      <c r="E483" s="51" t="b">
        <v>0</v>
      </c>
      <c r="F483" t="b">
        <v>0</v>
      </c>
      <c r="H483" s="646"/>
      <c r="M483" s="646"/>
      <c r="R483" s="646"/>
    </row>
    <row r="484">
      <c r="A484" s="51" t="s">
        <v>1670</v>
      </c>
      <c r="B484" s="51" t="s">
        <v>1671</v>
      </c>
      <c r="C484" s="51" t="s">
        <v>1672</v>
      </c>
      <c r="D484" s="51" t="s">
        <v>366</v>
      </c>
      <c r="E484" s="51" t="b">
        <v>0</v>
      </c>
      <c r="F484" t="b">
        <v>0</v>
      </c>
      <c r="H484" s="646"/>
      <c r="M484" s="646"/>
      <c r="R484" s="646"/>
    </row>
    <row r="485">
      <c r="A485" s="51" t="s">
        <v>1673</v>
      </c>
      <c r="B485" s="51" t="s">
        <v>1674</v>
      </c>
      <c r="C485" s="51" t="s">
        <v>1675</v>
      </c>
      <c r="D485" s="51" t="s">
        <v>366</v>
      </c>
      <c r="E485" t="b">
        <v>0</v>
      </c>
      <c r="F485" t="b">
        <v>0</v>
      </c>
      <c r="H485" s="646"/>
      <c r="M485" s="646"/>
      <c r="R485" s="646"/>
    </row>
    <row r="486">
      <c r="A486" s="51" t="s">
        <v>1676</v>
      </c>
      <c r="B486" s="51" t="s">
        <v>1677</v>
      </c>
      <c r="C486" s="51" t="s">
        <v>1678</v>
      </c>
      <c r="D486" s="51" t="s">
        <v>366</v>
      </c>
      <c r="E486" s="51" t="b">
        <v>0</v>
      </c>
      <c r="F486" t="b">
        <v>0</v>
      </c>
      <c r="H486" s="646"/>
      <c r="M486" s="646"/>
      <c r="R486" s="646"/>
    </row>
    <row r="487">
      <c r="A487" s="51" t="s">
        <v>1676</v>
      </c>
      <c r="B487" s="51" t="s">
        <v>1679</v>
      </c>
      <c r="C487" s="51" t="s">
        <v>1680</v>
      </c>
      <c r="D487" s="51" t="s">
        <v>370</v>
      </c>
      <c r="E487" s="51" t="b">
        <v>0</v>
      </c>
      <c r="F487" t="b">
        <v>0</v>
      </c>
      <c r="H487" s="646"/>
      <c r="M487" s="646"/>
      <c r="R487" s="646"/>
    </row>
    <row r="488">
      <c r="A488" s="51" t="s">
        <v>1676</v>
      </c>
      <c r="B488" s="51" t="s">
        <v>1034</v>
      </c>
      <c r="C488" s="51" t="s">
        <v>1681</v>
      </c>
      <c r="D488" s="51" t="s">
        <v>366</v>
      </c>
      <c r="E488" s="51" t="b">
        <v>0</v>
      </c>
      <c r="F488" t="b">
        <v>0</v>
      </c>
      <c r="H488" s="646"/>
      <c r="M488" s="646"/>
      <c r="R488" s="646"/>
    </row>
    <row r="489">
      <c r="A489" s="51" t="s">
        <v>1676</v>
      </c>
      <c r="B489" s="51" t="s">
        <v>1679</v>
      </c>
      <c r="C489" s="51" t="s">
        <v>1682</v>
      </c>
      <c r="D489" s="51" t="s">
        <v>366</v>
      </c>
      <c r="E489" s="51" t="b">
        <v>0</v>
      </c>
      <c r="F489" t="b">
        <v>0</v>
      </c>
      <c r="H489" s="646"/>
      <c r="M489" s="646"/>
      <c r="R489" s="646"/>
    </row>
    <row r="490">
      <c r="A490" s="51" t="s">
        <v>1683</v>
      </c>
      <c r="B490" s="51" t="s">
        <v>1674</v>
      </c>
      <c r="C490" s="51" t="s">
        <v>1684</v>
      </c>
      <c r="D490" s="51" t="s">
        <v>370</v>
      </c>
      <c r="E490" s="51" t="b">
        <v>0</v>
      </c>
      <c r="F490" t="b">
        <v>0</v>
      </c>
      <c r="H490" s="646"/>
      <c r="M490" s="646"/>
      <c r="R490" s="646"/>
    </row>
    <row r="491">
      <c r="A491" s="51" t="s">
        <v>1685</v>
      </c>
      <c r="B491" s="51" t="s">
        <v>1686</v>
      </c>
      <c r="C491" s="51" t="s">
        <v>1687</v>
      </c>
      <c r="D491" s="51" t="s">
        <v>366</v>
      </c>
      <c r="E491" s="51" t="b">
        <v>0</v>
      </c>
      <c r="F491" t="b">
        <v>0</v>
      </c>
      <c r="H491" s="646"/>
      <c r="M491" s="646"/>
      <c r="R491" s="646"/>
    </row>
    <row r="492">
      <c r="A492" s="51" t="s">
        <v>1685</v>
      </c>
      <c r="B492" s="51" t="s">
        <v>1686</v>
      </c>
      <c r="C492" s="51" t="s">
        <v>1688</v>
      </c>
      <c r="D492" s="51" t="s">
        <v>366</v>
      </c>
      <c r="E492" s="51" t="b">
        <v>0</v>
      </c>
      <c r="F492" t="b">
        <v>0</v>
      </c>
      <c r="H492" s="646"/>
      <c r="M492" s="646"/>
      <c r="R492" s="646"/>
    </row>
    <row r="493">
      <c r="A493" s="51" t="s">
        <v>1689</v>
      </c>
      <c r="B493" s="51" t="s">
        <v>390</v>
      </c>
      <c r="C493" s="51" t="s">
        <v>1690</v>
      </c>
      <c r="D493" s="51" t="s">
        <v>366</v>
      </c>
      <c r="E493" s="51" t="b">
        <v>0</v>
      </c>
      <c r="F493" t="b">
        <v>0</v>
      </c>
      <c r="H493" s="646"/>
      <c r="M493" s="646"/>
      <c r="R493" s="646"/>
    </row>
    <row r="494">
      <c r="A494" s="51" t="s">
        <v>1691</v>
      </c>
      <c r="B494" s="51" t="s">
        <v>1692</v>
      </c>
      <c r="C494" s="51" t="s">
        <v>1693</v>
      </c>
      <c r="D494" s="51" t="s">
        <v>366</v>
      </c>
      <c r="E494" s="51" t="b">
        <v>0</v>
      </c>
      <c r="F494" t="b">
        <v>0</v>
      </c>
      <c r="G494" s="51" t="s">
        <v>1250</v>
      </c>
      <c r="H494" s="646"/>
      <c r="M494" s="646"/>
      <c r="R494" s="646"/>
    </row>
    <row r="495">
      <c r="A495" s="51" t="s">
        <v>1694</v>
      </c>
      <c r="B495" s="51" t="s">
        <v>1695</v>
      </c>
      <c r="C495" s="51" t="s">
        <v>1696</v>
      </c>
      <c r="D495" s="51" t="s">
        <v>366</v>
      </c>
      <c r="E495" s="51" t="b">
        <v>0</v>
      </c>
      <c r="F495" t="b">
        <v>0</v>
      </c>
      <c r="H495" s="646"/>
      <c r="M495" s="646"/>
      <c r="R495" s="646"/>
    </row>
    <row r="496">
      <c r="A496" s="51" t="s">
        <v>1697</v>
      </c>
      <c r="B496" s="51" t="s">
        <v>1698</v>
      </c>
      <c r="C496" s="51" t="s">
        <v>1699</v>
      </c>
      <c r="D496" s="51" t="s">
        <v>366</v>
      </c>
      <c r="E496" s="51" t="b">
        <v>0</v>
      </c>
      <c r="F496" t="b">
        <v>0</v>
      </c>
      <c r="H496" s="646"/>
      <c r="M496" s="646"/>
      <c r="R496" s="646"/>
    </row>
    <row r="497">
      <c r="A497" s="51" t="s">
        <v>1700</v>
      </c>
      <c r="B497" s="51" t="s">
        <v>1701</v>
      </c>
      <c r="C497" s="51" t="s">
        <v>1702</v>
      </c>
      <c r="D497" s="51" t="s">
        <v>370</v>
      </c>
      <c r="E497" s="51" t="b">
        <v>0</v>
      </c>
      <c r="F497" t="b">
        <v>0</v>
      </c>
      <c r="H497" s="646"/>
      <c r="M497" s="646"/>
      <c r="R497" s="646"/>
    </row>
    <row r="498">
      <c r="A498" s="51" t="s">
        <v>1703</v>
      </c>
      <c r="B498" s="51" t="s">
        <v>1034</v>
      </c>
      <c r="C498" s="51" t="s">
        <v>1704</v>
      </c>
      <c r="D498" s="51" t="s">
        <v>366</v>
      </c>
      <c r="E498" s="51" t="b">
        <v>0</v>
      </c>
      <c r="F498" t="b">
        <v>0</v>
      </c>
      <c r="H498" s="646"/>
      <c r="M498" s="646"/>
      <c r="R498" s="646"/>
    </row>
    <row r="499">
      <c r="A499" s="51" t="s">
        <v>1705</v>
      </c>
      <c r="B499" s="51" t="s">
        <v>1706</v>
      </c>
      <c r="C499" s="51" t="s">
        <v>1707</v>
      </c>
      <c r="D499" s="51" t="s">
        <v>366</v>
      </c>
      <c r="E499" s="51" t="b">
        <v>0</v>
      </c>
      <c r="F499" t="b">
        <v>0</v>
      </c>
      <c r="H499" s="646"/>
      <c r="M499" s="646"/>
      <c r="R499" s="646"/>
    </row>
    <row r="500">
      <c r="A500" s="51" t="s">
        <v>1708</v>
      </c>
      <c r="B500" s="51" t="s">
        <v>1709</v>
      </c>
      <c r="C500" s="51" t="s">
        <v>1710</v>
      </c>
      <c r="D500" s="51" t="s">
        <v>366</v>
      </c>
      <c r="E500" t="b">
        <v>0</v>
      </c>
      <c r="F500" t="b">
        <v>0</v>
      </c>
      <c r="H500" s="646"/>
      <c r="M500" s="646"/>
      <c r="R500" s="646"/>
    </row>
    <row r="501">
      <c r="A501" s="51" t="s">
        <v>1711</v>
      </c>
      <c r="B501" s="51" t="s">
        <v>1712</v>
      </c>
      <c r="C501" s="51" t="s">
        <v>1713</v>
      </c>
      <c r="D501" s="51" t="s">
        <v>366</v>
      </c>
      <c r="E501" s="51" t="b">
        <v>0</v>
      </c>
      <c r="F501" t="b">
        <v>0</v>
      </c>
      <c r="H501" s="646"/>
      <c r="M501" s="646"/>
      <c r="R501" s="646"/>
    </row>
    <row r="502">
      <c r="A502" s="51" t="s">
        <v>1711</v>
      </c>
      <c r="B502" s="51" t="s">
        <v>1712</v>
      </c>
      <c r="C502" s="51" t="s">
        <v>1714</v>
      </c>
      <c r="D502" s="51" t="s">
        <v>366</v>
      </c>
      <c r="E502" s="51" t="b">
        <v>0</v>
      </c>
      <c r="F502" t="b">
        <v>0</v>
      </c>
      <c r="H502" s="646"/>
      <c r="M502" s="646"/>
      <c r="R502" s="646"/>
    </row>
    <row r="503">
      <c r="A503" s="51" t="s">
        <v>1711</v>
      </c>
      <c r="B503" s="51" t="s">
        <v>1712</v>
      </c>
      <c r="C503" s="51" t="s">
        <v>1715</v>
      </c>
      <c r="D503" s="51" t="s">
        <v>366</v>
      </c>
      <c r="E503" s="51" t="b">
        <v>0</v>
      </c>
      <c r="F503" t="b">
        <v>0</v>
      </c>
      <c r="H503" s="646"/>
      <c r="M503" s="646"/>
      <c r="R503" s="646"/>
    </row>
    <row r="504">
      <c r="A504" s="51" t="s">
        <v>1711</v>
      </c>
      <c r="B504" s="51" t="s">
        <v>1712</v>
      </c>
      <c r="C504" s="51" t="s">
        <v>1716</v>
      </c>
      <c r="D504" s="51" t="s">
        <v>366</v>
      </c>
      <c r="E504" s="51" t="b">
        <v>0</v>
      </c>
      <c r="F504" t="b">
        <v>0</v>
      </c>
      <c r="H504" s="646"/>
      <c r="M504" s="646"/>
      <c r="R504" s="646"/>
    </row>
    <row r="505">
      <c r="A505" s="51" t="s">
        <v>1711</v>
      </c>
      <c r="B505" s="51" t="s">
        <v>1712</v>
      </c>
      <c r="C505" s="51" t="s">
        <v>1717</v>
      </c>
      <c r="D505" s="51" t="s">
        <v>366</v>
      </c>
      <c r="E505" s="51" t="b">
        <v>0</v>
      </c>
      <c r="F505" t="b">
        <v>0</v>
      </c>
      <c r="H505" s="646"/>
      <c r="M505" s="646"/>
      <c r="R505" s="646"/>
    </row>
    <row r="506">
      <c r="A506" s="51" t="s">
        <v>1711</v>
      </c>
      <c r="B506" s="51" t="s">
        <v>1712</v>
      </c>
      <c r="C506" s="51" t="s">
        <v>1718</v>
      </c>
      <c r="D506" s="51" t="s">
        <v>366</v>
      </c>
      <c r="E506" s="51" t="b">
        <v>0</v>
      </c>
      <c r="F506" t="b">
        <v>0</v>
      </c>
      <c r="H506" s="646"/>
      <c r="M506" s="646"/>
      <c r="R506" s="646"/>
    </row>
    <row r="507">
      <c r="A507" s="51" t="s">
        <v>1711</v>
      </c>
      <c r="B507" s="51" t="s">
        <v>1712</v>
      </c>
      <c r="C507" s="51" t="s">
        <v>1719</v>
      </c>
      <c r="D507" s="51" t="s">
        <v>366</v>
      </c>
      <c r="E507" s="51" t="b">
        <v>0</v>
      </c>
      <c r="F507" t="b">
        <v>0</v>
      </c>
      <c r="H507" s="646"/>
      <c r="M507" s="646"/>
      <c r="R507" s="646"/>
    </row>
    <row r="508">
      <c r="A508" s="51" t="s">
        <v>1711</v>
      </c>
      <c r="B508" s="51" t="s">
        <v>1712</v>
      </c>
      <c r="C508" s="51" t="s">
        <v>1720</v>
      </c>
      <c r="D508" s="51" t="s">
        <v>366</v>
      </c>
      <c r="E508" s="51" t="b">
        <v>0</v>
      </c>
      <c r="F508" t="b">
        <v>0</v>
      </c>
      <c r="H508" s="646"/>
      <c r="M508" s="646"/>
      <c r="R508" s="646"/>
    </row>
    <row r="509">
      <c r="A509" s="51" t="s">
        <v>1711</v>
      </c>
      <c r="B509" s="51" t="s">
        <v>1712</v>
      </c>
      <c r="C509" s="51" t="s">
        <v>1721</v>
      </c>
      <c r="D509" s="51" t="s">
        <v>366</v>
      </c>
      <c r="E509" s="51" t="b">
        <v>0</v>
      </c>
      <c r="F509" t="b">
        <v>0</v>
      </c>
      <c r="H509" s="646"/>
      <c r="M509" s="646"/>
      <c r="R509" s="646"/>
    </row>
    <row r="510">
      <c r="A510" s="32" t="s">
        <v>1711</v>
      </c>
      <c r="B510" s="32" t="s">
        <v>1712</v>
      </c>
      <c r="C510" s="51" t="s">
        <v>1722</v>
      </c>
      <c r="D510" s="51" t="s">
        <v>366</v>
      </c>
      <c r="E510" s="51" t="b">
        <v>0</v>
      </c>
      <c r="F510" t="b">
        <v>0</v>
      </c>
      <c r="H510" s="646"/>
      <c r="M510" s="646"/>
      <c r="R510" s="646"/>
    </row>
    <row r="511">
      <c r="A511" s="51" t="s">
        <v>1711</v>
      </c>
      <c r="B511" s="51" t="s">
        <v>1712</v>
      </c>
      <c r="C511" s="51" t="s">
        <v>1723</v>
      </c>
      <c r="D511" s="51" t="s">
        <v>366</v>
      </c>
      <c r="E511" s="51" t="b">
        <v>0</v>
      </c>
      <c r="F511" t="b">
        <v>0</v>
      </c>
      <c r="H511" s="646"/>
      <c r="M511" s="646"/>
      <c r="R511" s="646"/>
    </row>
    <row r="512">
      <c r="A512" s="51" t="s">
        <v>1711</v>
      </c>
      <c r="B512" s="51" t="s">
        <v>1712</v>
      </c>
      <c r="C512" s="51" t="s">
        <v>1724</v>
      </c>
      <c r="D512" s="51" t="s">
        <v>366</v>
      </c>
      <c r="E512" s="51" t="b">
        <v>0</v>
      </c>
      <c r="F512" t="b">
        <v>0</v>
      </c>
      <c r="H512" s="646"/>
      <c r="M512" s="646"/>
      <c r="R512" s="646"/>
    </row>
    <row r="513">
      <c r="A513" s="51" t="s">
        <v>1711</v>
      </c>
      <c r="B513" s="51" t="s">
        <v>1712</v>
      </c>
      <c r="C513" s="51" t="s">
        <v>1725</v>
      </c>
      <c r="D513" s="51" t="s">
        <v>366</v>
      </c>
      <c r="E513" s="51" t="b">
        <v>0</v>
      </c>
      <c r="F513" t="b">
        <v>0</v>
      </c>
      <c r="H513" s="646"/>
      <c r="M513" s="646"/>
      <c r="R513" s="646"/>
    </row>
    <row r="514">
      <c r="A514" s="51" t="s">
        <v>1711</v>
      </c>
      <c r="B514" s="51" t="s">
        <v>1712</v>
      </c>
      <c r="C514" s="51" t="s">
        <v>1726</v>
      </c>
      <c r="D514" s="51" t="s">
        <v>366</v>
      </c>
      <c r="E514" s="51" t="b">
        <v>0</v>
      </c>
      <c r="F514" t="b">
        <v>0</v>
      </c>
      <c r="H514" s="646"/>
      <c r="M514" s="646"/>
      <c r="R514" s="646"/>
    </row>
    <row r="515">
      <c r="A515" s="51" t="s">
        <v>1711</v>
      </c>
      <c r="B515" s="51" t="s">
        <v>1712</v>
      </c>
      <c r="C515" s="51" t="s">
        <v>1727</v>
      </c>
      <c r="D515" s="51" t="s">
        <v>366</v>
      </c>
      <c r="E515" s="51" t="b">
        <v>0</v>
      </c>
      <c r="F515" t="b">
        <v>0</v>
      </c>
      <c r="H515" s="646"/>
      <c r="M515" s="646"/>
      <c r="R515" s="646"/>
    </row>
    <row r="516">
      <c r="A516" s="51" t="s">
        <v>1711</v>
      </c>
      <c r="B516" s="51" t="s">
        <v>1712</v>
      </c>
      <c r="C516" s="51" t="s">
        <v>1728</v>
      </c>
      <c r="D516" s="51" t="s">
        <v>366</v>
      </c>
      <c r="E516" s="51" t="b">
        <v>0</v>
      </c>
      <c r="F516" t="b">
        <v>0</v>
      </c>
      <c r="H516" s="646"/>
      <c r="M516" s="646"/>
      <c r="R516" s="646"/>
    </row>
    <row r="517">
      <c r="A517" s="51" t="s">
        <v>1711</v>
      </c>
      <c r="B517" s="51" t="s">
        <v>1712</v>
      </c>
      <c r="C517" s="51" t="s">
        <v>1729</v>
      </c>
      <c r="D517" s="51" t="s">
        <v>366</v>
      </c>
      <c r="E517" s="51" t="b">
        <v>0</v>
      </c>
      <c r="F517" t="b">
        <v>0</v>
      </c>
      <c r="H517" s="646"/>
      <c r="M517" s="646"/>
      <c r="R517" s="646"/>
    </row>
    <row r="518">
      <c r="A518" s="51" t="s">
        <v>1711</v>
      </c>
      <c r="B518" s="51" t="s">
        <v>1712</v>
      </c>
      <c r="C518" s="51" t="s">
        <v>1730</v>
      </c>
      <c r="D518" s="51" t="s">
        <v>366</v>
      </c>
      <c r="E518" s="51" t="b">
        <v>0</v>
      </c>
      <c r="F518" t="b">
        <v>0</v>
      </c>
      <c r="H518" s="646"/>
      <c r="M518" s="646"/>
      <c r="R518" s="646"/>
    </row>
    <row r="519">
      <c r="A519" s="51" t="s">
        <v>1711</v>
      </c>
      <c r="B519" s="51" t="s">
        <v>1712</v>
      </c>
      <c r="C519" s="51" t="s">
        <v>1731</v>
      </c>
      <c r="D519" s="51" t="s">
        <v>366</v>
      </c>
      <c r="E519" s="51" t="b">
        <v>0</v>
      </c>
      <c r="F519" t="b">
        <v>0</v>
      </c>
      <c r="H519" s="646"/>
      <c r="M519" s="646"/>
      <c r="R519" s="646"/>
    </row>
    <row r="520">
      <c r="A520" s="51" t="s">
        <v>1711</v>
      </c>
      <c r="B520" s="51" t="s">
        <v>1712</v>
      </c>
      <c r="C520" s="51" t="s">
        <v>1732</v>
      </c>
      <c r="D520" s="51" t="s">
        <v>366</v>
      </c>
      <c r="E520" s="51" t="b">
        <v>0</v>
      </c>
      <c r="F520" t="b">
        <v>0</v>
      </c>
      <c r="H520" s="646"/>
      <c r="M520" s="646"/>
      <c r="R520" s="646"/>
    </row>
    <row r="521">
      <c r="A521" s="51" t="s">
        <v>1733</v>
      </c>
      <c r="B521" s="51" t="s">
        <v>1165</v>
      </c>
      <c r="C521" s="51" t="s">
        <v>1734</v>
      </c>
      <c r="D521" s="51" t="s">
        <v>366</v>
      </c>
      <c r="E521" s="51" t="b">
        <v>0</v>
      </c>
      <c r="F521" t="b">
        <v>0</v>
      </c>
      <c r="H521" s="646"/>
      <c r="M521" s="646"/>
      <c r="R521" s="646"/>
    </row>
    <row r="522">
      <c r="A522" s="51" t="s">
        <v>1735</v>
      </c>
      <c r="B522" s="51" t="s">
        <v>1736</v>
      </c>
      <c r="C522" s="51" t="s">
        <v>1737</v>
      </c>
      <c r="D522" s="51" t="s">
        <v>370</v>
      </c>
      <c r="E522" s="51" t="b">
        <v>0</v>
      </c>
      <c r="F522" t="b">
        <v>0</v>
      </c>
      <c r="H522" s="646"/>
      <c r="M522" s="646"/>
      <c r="R522" s="646"/>
    </row>
    <row r="523">
      <c r="A523" s="51" t="s">
        <v>1738</v>
      </c>
      <c r="B523" s="51" t="s">
        <v>1739</v>
      </c>
      <c r="C523" s="51" t="s">
        <v>1740</v>
      </c>
      <c r="D523" s="51" t="s">
        <v>366</v>
      </c>
      <c r="E523" s="51" t="b">
        <v>0</v>
      </c>
      <c r="F523" t="b">
        <v>0</v>
      </c>
      <c r="H523" s="646"/>
      <c r="M523" s="646"/>
      <c r="R523" s="646"/>
    </row>
    <row r="524">
      <c r="A524" s="51" t="s">
        <v>1741</v>
      </c>
      <c r="B524" s="51" t="s">
        <v>1252</v>
      </c>
      <c r="C524" s="51" t="s">
        <v>1742</v>
      </c>
      <c r="D524" s="51" t="s">
        <v>366</v>
      </c>
      <c r="E524" s="51" t="b">
        <v>0</v>
      </c>
      <c r="F524" t="b">
        <v>0</v>
      </c>
      <c r="H524" s="646"/>
      <c r="M524" s="646"/>
      <c r="R524" s="646"/>
    </row>
    <row r="525">
      <c r="A525" s="51" t="s">
        <v>1741</v>
      </c>
      <c r="B525" s="51" t="s">
        <v>1252</v>
      </c>
      <c r="C525" s="51" t="s">
        <v>1743</v>
      </c>
      <c r="D525" s="51" t="s">
        <v>366</v>
      </c>
      <c r="E525" s="51" t="b">
        <v>0</v>
      </c>
      <c r="F525" t="b">
        <v>0</v>
      </c>
      <c r="H525" s="646"/>
      <c r="M525" s="646"/>
      <c r="R525" s="646"/>
    </row>
    <row r="526">
      <c r="A526" s="51" t="s">
        <v>1744</v>
      </c>
      <c r="B526" s="51" t="s">
        <v>1097</v>
      </c>
      <c r="C526" s="51" t="s">
        <v>1745</v>
      </c>
      <c r="D526" s="51" t="s">
        <v>366</v>
      </c>
      <c r="E526" s="51" t="b">
        <v>0</v>
      </c>
      <c r="F526" t="b">
        <v>0</v>
      </c>
      <c r="H526" s="646"/>
      <c r="M526" s="646"/>
      <c r="R526" s="646"/>
    </row>
    <row r="527">
      <c r="A527" s="51" t="s">
        <v>1746</v>
      </c>
      <c r="B527" s="51" t="s">
        <v>1747</v>
      </c>
      <c r="C527" s="51" t="s">
        <v>1748</v>
      </c>
      <c r="D527" s="51" t="s">
        <v>366</v>
      </c>
      <c r="E527" s="51" t="b">
        <v>0</v>
      </c>
      <c r="F527" t="b">
        <v>0</v>
      </c>
      <c r="H527" s="646"/>
      <c r="M527" s="646"/>
      <c r="R527" s="646"/>
    </row>
    <row r="528">
      <c r="A528" s="51" t="s">
        <v>1749</v>
      </c>
      <c r="B528" s="51" t="s">
        <v>1750</v>
      </c>
      <c r="C528" s="51" t="s">
        <v>1751</v>
      </c>
      <c r="D528" s="51" t="s">
        <v>366</v>
      </c>
      <c r="E528" s="51" t="b">
        <v>0</v>
      </c>
      <c r="F528" t="b">
        <v>0</v>
      </c>
      <c r="H528" s="646"/>
      <c r="M528" s="646"/>
      <c r="R528" s="646"/>
    </row>
    <row r="529">
      <c r="A529" s="51" t="s">
        <v>1752</v>
      </c>
      <c r="B529" s="51" t="s">
        <v>1753</v>
      </c>
      <c r="C529" s="51" t="s">
        <v>1754</v>
      </c>
      <c r="D529" s="51" t="s">
        <v>370</v>
      </c>
      <c r="E529" s="51" t="b">
        <v>0</v>
      </c>
      <c r="F529" t="b">
        <v>0</v>
      </c>
      <c r="H529" s="646"/>
      <c r="M529" s="646"/>
      <c r="R529" s="646"/>
    </row>
    <row r="530">
      <c r="A530" s="51" t="s">
        <v>1755</v>
      </c>
      <c r="B530" s="51" t="s">
        <v>1756</v>
      </c>
      <c r="C530" s="51" t="s">
        <v>1757</v>
      </c>
      <c r="D530" s="51" t="s">
        <v>370</v>
      </c>
      <c r="E530" s="51" t="b">
        <v>0</v>
      </c>
      <c r="F530" t="b">
        <v>0</v>
      </c>
      <c r="H530" s="646"/>
      <c r="M530" s="646"/>
      <c r="R530" s="646"/>
    </row>
    <row r="531">
      <c r="A531" s="51" t="s">
        <v>1758</v>
      </c>
      <c r="B531" s="51" t="s">
        <v>1627</v>
      </c>
      <c r="C531" s="51" t="s">
        <v>1759</v>
      </c>
      <c r="D531" s="51" t="s">
        <v>366</v>
      </c>
      <c r="E531" s="51" t="b">
        <v>0</v>
      </c>
      <c r="F531" t="b">
        <v>0</v>
      </c>
      <c r="H531" s="646"/>
      <c r="M531" s="646"/>
      <c r="R531" s="646"/>
    </row>
    <row r="532">
      <c r="A532" s="51" t="s">
        <v>1760</v>
      </c>
      <c r="B532" s="51" t="s">
        <v>1469</v>
      </c>
      <c r="C532" s="51" t="s">
        <v>1761</v>
      </c>
      <c r="D532" s="51" t="s">
        <v>366</v>
      </c>
      <c r="E532" s="51" t="b">
        <v>1</v>
      </c>
      <c r="F532" t="b">
        <v>0</v>
      </c>
      <c r="G532" s="51" t="s">
        <v>1762</v>
      </c>
      <c r="H532" s="646"/>
      <c r="M532" s="646"/>
      <c r="R532" s="646"/>
    </row>
    <row r="533">
      <c r="A533" s="51" t="s">
        <v>1763</v>
      </c>
      <c r="B533" s="51" t="s">
        <v>1764</v>
      </c>
      <c r="C533" s="51" t="s">
        <v>1765</v>
      </c>
      <c r="D533" s="51" t="s">
        <v>366</v>
      </c>
      <c r="E533" t="b">
        <v>0</v>
      </c>
      <c r="F533" t="b">
        <v>0</v>
      </c>
      <c r="G533" s="51" t="s">
        <v>1766</v>
      </c>
      <c r="H533" s="646"/>
      <c r="M533" s="646"/>
      <c r="R533" s="646"/>
    </row>
    <row r="534">
      <c r="A534" s="51" t="s">
        <v>1763</v>
      </c>
      <c r="B534" s="51" t="s">
        <v>1764</v>
      </c>
      <c r="C534" s="51" t="s">
        <v>1767</v>
      </c>
      <c r="D534" s="51" t="s">
        <v>366</v>
      </c>
      <c r="E534" s="51" t="b">
        <v>0</v>
      </c>
      <c r="F534" t="b">
        <v>0</v>
      </c>
      <c r="G534" s="51" t="s">
        <v>1768</v>
      </c>
      <c r="H534" s="646"/>
      <c r="M534" s="646"/>
      <c r="R534" s="646"/>
    </row>
    <row r="535">
      <c r="A535" s="51" t="s">
        <v>1763</v>
      </c>
      <c r="B535" s="51" t="s">
        <v>1764</v>
      </c>
      <c r="C535" s="51" t="s">
        <v>1769</v>
      </c>
      <c r="D535" s="51" t="s">
        <v>366</v>
      </c>
      <c r="E535" s="51" t="b">
        <v>0</v>
      </c>
      <c r="F535" t="b">
        <v>0</v>
      </c>
      <c r="G535" s="51" t="s">
        <v>1770</v>
      </c>
      <c r="H535" s="646"/>
      <c r="M535" s="646"/>
      <c r="R535" s="646"/>
    </row>
    <row r="536">
      <c r="A536" s="51" t="s">
        <v>1771</v>
      </c>
      <c r="B536" s="51" t="s">
        <v>1282</v>
      </c>
      <c r="C536" s="51" t="s">
        <v>1772</v>
      </c>
      <c r="D536" s="51" t="s">
        <v>366</v>
      </c>
      <c r="E536" t="b">
        <v>0</v>
      </c>
      <c r="F536" t="b">
        <v>0</v>
      </c>
      <c r="H536" s="646"/>
      <c r="M536" s="646"/>
      <c r="R536" s="646"/>
    </row>
    <row r="537">
      <c r="A537" s="51" t="s">
        <v>1773</v>
      </c>
      <c r="B537" s="51" t="s">
        <v>1774</v>
      </c>
      <c r="C537" s="51" t="s">
        <v>1775</v>
      </c>
      <c r="D537" s="51" t="s">
        <v>366</v>
      </c>
      <c r="E537" s="51" t="b">
        <v>0</v>
      </c>
      <c r="F537" t="b">
        <v>0</v>
      </c>
      <c r="H537" s="646"/>
      <c r="M537" s="646"/>
      <c r="R537" s="646"/>
    </row>
    <row r="538">
      <c r="A538" s="51" t="s">
        <v>1776</v>
      </c>
      <c r="B538" s="51" t="s">
        <v>1777</v>
      </c>
      <c r="C538" s="51" t="s">
        <v>1778</v>
      </c>
      <c r="D538" s="51" t="s">
        <v>366</v>
      </c>
      <c r="E538" s="51" t="b">
        <v>0</v>
      </c>
      <c r="F538" t="b">
        <v>0</v>
      </c>
      <c r="H538" s="646"/>
      <c r="M538" s="646"/>
      <c r="R538" s="646"/>
    </row>
    <row r="539">
      <c r="A539" s="51" t="s">
        <v>1779</v>
      </c>
      <c r="B539" s="51" t="s">
        <v>1780</v>
      </c>
      <c r="C539" s="51" t="s">
        <v>1781</v>
      </c>
      <c r="D539" s="51" t="s">
        <v>366</v>
      </c>
      <c r="E539" s="51" t="b">
        <v>0</v>
      </c>
      <c r="F539" t="b">
        <v>0</v>
      </c>
      <c r="H539" s="646"/>
      <c r="M539" s="646"/>
      <c r="R539" s="646"/>
    </row>
    <row r="540">
      <c r="A540" s="51" t="s">
        <v>1782</v>
      </c>
      <c r="B540" s="51" t="s">
        <v>1783</v>
      </c>
      <c r="C540" s="51" t="s">
        <v>1784</v>
      </c>
      <c r="D540" s="51" t="s">
        <v>366</v>
      </c>
      <c r="E540" t="b">
        <v>0</v>
      </c>
      <c r="F540" t="b">
        <v>0</v>
      </c>
      <c r="G540" s="51" t="s">
        <v>1785</v>
      </c>
      <c r="H540" s="646"/>
      <c r="M540" s="646"/>
      <c r="R540" s="646"/>
    </row>
    <row r="541">
      <c r="A541" s="51" t="s">
        <v>1786</v>
      </c>
      <c r="C541" s="51" t="s">
        <v>1787</v>
      </c>
      <c r="D541" s="51" t="s">
        <v>366</v>
      </c>
      <c r="E541" t="b">
        <v>0</v>
      </c>
      <c r="F541" t="b">
        <v>0</v>
      </c>
      <c r="H541" s="646"/>
      <c r="M541" s="646"/>
      <c r="R541" s="646"/>
    </row>
    <row r="542">
      <c r="A542" s="51" t="s">
        <v>1788</v>
      </c>
      <c r="B542" s="51" t="s">
        <v>778</v>
      </c>
      <c r="C542" s="51" t="s">
        <v>1789</v>
      </c>
      <c r="D542" s="51" t="s">
        <v>366</v>
      </c>
      <c r="E542" t="b">
        <v>0</v>
      </c>
      <c r="F542" t="b">
        <v>0</v>
      </c>
      <c r="H542" s="646"/>
      <c r="M542" s="646"/>
      <c r="R542" s="646"/>
    </row>
    <row r="543">
      <c r="A543" s="51" t="s">
        <v>649</v>
      </c>
      <c r="B543" s="51" t="s">
        <v>471</v>
      </c>
      <c r="C543" s="51" t="s">
        <v>1790</v>
      </c>
      <c r="D543" s="51" t="s">
        <v>366</v>
      </c>
      <c r="E543" s="51" t="b">
        <v>0</v>
      </c>
      <c r="F543" t="b">
        <v>0</v>
      </c>
      <c r="H543" s="646"/>
      <c r="M543" s="646"/>
      <c r="R543" s="646"/>
    </row>
    <row r="544">
      <c r="A544" s="51" t="s">
        <v>991</v>
      </c>
      <c r="B544" s="51" t="s">
        <v>1097</v>
      </c>
      <c r="C544" s="51" t="s">
        <v>1458</v>
      </c>
      <c r="D544" s="51" t="s">
        <v>366</v>
      </c>
      <c r="E544" s="51" t="b">
        <v>0</v>
      </c>
      <c r="F544" t="b">
        <v>0</v>
      </c>
      <c r="H544" s="646"/>
      <c r="M544" s="646"/>
      <c r="R544" s="646"/>
    </row>
    <row r="545">
      <c r="A545" s="51" t="s">
        <v>991</v>
      </c>
      <c r="B545" s="51" t="s">
        <v>1097</v>
      </c>
      <c r="C545" s="51" t="s">
        <v>1791</v>
      </c>
      <c r="D545" s="51" t="s">
        <v>366</v>
      </c>
      <c r="E545" s="51" t="b">
        <v>0</v>
      </c>
      <c r="F545" t="b">
        <v>0</v>
      </c>
      <c r="H545" s="646"/>
      <c r="M545" s="646"/>
      <c r="R545" s="646"/>
    </row>
    <row r="546">
      <c r="A546" s="51" t="s">
        <v>991</v>
      </c>
      <c r="B546" s="51" t="s">
        <v>1097</v>
      </c>
      <c r="C546" s="51" t="s">
        <v>1792</v>
      </c>
      <c r="D546" s="51" t="s">
        <v>366</v>
      </c>
      <c r="E546" s="51" t="b">
        <v>0</v>
      </c>
      <c r="F546" t="b">
        <v>0</v>
      </c>
      <c r="H546" s="646"/>
      <c r="M546" s="646"/>
      <c r="R546" s="646"/>
    </row>
    <row r="547">
      <c r="A547" s="51" t="s">
        <v>991</v>
      </c>
      <c r="B547" s="51" t="s">
        <v>1097</v>
      </c>
      <c r="C547" s="51" t="s">
        <v>1793</v>
      </c>
      <c r="D547" s="51" t="s">
        <v>366</v>
      </c>
      <c r="E547" s="51" t="b">
        <v>0</v>
      </c>
      <c r="F547" t="b">
        <v>0</v>
      </c>
      <c r="H547" s="646"/>
      <c r="M547" s="646"/>
      <c r="R547" s="646"/>
    </row>
    <row r="548">
      <c r="A548" s="51" t="s">
        <v>991</v>
      </c>
      <c r="B548" s="51" t="s">
        <v>1097</v>
      </c>
      <c r="C548" s="51" t="s">
        <v>1794</v>
      </c>
      <c r="D548" s="51" t="s">
        <v>366</v>
      </c>
      <c r="E548" s="51" t="b">
        <v>0</v>
      </c>
      <c r="F548" t="b">
        <v>0</v>
      </c>
      <c r="H548" s="646"/>
      <c r="M548" s="646"/>
      <c r="R548" s="646"/>
    </row>
    <row r="549">
      <c r="A549" s="51" t="s">
        <v>1795</v>
      </c>
      <c r="B549" s="51" t="s">
        <v>1796</v>
      </c>
      <c r="C549" s="51" t="s">
        <v>1797</v>
      </c>
      <c r="D549" s="51" t="s">
        <v>366</v>
      </c>
      <c r="E549" s="51" t="b">
        <v>0</v>
      </c>
      <c r="F549" t="b">
        <v>0</v>
      </c>
      <c r="H549" s="646"/>
      <c r="M549" s="646"/>
      <c r="R549" s="646"/>
    </row>
    <row r="550">
      <c r="A550" s="51" t="s">
        <v>1798</v>
      </c>
      <c r="B550" s="51" t="s">
        <v>647</v>
      </c>
      <c r="C550" s="51" t="s">
        <v>1799</v>
      </c>
      <c r="D550" s="51" t="s">
        <v>366</v>
      </c>
      <c r="E550" s="51" t="b">
        <v>0</v>
      </c>
      <c r="F550" t="b">
        <v>0</v>
      </c>
      <c r="H550" s="646"/>
      <c r="M550" s="646"/>
      <c r="R550" s="646"/>
    </row>
    <row r="551">
      <c r="A551" s="51" t="s">
        <v>1800</v>
      </c>
      <c r="B551" s="51" t="s">
        <v>640</v>
      </c>
      <c r="C551" s="51" t="s">
        <v>1801</v>
      </c>
      <c r="D551" s="51" t="s">
        <v>366</v>
      </c>
      <c r="E551" s="51" t="b">
        <v>0</v>
      </c>
      <c r="F551" t="b">
        <v>0</v>
      </c>
      <c r="H551" s="646"/>
      <c r="M551" s="646"/>
      <c r="R551" s="646"/>
    </row>
    <row r="552">
      <c r="A552" s="51" t="s">
        <v>1802</v>
      </c>
      <c r="B552" s="51" t="s">
        <v>1343</v>
      </c>
      <c r="C552" s="51" t="s">
        <v>1803</v>
      </c>
      <c r="D552" s="51" t="s">
        <v>366</v>
      </c>
      <c r="E552" s="51" t="b">
        <v>0</v>
      </c>
      <c r="F552" t="b">
        <v>0</v>
      </c>
      <c r="H552" s="646"/>
      <c r="M552" s="646"/>
      <c r="R552" s="646"/>
    </row>
    <row r="553">
      <c r="A553" s="51" t="s">
        <v>1804</v>
      </c>
      <c r="B553" s="51" t="s">
        <v>1127</v>
      </c>
      <c r="C553" s="51" t="s">
        <v>1805</v>
      </c>
      <c r="D553" s="51" t="s">
        <v>366</v>
      </c>
      <c r="E553" t="b">
        <v>0</v>
      </c>
      <c r="F553" t="b">
        <v>0</v>
      </c>
      <c r="G553" s="51" t="s">
        <v>1806</v>
      </c>
      <c r="H553" s="646"/>
      <c r="M553" s="646"/>
      <c r="R553" s="646"/>
    </row>
    <row r="554">
      <c r="A554" s="51" t="s">
        <v>1807</v>
      </c>
      <c r="B554" s="51" t="s">
        <v>1808</v>
      </c>
      <c r="C554" s="51" t="s">
        <v>1809</v>
      </c>
      <c r="D554" s="51" t="s">
        <v>366</v>
      </c>
      <c r="E554" s="51" t="b">
        <v>1</v>
      </c>
      <c r="F554" t="b">
        <v>0</v>
      </c>
      <c r="H554" s="646"/>
      <c r="M554" s="646"/>
      <c r="R554" s="646"/>
    </row>
    <row r="555">
      <c r="A555" s="51" t="s">
        <v>1810</v>
      </c>
      <c r="B555" s="51" t="s">
        <v>1764</v>
      </c>
      <c r="C555" s="51" t="s">
        <v>1811</v>
      </c>
      <c r="D555" s="51" t="s">
        <v>366</v>
      </c>
      <c r="E555" s="51" t="b">
        <v>0</v>
      </c>
      <c r="F555" t="b">
        <v>0</v>
      </c>
      <c r="G555" s="51" t="s">
        <v>1812</v>
      </c>
      <c r="H555" s="646"/>
      <c r="M555" s="646"/>
      <c r="R555" s="646"/>
    </row>
    <row r="556">
      <c r="A556" s="51" t="s">
        <v>1813</v>
      </c>
      <c r="B556" s="51" t="s">
        <v>836</v>
      </c>
      <c r="C556" s="51" t="s">
        <v>1814</v>
      </c>
      <c r="D556" s="51" t="s">
        <v>366</v>
      </c>
      <c r="E556" s="51" t="b">
        <v>0</v>
      </c>
      <c r="F556" t="b">
        <v>0</v>
      </c>
      <c r="H556" s="646"/>
      <c r="M556" s="646"/>
      <c r="R556" s="646"/>
    </row>
    <row r="557">
      <c r="A557" s="51" t="s">
        <v>1815</v>
      </c>
      <c r="B557" s="51" t="s">
        <v>1006</v>
      </c>
      <c r="C557" s="51" t="s">
        <v>1816</v>
      </c>
      <c r="D557" s="51" t="s">
        <v>370</v>
      </c>
      <c r="E557" s="51" t="b">
        <v>0</v>
      </c>
      <c r="F557" t="b">
        <v>0</v>
      </c>
      <c r="H557" s="646"/>
      <c r="M557" s="646"/>
      <c r="R557" s="646"/>
    </row>
    <row r="558">
      <c r="A558" s="51" t="s">
        <v>1815</v>
      </c>
      <c r="B558" s="51" t="s">
        <v>1006</v>
      </c>
      <c r="C558" s="51" t="s">
        <v>1817</v>
      </c>
      <c r="D558" s="51" t="s">
        <v>370</v>
      </c>
      <c r="E558" s="51" t="b">
        <v>0</v>
      </c>
      <c r="F558" t="b">
        <v>0</v>
      </c>
      <c r="H558" s="646"/>
      <c r="M558" s="646"/>
      <c r="R558" s="646"/>
    </row>
    <row r="559">
      <c r="A559" s="51" t="s">
        <v>1815</v>
      </c>
      <c r="B559" s="51" t="s">
        <v>1006</v>
      </c>
      <c r="C559" s="51" t="s">
        <v>1818</v>
      </c>
      <c r="D559" s="51" t="s">
        <v>370</v>
      </c>
      <c r="E559" s="51" t="b">
        <v>0</v>
      </c>
      <c r="F559" t="b">
        <v>0</v>
      </c>
      <c r="H559" s="646"/>
      <c r="M559" s="646"/>
      <c r="R559" s="646"/>
    </row>
    <row r="560">
      <c r="A560" s="51" t="s">
        <v>1815</v>
      </c>
      <c r="B560" s="51" t="s">
        <v>1006</v>
      </c>
      <c r="C560" s="51" t="s">
        <v>1819</v>
      </c>
      <c r="D560" s="51" t="s">
        <v>370</v>
      </c>
      <c r="E560" s="51" t="b">
        <v>0</v>
      </c>
      <c r="F560" t="b">
        <v>0</v>
      </c>
      <c r="H560" s="646"/>
      <c r="M560" s="646"/>
      <c r="R560" s="646"/>
    </row>
    <row r="561">
      <c r="A561" s="51" t="s">
        <v>1820</v>
      </c>
      <c r="C561" s="51" t="s">
        <v>1821</v>
      </c>
      <c r="D561" s="51" t="s">
        <v>370</v>
      </c>
      <c r="E561" s="51" t="b">
        <v>0</v>
      </c>
      <c r="F561" t="b">
        <v>0</v>
      </c>
      <c r="G561" s="51" t="s">
        <v>506</v>
      </c>
      <c r="H561" s="646"/>
      <c r="M561" s="646"/>
      <c r="R561" s="646"/>
    </row>
    <row r="562">
      <c r="A562" s="51" t="s">
        <v>1822</v>
      </c>
      <c r="B562" s="51" t="s">
        <v>1280</v>
      </c>
      <c r="C562" s="51" t="s">
        <v>1823</v>
      </c>
      <c r="D562" s="51" t="s">
        <v>366</v>
      </c>
      <c r="E562" t="b">
        <v>0</v>
      </c>
      <c r="F562" t="b">
        <v>0</v>
      </c>
      <c r="H562" s="646"/>
      <c r="M562" s="646"/>
      <c r="R562" s="646"/>
    </row>
    <row r="563">
      <c r="A563" s="51" t="s">
        <v>1824</v>
      </c>
      <c r="B563" s="51" t="s">
        <v>1825</v>
      </c>
      <c r="C563" s="51" t="s">
        <v>1826</v>
      </c>
      <c r="D563" s="51" t="s">
        <v>366</v>
      </c>
      <c r="E563" s="51" t="b">
        <v>0</v>
      </c>
      <c r="F563" t="b">
        <v>0</v>
      </c>
      <c r="H563" s="646"/>
      <c r="M563" s="646"/>
      <c r="R563" s="646"/>
    </row>
    <row r="564">
      <c r="A564" s="51" t="s">
        <v>1827</v>
      </c>
      <c r="B564" s="51" t="s">
        <v>658</v>
      </c>
      <c r="C564" s="51" t="s">
        <v>1828</v>
      </c>
      <c r="D564" s="51" t="s">
        <v>366</v>
      </c>
      <c r="E564" s="51" t="b">
        <v>0</v>
      </c>
      <c r="F564" t="b">
        <v>0</v>
      </c>
      <c r="H564" s="646"/>
      <c r="M564" s="646"/>
      <c r="R564" s="646"/>
    </row>
    <row r="565">
      <c r="A565" s="51" t="s">
        <v>1829</v>
      </c>
      <c r="B565" s="51" t="s">
        <v>778</v>
      </c>
      <c r="C565" s="51" t="s">
        <v>1830</v>
      </c>
      <c r="D565" s="51" t="s">
        <v>366</v>
      </c>
      <c r="E565" s="51" t="b">
        <v>0</v>
      </c>
      <c r="F565" t="b">
        <v>0</v>
      </c>
      <c r="H565" s="646"/>
      <c r="M565" s="646"/>
      <c r="R565" s="646"/>
    </row>
    <row r="566">
      <c r="A566" s="51" t="s">
        <v>1831</v>
      </c>
      <c r="B566" s="51" t="s">
        <v>1832</v>
      </c>
      <c r="C566" s="51" t="s">
        <v>1833</v>
      </c>
      <c r="D566" s="51" t="s">
        <v>366</v>
      </c>
      <c r="E566" s="51" t="b">
        <v>1</v>
      </c>
      <c r="F566" t="b">
        <v>0</v>
      </c>
      <c r="H566" s="646"/>
      <c r="M566" s="646"/>
      <c r="R566" s="646"/>
    </row>
    <row r="567">
      <c r="A567" s="51" t="s">
        <v>1834</v>
      </c>
      <c r="B567" s="51" t="s">
        <v>1674</v>
      </c>
      <c r="C567" s="51" t="s">
        <v>1835</v>
      </c>
      <c r="D567" s="51" t="s">
        <v>366</v>
      </c>
      <c r="E567" s="51" t="b">
        <v>0</v>
      </c>
      <c r="F567" t="b">
        <v>0</v>
      </c>
      <c r="H567" s="646"/>
      <c r="M567" s="646"/>
      <c r="R567" s="646"/>
    </row>
    <row r="568">
      <c r="A568" s="51" t="s">
        <v>1834</v>
      </c>
      <c r="B568" s="51" t="s">
        <v>1674</v>
      </c>
      <c r="C568" s="51" t="s">
        <v>1836</v>
      </c>
      <c r="D568" s="51" t="s">
        <v>366</v>
      </c>
      <c r="E568" s="51" t="b">
        <v>1</v>
      </c>
      <c r="F568" t="b">
        <v>0</v>
      </c>
      <c r="H568" s="646"/>
      <c r="M568" s="646"/>
      <c r="R568" s="646"/>
    </row>
    <row r="569">
      <c r="A569" s="51" t="s">
        <v>1837</v>
      </c>
      <c r="B569" s="51" t="s">
        <v>1631</v>
      </c>
      <c r="C569" s="51" t="s">
        <v>1838</v>
      </c>
      <c r="D569" s="51" t="s">
        <v>366</v>
      </c>
      <c r="E569" s="51" t="b">
        <v>0</v>
      </c>
      <c r="F569" t="b">
        <v>0</v>
      </c>
      <c r="H569" s="646"/>
      <c r="M569" s="646"/>
      <c r="R569" s="646"/>
    </row>
    <row r="570">
      <c r="A570" s="51" t="s">
        <v>1839</v>
      </c>
      <c r="B570" s="51" t="s">
        <v>1840</v>
      </c>
      <c r="C570" s="51" t="s">
        <v>1841</v>
      </c>
      <c r="D570" s="51" t="s">
        <v>366</v>
      </c>
      <c r="E570" t="b">
        <v>0</v>
      </c>
      <c r="F570" t="b">
        <v>0</v>
      </c>
      <c r="H570" s="646"/>
      <c r="M570" s="646"/>
      <c r="R570" s="646"/>
    </row>
    <row r="571">
      <c r="A571" s="51" t="s">
        <v>1842</v>
      </c>
      <c r="B571" s="51" t="s">
        <v>1317</v>
      </c>
      <c r="C571" s="51" t="s">
        <v>1843</v>
      </c>
      <c r="D571" s="51" t="s">
        <v>366</v>
      </c>
      <c r="E571" s="51" t="b">
        <v>0</v>
      </c>
      <c r="F571" t="b">
        <v>0</v>
      </c>
      <c r="H571" s="646"/>
      <c r="M571" s="646"/>
      <c r="R571" s="646"/>
    </row>
    <row r="572">
      <c r="A572" s="51" t="s">
        <v>1842</v>
      </c>
      <c r="B572" s="51" t="s">
        <v>1317</v>
      </c>
      <c r="C572" s="51" t="s">
        <v>1844</v>
      </c>
      <c r="D572" s="51" t="s">
        <v>366</v>
      </c>
      <c r="E572" s="51" t="b">
        <v>0</v>
      </c>
      <c r="F572" t="b">
        <v>0</v>
      </c>
      <c r="H572" s="646"/>
      <c r="M572" s="646"/>
      <c r="R572" s="646"/>
    </row>
    <row r="573">
      <c r="A573" s="51" t="s">
        <v>1842</v>
      </c>
      <c r="B573" s="51" t="s">
        <v>1317</v>
      </c>
      <c r="C573" s="51" t="s">
        <v>1844</v>
      </c>
      <c r="D573" s="51" t="s">
        <v>366</v>
      </c>
      <c r="E573" s="51" t="b">
        <v>0</v>
      </c>
      <c r="F573" t="b">
        <v>0</v>
      </c>
      <c r="H573" s="646"/>
      <c r="M573" s="646"/>
      <c r="R573" s="646"/>
    </row>
    <row r="574">
      <c r="A574" s="51" t="s">
        <v>1845</v>
      </c>
      <c r="B574" s="51" t="s">
        <v>1739</v>
      </c>
      <c r="C574" s="51" t="s">
        <v>1846</v>
      </c>
      <c r="D574" s="51" t="s">
        <v>366</v>
      </c>
      <c r="E574" s="51" t="b">
        <v>0</v>
      </c>
      <c r="F574" t="b">
        <v>0</v>
      </c>
      <c r="H574" s="646"/>
      <c r="M574" s="646"/>
      <c r="R574" s="646"/>
    </row>
    <row r="575">
      <c r="A575" s="51" t="s">
        <v>1847</v>
      </c>
      <c r="B575" s="51" t="s">
        <v>1848</v>
      </c>
      <c r="C575" s="51" t="s">
        <v>1849</v>
      </c>
      <c r="D575" s="51" t="s">
        <v>366</v>
      </c>
      <c r="E575" s="51" t="b">
        <v>0</v>
      </c>
      <c r="F575" t="b">
        <v>0</v>
      </c>
      <c r="H575" s="646"/>
      <c r="M575" s="646"/>
      <c r="R575" s="646"/>
    </row>
    <row r="576">
      <c r="A576" s="51" t="s">
        <v>1850</v>
      </c>
      <c r="B576" s="51" t="s">
        <v>1301</v>
      </c>
      <c r="C576" s="51" t="s">
        <v>1851</v>
      </c>
      <c r="D576" s="51" t="s">
        <v>366</v>
      </c>
      <c r="E576" t="b">
        <v>0</v>
      </c>
      <c r="F576" t="b">
        <v>0</v>
      </c>
      <c r="H576" s="646"/>
      <c r="M576" s="646"/>
      <c r="R576" s="646"/>
    </row>
    <row r="577">
      <c r="A577" s="51" t="s">
        <v>1850</v>
      </c>
      <c r="B577" s="51" t="s">
        <v>1301</v>
      </c>
      <c r="C577" s="51" t="s">
        <v>1852</v>
      </c>
      <c r="D577" s="51" t="s">
        <v>366</v>
      </c>
      <c r="E577" s="51" t="b">
        <v>0</v>
      </c>
      <c r="F577" t="b">
        <v>0</v>
      </c>
      <c r="H577" s="646"/>
      <c r="M577" s="646"/>
      <c r="R577" s="646"/>
    </row>
    <row r="578">
      <c r="A578" s="51" t="s">
        <v>1853</v>
      </c>
      <c r="B578" s="51" t="s">
        <v>474</v>
      </c>
      <c r="C578" s="51" t="s">
        <v>1854</v>
      </c>
      <c r="D578" s="51" t="s">
        <v>366</v>
      </c>
      <c r="E578" s="51" t="b">
        <v>0</v>
      </c>
      <c r="F578" t="b">
        <v>0</v>
      </c>
      <c r="H578" s="646"/>
      <c r="M578" s="646"/>
      <c r="R578" s="646"/>
    </row>
    <row r="579">
      <c r="A579" s="51" t="s">
        <v>1853</v>
      </c>
      <c r="B579" s="51" t="s">
        <v>474</v>
      </c>
      <c r="C579" s="51" t="s">
        <v>1855</v>
      </c>
      <c r="D579" s="51" t="s">
        <v>366</v>
      </c>
      <c r="E579" s="51" t="b">
        <v>0</v>
      </c>
      <c r="F579" t="b">
        <v>0</v>
      </c>
      <c r="H579" s="646"/>
      <c r="M579" s="646"/>
      <c r="R579" s="646"/>
    </row>
    <row r="580">
      <c r="A580" s="51" t="s">
        <v>1856</v>
      </c>
      <c r="B580" s="51" t="s">
        <v>1857</v>
      </c>
      <c r="C580" s="51" t="s">
        <v>1858</v>
      </c>
      <c r="D580" s="51" t="s">
        <v>366</v>
      </c>
      <c r="E580" s="51" t="b">
        <v>0</v>
      </c>
      <c r="F580" t="b">
        <v>0</v>
      </c>
      <c r="H580" s="646"/>
      <c r="M580" s="646"/>
      <c r="R580" s="646"/>
    </row>
    <row r="581">
      <c r="A581" s="51" t="s">
        <v>1859</v>
      </c>
      <c r="B581" s="51" t="s">
        <v>1860</v>
      </c>
      <c r="C581" s="51" t="s">
        <v>1861</v>
      </c>
      <c r="D581" s="51" t="s">
        <v>366</v>
      </c>
      <c r="E581" t="b">
        <v>0</v>
      </c>
      <c r="F581" t="b">
        <v>0</v>
      </c>
      <c r="H581" s="646"/>
      <c r="M581" s="646"/>
      <c r="R581" s="646"/>
    </row>
    <row r="582">
      <c r="A582" s="51" t="s">
        <v>1862</v>
      </c>
      <c r="B582" s="51" t="s">
        <v>1863</v>
      </c>
      <c r="C582" s="51" t="s">
        <v>1864</v>
      </c>
      <c r="D582" s="51" t="s">
        <v>370</v>
      </c>
      <c r="E582" s="51" t="b">
        <v>0</v>
      </c>
      <c r="F582" t="b">
        <v>0</v>
      </c>
      <c r="H582" s="646"/>
      <c r="M582" s="646"/>
      <c r="R582" s="646"/>
    </row>
    <row r="583">
      <c r="A583" s="51" t="s">
        <v>1865</v>
      </c>
      <c r="B583" s="51" t="s">
        <v>1866</v>
      </c>
      <c r="C583" s="51" t="s">
        <v>1867</v>
      </c>
      <c r="D583" s="51" t="s">
        <v>366</v>
      </c>
      <c r="E583" s="51" t="b">
        <v>0</v>
      </c>
      <c r="F583" t="b">
        <v>0</v>
      </c>
      <c r="H583" s="646"/>
      <c r="M583" s="646"/>
      <c r="R583" s="646"/>
    </row>
    <row r="584">
      <c r="A584" s="51" t="s">
        <v>1868</v>
      </c>
      <c r="B584" s="51" t="s">
        <v>1869</v>
      </c>
      <c r="C584" s="51" t="s">
        <v>1870</v>
      </c>
      <c r="D584" s="51" t="s">
        <v>366</v>
      </c>
      <c r="E584" s="51" t="b">
        <v>0</v>
      </c>
      <c r="F584" t="b">
        <v>0</v>
      </c>
      <c r="H584" s="646"/>
      <c r="M584" s="646"/>
      <c r="R584" s="646"/>
    </row>
    <row r="585">
      <c r="A585" s="51" t="s">
        <v>1871</v>
      </c>
      <c r="C585" s="51" t="s">
        <v>1872</v>
      </c>
      <c r="D585" s="51" t="s">
        <v>366</v>
      </c>
      <c r="E585" s="51" t="b">
        <v>0</v>
      </c>
      <c r="F585" t="b">
        <v>0</v>
      </c>
      <c r="H585" s="646"/>
      <c r="M585" s="646"/>
      <c r="R585" s="646"/>
    </row>
    <row r="586">
      <c r="A586" s="51" t="s">
        <v>1871</v>
      </c>
      <c r="B586" s="51" t="s">
        <v>1873</v>
      </c>
      <c r="C586" s="51" t="s">
        <v>1874</v>
      </c>
      <c r="D586" s="51"/>
      <c r="E586" s="51" t="b">
        <v>0</v>
      </c>
      <c r="F586" t="b">
        <v>0</v>
      </c>
      <c r="H586" s="646"/>
      <c r="M586" s="646"/>
      <c r="R586" s="646"/>
    </row>
    <row r="587">
      <c r="A587" s="51" t="s">
        <v>1871</v>
      </c>
      <c r="C587" s="51" t="s">
        <v>1875</v>
      </c>
      <c r="D587" s="51" t="s">
        <v>366</v>
      </c>
      <c r="E587" t="b">
        <v>0</v>
      </c>
      <c r="F587" t="b">
        <v>0</v>
      </c>
      <c r="H587" s="646"/>
      <c r="M587" s="646"/>
      <c r="R587" s="646"/>
    </row>
    <row r="588">
      <c r="A588" s="51" t="s">
        <v>1876</v>
      </c>
      <c r="B588" s="51" t="s">
        <v>1877</v>
      </c>
      <c r="C588" s="51" t="s">
        <v>1878</v>
      </c>
      <c r="D588" s="51" t="s">
        <v>366</v>
      </c>
      <c r="E588" s="51" t="b">
        <v>0</v>
      </c>
      <c r="F588" t="b">
        <v>0</v>
      </c>
      <c r="H588" s="646"/>
      <c r="M588" s="646"/>
      <c r="R588" s="646"/>
    </row>
    <row r="589">
      <c r="A589" s="51" t="s">
        <v>1876</v>
      </c>
      <c r="B589" s="51" t="s">
        <v>1877</v>
      </c>
      <c r="C589" s="51" t="s">
        <v>1879</v>
      </c>
      <c r="D589" s="51" t="s">
        <v>366</v>
      </c>
      <c r="E589" s="51" t="b">
        <v>0</v>
      </c>
      <c r="F589" t="b">
        <v>0</v>
      </c>
      <c r="H589" s="646"/>
      <c r="M589" s="646"/>
      <c r="R589" s="646"/>
    </row>
    <row r="590">
      <c r="A590" s="51" t="s">
        <v>1880</v>
      </c>
      <c r="B590" s="51" t="s">
        <v>1881</v>
      </c>
      <c r="C590" s="51" t="s">
        <v>1882</v>
      </c>
      <c r="D590" s="51" t="s">
        <v>366</v>
      </c>
      <c r="E590" s="51" t="b">
        <v>0</v>
      </c>
      <c r="F590" t="b">
        <v>0</v>
      </c>
      <c r="H590" s="646"/>
      <c r="M590" s="646"/>
      <c r="R590" s="646"/>
    </row>
    <row r="591">
      <c r="A591" s="51" t="s">
        <v>1883</v>
      </c>
      <c r="B591" s="51" t="s">
        <v>575</v>
      </c>
      <c r="C591" s="51" t="s">
        <v>1884</v>
      </c>
      <c r="D591" s="51" t="s">
        <v>370</v>
      </c>
      <c r="E591" s="51" t="b">
        <v>0</v>
      </c>
      <c r="F591" t="b">
        <v>0</v>
      </c>
      <c r="H591" s="646"/>
      <c r="M591" s="646"/>
      <c r="R591" s="646"/>
    </row>
    <row r="592">
      <c r="A592" s="51" t="s">
        <v>1885</v>
      </c>
      <c r="C592" s="51" t="s">
        <v>1886</v>
      </c>
      <c r="D592" s="51" t="s">
        <v>366</v>
      </c>
      <c r="E592" t="b">
        <v>0</v>
      </c>
      <c r="F592" t="b">
        <v>0</v>
      </c>
      <c r="H592" s="646"/>
      <c r="M592" s="646"/>
      <c r="R592" s="646"/>
    </row>
    <row r="593">
      <c r="A593" s="51" t="s">
        <v>1887</v>
      </c>
      <c r="B593" s="51" t="s">
        <v>1888</v>
      </c>
      <c r="C593" s="51" t="s">
        <v>1889</v>
      </c>
      <c r="D593" s="51" t="s">
        <v>366</v>
      </c>
      <c r="E593" s="51" t="b">
        <v>0</v>
      </c>
      <c r="F593" t="b">
        <v>0</v>
      </c>
      <c r="H593" s="646"/>
      <c r="M593" s="646"/>
      <c r="R593" s="646"/>
    </row>
    <row r="594">
      <c r="A594" s="51" t="s">
        <v>1890</v>
      </c>
      <c r="B594" s="51" t="s">
        <v>471</v>
      </c>
      <c r="C594" s="51" t="s">
        <v>1891</v>
      </c>
      <c r="D594" s="51" t="s">
        <v>366</v>
      </c>
      <c r="E594" s="51" t="b">
        <v>0</v>
      </c>
      <c r="F594" t="b">
        <v>0</v>
      </c>
      <c r="H594" s="646"/>
      <c r="M594" s="646"/>
      <c r="R594" s="646"/>
    </row>
    <row r="595">
      <c r="A595" s="51" t="s">
        <v>1890</v>
      </c>
      <c r="B595" s="51" t="s">
        <v>471</v>
      </c>
      <c r="C595" s="51" t="s">
        <v>1892</v>
      </c>
      <c r="D595" s="51" t="s">
        <v>366</v>
      </c>
      <c r="E595" t="b">
        <v>0</v>
      </c>
      <c r="F595" t="b">
        <v>0</v>
      </c>
      <c r="H595" s="646"/>
      <c r="M595" s="646"/>
      <c r="R595" s="646"/>
    </row>
    <row r="596">
      <c r="A596" s="51" t="s">
        <v>1890</v>
      </c>
      <c r="B596" s="51" t="s">
        <v>471</v>
      </c>
      <c r="C596" s="51" t="s">
        <v>1893</v>
      </c>
      <c r="D596" s="51" t="s">
        <v>366</v>
      </c>
      <c r="E596" s="51" t="b">
        <v>0</v>
      </c>
      <c r="F596" t="b">
        <v>0</v>
      </c>
      <c r="H596" s="646"/>
      <c r="M596" s="646"/>
      <c r="R596" s="646"/>
    </row>
    <row r="597">
      <c r="A597" s="51" t="s">
        <v>1890</v>
      </c>
      <c r="B597" s="51" t="s">
        <v>471</v>
      </c>
      <c r="C597" s="51" t="s">
        <v>1894</v>
      </c>
      <c r="D597" s="51" t="s">
        <v>366</v>
      </c>
      <c r="E597" s="51" t="b">
        <v>0</v>
      </c>
      <c r="F597" t="b">
        <v>0</v>
      </c>
      <c r="H597" s="646"/>
      <c r="M597" s="646"/>
      <c r="R597" s="646"/>
    </row>
    <row r="598">
      <c r="A598" s="51" t="s">
        <v>1890</v>
      </c>
      <c r="B598" s="51" t="s">
        <v>471</v>
      </c>
      <c r="C598" s="51" t="s">
        <v>1895</v>
      </c>
      <c r="D598" s="51" t="s">
        <v>366</v>
      </c>
      <c r="E598" s="51" t="b">
        <v>0</v>
      </c>
      <c r="F598" t="b">
        <v>0</v>
      </c>
      <c r="H598" s="646"/>
      <c r="M598" s="646"/>
      <c r="R598" s="646"/>
    </row>
    <row r="599">
      <c r="A599" s="51" t="s">
        <v>1896</v>
      </c>
      <c r="B599" s="51" t="s">
        <v>455</v>
      </c>
      <c r="C599" s="51" t="s">
        <v>1897</v>
      </c>
      <c r="D599" s="51" t="s">
        <v>366</v>
      </c>
      <c r="E599" s="51" t="b">
        <v>0</v>
      </c>
      <c r="F599" t="b">
        <v>0</v>
      </c>
      <c r="H599" s="646"/>
      <c r="M599" s="646"/>
      <c r="R599" s="646"/>
    </row>
    <row r="600">
      <c r="A600" s="51" t="s">
        <v>1898</v>
      </c>
      <c r="B600" s="51" t="s">
        <v>1899</v>
      </c>
      <c r="C600" s="51" t="s">
        <v>1900</v>
      </c>
      <c r="D600" s="51" t="s">
        <v>366</v>
      </c>
      <c r="E600" s="51" t="b">
        <v>0</v>
      </c>
      <c r="F600" t="b">
        <v>0</v>
      </c>
      <c r="H600" s="646"/>
      <c r="M600" s="646"/>
      <c r="R600" s="646"/>
    </row>
    <row r="601">
      <c r="A601" s="51" t="s">
        <v>1898</v>
      </c>
      <c r="B601" s="51" t="s">
        <v>1899</v>
      </c>
      <c r="C601" s="51" t="s">
        <v>1901</v>
      </c>
      <c r="D601" s="51" t="s">
        <v>366</v>
      </c>
      <c r="E601" s="51" t="b">
        <v>0</v>
      </c>
      <c r="F601" t="b">
        <v>0</v>
      </c>
      <c r="H601" s="646"/>
      <c r="M601" s="646"/>
      <c r="R601" s="646"/>
    </row>
    <row r="602">
      <c r="A602" s="51" t="s">
        <v>1898</v>
      </c>
      <c r="B602" s="51" t="s">
        <v>1899</v>
      </c>
      <c r="C602" s="51" t="s">
        <v>1902</v>
      </c>
      <c r="D602" s="51" t="s">
        <v>366</v>
      </c>
      <c r="E602" s="51" t="b">
        <v>0</v>
      </c>
      <c r="F602" t="b">
        <v>0</v>
      </c>
      <c r="H602" s="646"/>
      <c r="M602" s="646"/>
      <c r="R602" s="646"/>
    </row>
    <row r="603">
      <c r="A603" s="51" t="s">
        <v>1898</v>
      </c>
      <c r="B603" s="51" t="s">
        <v>1899</v>
      </c>
      <c r="C603" s="51" t="s">
        <v>1903</v>
      </c>
      <c r="D603" s="51" t="s">
        <v>366</v>
      </c>
      <c r="E603" s="51" t="b">
        <v>0</v>
      </c>
      <c r="F603" t="b">
        <v>0</v>
      </c>
      <c r="H603" s="646"/>
      <c r="M603" s="646"/>
      <c r="R603" s="646"/>
    </row>
    <row r="604">
      <c r="A604" s="51" t="s">
        <v>1898</v>
      </c>
      <c r="B604" s="51" t="s">
        <v>1899</v>
      </c>
      <c r="C604" s="51" t="s">
        <v>1904</v>
      </c>
      <c r="D604" s="51" t="s">
        <v>366</v>
      </c>
      <c r="E604" s="51" t="b">
        <v>0</v>
      </c>
      <c r="F604" t="b">
        <v>0</v>
      </c>
      <c r="H604" s="646"/>
      <c r="M604" s="646"/>
      <c r="R604" s="646"/>
    </row>
    <row r="605">
      <c r="A605" s="51" t="s">
        <v>1898</v>
      </c>
      <c r="B605" s="51" t="s">
        <v>1899</v>
      </c>
      <c r="C605" s="51" t="s">
        <v>1905</v>
      </c>
      <c r="D605" s="51" t="s">
        <v>366</v>
      </c>
      <c r="E605" t="b">
        <v>0</v>
      </c>
      <c r="F605" t="b">
        <v>0</v>
      </c>
      <c r="H605" s="646"/>
      <c r="M605" s="646"/>
      <c r="R605" s="646"/>
    </row>
    <row r="606">
      <c r="A606" s="51" t="s">
        <v>1898</v>
      </c>
      <c r="B606" s="51" t="s">
        <v>1899</v>
      </c>
      <c r="C606" s="51" t="s">
        <v>1906</v>
      </c>
      <c r="D606" s="51" t="s">
        <v>366</v>
      </c>
      <c r="E606" s="51" t="b">
        <v>0</v>
      </c>
      <c r="F606" t="b">
        <v>0</v>
      </c>
      <c r="H606" s="646"/>
      <c r="M606" s="646"/>
      <c r="R606" s="646"/>
    </row>
    <row r="607">
      <c r="A607" s="51" t="s">
        <v>1898</v>
      </c>
      <c r="B607" s="51" t="s">
        <v>1899</v>
      </c>
      <c r="C607" s="51" t="s">
        <v>1907</v>
      </c>
      <c r="D607" s="51" t="s">
        <v>366</v>
      </c>
      <c r="E607" s="51" t="b">
        <v>0</v>
      </c>
      <c r="F607" t="b">
        <v>0</v>
      </c>
      <c r="H607" s="646"/>
      <c r="M607" s="646"/>
      <c r="R607" s="646"/>
    </row>
    <row r="608">
      <c r="A608" s="51" t="s">
        <v>1908</v>
      </c>
      <c r="B608" s="51" t="s">
        <v>876</v>
      </c>
      <c r="C608" s="51" t="s">
        <v>1909</v>
      </c>
      <c r="D608" s="51" t="s">
        <v>366</v>
      </c>
      <c r="E608" s="51" t="b">
        <v>0</v>
      </c>
      <c r="F608" t="b">
        <v>0</v>
      </c>
      <c r="H608" s="646"/>
      <c r="M608" s="646"/>
      <c r="R608" s="646"/>
    </row>
    <row r="609">
      <c r="A609" s="51" t="s">
        <v>1910</v>
      </c>
      <c r="B609" s="51" t="s">
        <v>1911</v>
      </c>
      <c r="C609" s="51" t="s">
        <v>1912</v>
      </c>
      <c r="D609" s="51" t="s">
        <v>366</v>
      </c>
      <c r="E609" s="51" t="b">
        <v>0</v>
      </c>
      <c r="F609" t="b">
        <v>0</v>
      </c>
      <c r="H609" s="646"/>
      <c r="M609" s="646"/>
      <c r="R609" s="646"/>
    </row>
    <row r="610">
      <c r="A610" s="51" t="s">
        <v>1913</v>
      </c>
      <c r="B610" s="51" t="s">
        <v>629</v>
      </c>
      <c r="C610" s="51" t="s">
        <v>1914</v>
      </c>
      <c r="D610" s="51" t="s">
        <v>366</v>
      </c>
      <c r="E610" s="51" t="b">
        <v>0</v>
      </c>
      <c r="F610" t="b">
        <v>0</v>
      </c>
      <c r="H610" s="646"/>
      <c r="M610" s="646"/>
      <c r="R610" s="646"/>
    </row>
    <row r="611">
      <c r="A611" s="51" t="s">
        <v>1915</v>
      </c>
      <c r="B611" s="51" t="s">
        <v>1280</v>
      </c>
      <c r="C611" s="51" t="s">
        <v>1916</v>
      </c>
      <c r="D611" s="51" t="s">
        <v>366</v>
      </c>
      <c r="E611" s="51" t="b">
        <v>0</v>
      </c>
      <c r="F611" t="b">
        <v>0</v>
      </c>
      <c r="G611" s="51" t="s">
        <v>1917</v>
      </c>
      <c r="H611" s="646"/>
      <c r="M611" s="646"/>
      <c r="R611" s="646"/>
    </row>
    <row r="612">
      <c r="A612" s="51" t="s">
        <v>1918</v>
      </c>
      <c r="C612" s="51" t="s">
        <v>1919</v>
      </c>
      <c r="D612" s="51" t="s">
        <v>366</v>
      </c>
      <c r="E612" s="51" t="b">
        <v>0</v>
      </c>
      <c r="F612" t="b">
        <v>0</v>
      </c>
      <c r="H612" s="646"/>
      <c r="M612" s="646"/>
      <c r="R612" s="646"/>
    </row>
    <row r="613">
      <c r="A613" s="51" t="s">
        <v>1918</v>
      </c>
      <c r="C613" s="51" t="s">
        <v>1920</v>
      </c>
      <c r="D613" s="51" t="s">
        <v>366</v>
      </c>
      <c r="E613" s="51" t="b">
        <v>0</v>
      </c>
      <c r="F613" t="b">
        <v>0</v>
      </c>
      <c r="H613" s="646"/>
      <c r="M613" s="646"/>
      <c r="R613" s="646"/>
    </row>
    <row r="614">
      <c r="A614" s="51" t="s">
        <v>1918</v>
      </c>
      <c r="C614" s="51" t="s">
        <v>1921</v>
      </c>
      <c r="D614" s="51" t="s">
        <v>366</v>
      </c>
      <c r="E614" s="51" t="b">
        <v>0</v>
      </c>
      <c r="F614" t="b">
        <v>0</v>
      </c>
      <c r="H614" s="646"/>
      <c r="M614" s="646"/>
      <c r="R614" s="646"/>
    </row>
    <row r="615">
      <c r="A615" s="51" t="s">
        <v>1918</v>
      </c>
      <c r="C615" s="51" t="s">
        <v>1922</v>
      </c>
      <c r="D615" s="51" t="s">
        <v>366</v>
      </c>
      <c r="E615" s="51" t="b">
        <v>0</v>
      </c>
      <c r="F615" t="b">
        <v>0</v>
      </c>
      <c r="H615" s="646"/>
      <c r="M615" s="646"/>
      <c r="R615" s="646"/>
    </row>
    <row r="616">
      <c r="A616" s="51" t="s">
        <v>1918</v>
      </c>
      <c r="C616" s="51" t="s">
        <v>1923</v>
      </c>
      <c r="D616" s="51" t="s">
        <v>366</v>
      </c>
      <c r="E616" s="51" t="b">
        <v>0</v>
      </c>
      <c r="F616" t="b">
        <v>0</v>
      </c>
      <c r="H616" s="646"/>
      <c r="M616" s="646"/>
      <c r="R616" s="646"/>
    </row>
    <row r="617">
      <c r="A617" s="51" t="s">
        <v>1918</v>
      </c>
      <c r="C617" s="51" t="s">
        <v>1924</v>
      </c>
      <c r="D617" s="51" t="s">
        <v>366</v>
      </c>
      <c r="E617" s="51" t="b">
        <v>0</v>
      </c>
      <c r="F617" t="b">
        <v>0</v>
      </c>
      <c r="H617" s="646"/>
      <c r="M617" s="646"/>
      <c r="R617" s="646"/>
    </row>
    <row r="618">
      <c r="A618" s="51" t="s">
        <v>1918</v>
      </c>
      <c r="C618" s="51" t="s">
        <v>1925</v>
      </c>
      <c r="D618" s="51" t="s">
        <v>366</v>
      </c>
      <c r="E618" s="51" t="b">
        <v>0</v>
      </c>
      <c r="F618" t="b">
        <v>0</v>
      </c>
      <c r="H618" s="646"/>
      <c r="M618" s="646"/>
      <c r="R618" s="646"/>
    </row>
    <row r="619">
      <c r="A619" s="51" t="s">
        <v>1918</v>
      </c>
      <c r="C619" s="51" t="s">
        <v>1926</v>
      </c>
      <c r="D619" s="51" t="s">
        <v>366</v>
      </c>
      <c r="E619" s="51" t="b">
        <v>0</v>
      </c>
      <c r="F619" t="b">
        <v>0</v>
      </c>
      <c r="G619" s="51" t="s">
        <v>1927</v>
      </c>
      <c r="H619" s="646"/>
      <c r="M619" s="646"/>
      <c r="R619" s="646"/>
    </row>
    <row r="620">
      <c r="A620" s="51" t="s">
        <v>1918</v>
      </c>
      <c r="C620" s="51" t="s">
        <v>1928</v>
      </c>
      <c r="D620" s="51" t="s">
        <v>366</v>
      </c>
      <c r="E620" s="51" t="b">
        <v>0</v>
      </c>
      <c r="F620" t="b">
        <v>0</v>
      </c>
      <c r="G620" s="51" t="s">
        <v>1927</v>
      </c>
      <c r="H620" s="646"/>
      <c r="M620" s="646"/>
      <c r="R620" s="646"/>
    </row>
    <row r="621">
      <c r="A621" s="51" t="s">
        <v>1918</v>
      </c>
      <c r="C621" s="51" t="s">
        <v>1929</v>
      </c>
      <c r="D621" s="51" t="s">
        <v>366</v>
      </c>
      <c r="E621" s="51" t="b">
        <v>0</v>
      </c>
      <c r="F621" t="b">
        <v>0</v>
      </c>
      <c r="G621" s="51" t="s">
        <v>1927</v>
      </c>
      <c r="H621" s="646"/>
      <c r="M621" s="646"/>
      <c r="R621" s="646"/>
    </row>
    <row r="622">
      <c r="A622" s="51" t="s">
        <v>1918</v>
      </c>
      <c r="C622" s="51" t="s">
        <v>1930</v>
      </c>
      <c r="D622" s="51" t="s">
        <v>366</v>
      </c>
      <c r="E622" s="51" t="b">
        <v>0</v>
      </c>
      <c r="F622" t="b">
        <v>0</v>
      </c>
      <c r="G622" s="51" t="s">
        <v>1927</v>
      </c>
      <c r="H622" s="646"/>
      <c r="M622" s="646"/>
      <c r="R622" s="646"/>
    </row>
    <row r="623">
      <c r="A623" s="51" t="s">
        <v>1918</v>
      </c>
      <c r="C623" s="51" t="s">
        <v>1931</v>
      </c>
      <c r="D623" s="51" t="s">
        <v>366</v>
      </c>
      <c r="E623" s="51" t="b">
        <v>0</v>
      </c>
      <c r="F623" t="b">
        <v>0</v>
      </c>
      <c r="H623" s="646"/>
      <c r="M623" s="646"/>
      <c r="R623" s="646"/>
    </row>
    <row r="624">
      <c r="A624" s="51" t="s">
        <v>1932</v>
      </c>
      <c r="B624" s="51" t="s">
        <v>1933</v>
      </c>
      <c r="C624" s="51" t="s">
        <v>1934</v>
      </c>
      <c r="D624" s="51" t="s">
        <v>366</v>
      </c>
      <c r="E624" s="51" t="b">
        <v>0</v>
      </c>
      <c r="F624" t="b">
        <v>0</v>
      </c>
      <c r="H624" s="646"/>
      <c r="M624" s="646"/>
      <c r="R624" s="646"/>
    </row>
    <row r="625">
      <c r="A625" s="51" t="s">
        <v>1932</v>
      </c>
      <c r="B625" s="51" t="s">
        <v>1935</v>
      </c>
      <c r="C625" s="51" t="s">
        <v>1936</v>
      </c>
      <c r="D625" s="51" t="s">
        <v>366</v>
      </c>
      <c r="E625" s="51" t="b">
        <v>0</v>
      </c>
      <c r="F625" t="b">
        <v>0</v>
      </c>
      <c r="H625" s="646"/>
      <c r="M625" s="646"/>
      <c r="R625" s="646"/>
    </row>
    <row r="626">
      <c r="A626" s="51" t="s">
        <v>1937</v>
      </c>
      <c r="B626" s="51" t="s">
        <v>1938</v>
      </c>
      <c r="C626" s="51" t="s">
        <v>1939</v>
      </c>
      <c r="D626" s="51" t="s">
        <v>366</v>
      </c>
      <c r="E626" t="b">
        <v>0</v>
      </c>
      <c r="F626" t="b">
        <v>0</v>
      </c>
      <c r="H626" s="646"/>
      <c r="M626" s="646"/>
      <c r="R626" s="646"/>
    </row>
    <row r="627">
      <c r="A627" s="51" t="s">
        <v>1940</v>
      </c>
      <c r="B627" s="51" t="s">
        <v>1679</v>
      </c>
      <c r="C627" s="51" t="s">
        <v>1941</v>
      </c>
      <c r="D627" s="51" t="s">
        <v>366</v>
      </c>
      <c r="E627" s="51" t="b">
        <v>0</v>
      </c>
      <c r="F627" t="b">
        <v>0</v>
      </c>
      <c r="H627" s="646"/>
      <c r="M627" s="646"/>
      <c r="R627" s="646"/>
    </row>
    <row r="628">
      <c r="A628" s="51" t="s">
        <v>1942</v>
      </c>
      <c r="B628" s="51" t="s">
        <v>1943</v>
      </c>
      <c r="C628" s="51" t="s">
        <v>1944</v>
      </c>
      <c r="D628" s="51" t="s">
        <v>366</v>
      </c>
      <c r="E628" t="b">
        <v>0</v>
      </c>
      <c r="F628" t="b">
        <v>0</v>
      </c>
      <c r="H628" s="646"/>
      <c r="M628" s="646"/>
      <c r="R628" s="646"/>
    </row>
    <row r="629">
      <c r="A629" s="51" t="s">
        <v>1942</v>
      </c>
      <c r="B629" s="51" t="s">
        <v>1943</v>
      </c>
      <c r="C629" s="51" t="s">
        <v>1944</v>
      </c>
      <c r="D629" s="51" t="s">
        <v>366</v>
      </c>
      <c r="E629" s="51" t="b">
        <v>0</v>
      </c>
      <c r="F629" t="b">
        <v>0</v>
      </c>
      <c r="H629" s="646"/>
      <c r="M629" s="646"/>
      <c r="R629" s="646"/>
    </row>
    <row r="630">
      <c r="A630" s="51" t="s">
        <v>1945</v>
      </c>
      <c r="B630" s="51" t="s">
        <v>1946</v>
      </c>
      <c r="C630" s="51" t="s">
        <v>1947</v>
      </c>
      <c r="D630" s="51" t="s">
        <v>366</v>
      </c>
      <c r="E630" s="51" t="b">
        <v>0</v>
      </c>
      <c r="F630" t="b">
        <v>0</v>
      </c>
      <c r="H630" s="646"/>
      <c r="M630" s="646"/>
      <c r="R630" s="646"/>
    </row>
    <row r="631">
      <c r="A631" s="51" t="s">
        <v>1948</v>
      </c>
      <c r="B631" s="51" t="s">
        <v>1783</v>
      </c>
      <c r="C631" s="51" t="s">
        <v>1949</v>
      </c>
      <c r="D631" s="51" t="s">
        <v>366</v>
      </c>
      <c r="E631" s="51" t="b">
        <v>0</v>
      </c>
      <c r="F631" t="b">
        <v>0</v>
      </c>
      <c r="H631" s="646"/>
      <c r="M631" s="646"/>
      <c r="R631" s="646"/>
    </row>
    <row r="632">
      <c r="A632" s="51" t="s">
        <v>1950</v>
      </c>
      <c r="B632" s="51" t="s">
        <v>674</v>
      </c>
      <c r="C632" s="51" t="s">
        <v>1951</v>
      </c>
      <c r="D632" s="51" t="s">
        <v>366</v>
      </c>
      <c r="E632" s="51" t="b">
        <v>0</v>
      </c>
      <c r="F632" t="b">
        <v>0</v>
      </c>
      <c r="G632" s="51" t="s">
        <v>1163</v>
      </c>
      <c r="H632" s="646"/>
      <c r="M632" s="646"/>
      <c r="R632" s="646"/>
    </row>
    <row r="633">
      <c r="A633" s="51" t="s">
        <v>1952</v>
      </c>
      <c r="B633" s="51" t="s">
        <v>1953</v>
      </c>
      <c r="C633" s="51" t="s">
        <v>1954</v>
      </c>
      <c r="D633" s="51" t="s">
        <v>366</v>
      </c>
      <c r="E633" s="51" t="b">
        <v>0</v>
      </c>
      <c r="F633" t="b">
        <v>0</v>
      </c>
      <c r="H633" s="646"/>
      <c r="M633" s="646"/>
      <c r="R633" s="646"/>
    </row>
    <row r="634">
      <c r="A634" s="51" t="s">
        <v>1955</v>
      </c>
      <c r="B634" s="51" t="s">
        <v>1956</v>
      </c>
      <c r="C634" s="51" t="s">
        <v>1957</v>
      </c>
      <c r="D634" s="51" t="s">
        <v>366</v>
      </c>
      <c r="E634" s="51" t="b">
        <v>0</v>
      </c>
      <c r="F634" t="b">
        <v>0</v>
      </c>
      <c r="H634" s="646"/>
      <c r="M634" s="646"/>
      <c r="R634" s="646"/>
    </row>
    <row r="635">
      <c r="A635" s="51" t="s">
        <v>1958</v>
      </c>
      <c r="B635" s="51" t="s">
        <v>1739</v>
      </c>
      <c r="C635" s="51" t="s">
        <v>1959</v>
      </c>
      <c r="D635" s="51" t="s">
        <v>366</v>
      </c>
      <c r="E635" t="b">
        <v>0</v>
      </c>
      <c r="F635" t="b">
        <v>0</v>
      </c>
      <c r="H635" s="646"/>
      <c r="M635" s="646"/>
      <c r="R635" s="646"/>
    </row>
    <row r="636">
      <c r="A636" s="51" t="s">
        <v>1958</v>
      </c>
      <c r="B636" s="51" t="s">
        <v>1739</v>
      </c>
      <c r="C636" s="51" t="s">
        <v>1960</v>
      </c>
      <c r="D636" s="51" t="s">
        <v>366</v>
      </c>
      <c r="E636" s="51" t="b">
        <v>0</v>
      </c>
      <c r="F636" t="b">
        <v>0</v>
      </c>
      <c r="H636" s="646"/>
      <c r="M636" s="646"/>
      <c r="R636" s="646"/>
    </row>
    <row r="637">
      <c r="A637" s="51" t="s">
        <v>1961</v>
      </c>
      <c r="B637" s="51" t="s">
        <v>1962</v>
      </c>
      <c r="C637" s="51" t="s">
        <v>1963</v>
      </c>
      <c r="D637" s="51" t="s">
        <v>366</v>
      </c>
      <c r="E637" s="51" t="b">
        <v>0</v>
      </c>
      <c r="F637" t="b">
        <v>0</v>
      </c>
      <c r="H637" s="646"/>
      <c r="M637" s="646"/>
      <c r="R637" s="646"/>
    </row>
    <row r="638">
      <c r="A638" s="51" t="s">
        <v>1964</v>
      </c>
      <c r="B638" s="51" t="s">
        <v>1962</v>
      </c>
      <c r="C638" s="51" t="s">
        <v>1965</v>
      </c>
      <c r="D638" s="51" t="s">
        <v>366</v>
      </c>
      <c r="E638" s="51" t="b">
        <v>0</v>
      </c>
      <c r="F638" t="b">
        <v>0</v>
      </c>
      <c r="H638" s="646"/>
      <c r="M638" s="646"/>
      <c r="R638" s="646"/>
    </row>
    <row r="639">
      <c r="A639" s="51" t="s">
        <v>1966</v>
      </c>
      <c r="B639" s="51" t="s">
        <v>1967</v>
      </c>
      <c r="C639" s="51" t="s">
        <v>1968</v>
      </c>
      <c r="D639" s="51" t="s">
        <v>366</v>
      </c>
      <c r="E639" s="51" t="b">
        <v>0</v>
      </c>
      <c r="F639" t="b">
        <v>0</v>
      </c>
      <c r="H639" s="646"/>
      <c r="M639" s="646"/>
      <c r="R639" s="646"/>
    </row>
    <row r="640">
      <c r="A640" s="51" t="s">
        <v>1969</v>
      </c>
      <c r="B640" s="51" t="s">
        <v>1970</v>
      </c>
      <c r="C640" s="51" t="s">
        <v>1971</v>
      </c>
      <c r="D640" s="51" t="s">
        <v>370</v>
      </c>
      <c r="E640" s="51" t="b">
        <v>0</v>
      </c>
      <c r="F640" t="b">
        <v>0</v>
      </c>
      <c r="H640" s="646"/>
      <c r="M640" s="646"/>
      <c r="R640" s="646"/>
    </row>
    <row r="641">
      <c r="A641" s="51" t="s">
        <v>1972</v>
      </c>
      <c r="B641" s="51" t="s">
        <v>1973</v>
      </c>
      <c r="C641" s="51" t="s">
        <v>1974</v>
      </c>
      <c r="D641" s="51" t="s">
        <v>366</v>
      </c>
      <c r="E641" s="51" t="b">
        <v>0</v>
      </c>
      <c r="F641" t="b">
        <v>0</v>
      </c>
      <c r="H641" s="646"/>
      <c r="M641" s="646"/>
      <c r="R641" s="646"/>
    </row>
    <row r="642">
      <c r="A642" s="51" t="s">
        <v>1972</v>
      </c>
      <c r="B642" s="51" t="s">
        <v>1973</v>
      </c>
      <c r="C642" s="51" t="s">
        <v>1975</v>
      </c>
      <c r="D642" s="51" t="s">
        <v>366</v>
      </c>
      <c r="E642" s="51" t="b">
        <v>0</v>
      </c>
      <c r="F642" t="b">
        <v>0</v>
      </c>
      <c r="H642" s="646"/>
      <c r="M642" s="646"/>
      <c r="R642" s="646"/>
    </row>
    <row r="643">
      <c r="A643" s="51" t="s">
        <v>1972</v>
      </c>
      <c r="B643" s="51" t="s">
        <v>1973</v>
      </c>
      <c r="C643" s="51" t="s">
        <v>1976</v>
      </c>
      <c r="D643" s="51" t="s">
        <v>366</v>
      </c>
      <c r="E643" s="51" t="b">
        <v>0</v>
      </c>
      <c r="F643" t="b">
        <v>0</v>
      </c>
      <c r="H643" s="646"/>
      <c r="M643" s="646"/>
      <c r="R643" s="646"/>
    </row>
    <row r="644">
      <c r="A644" s="51" t="s">
        <v>1972</v>
      </c>
      <c r="B644" s="51" t="s">
        <v>1973</v>
      </c>
      <c r="C644" s="51" t="s">
        <v>1977</v>
      </c>
      <c r="D644" s="51" t="s">
        <v>366</v>
      </c>
      <c r="E644" s="51" t="b">
        <v>0</v>
      </c>
      <c r="F644" t="b">
        <v>0</v>
      </c>
      <c r="H644" s="646"/>
      <c r="M644" s="646"/>
      <c r="R644" s="646"/>
    </row>
    <row r="645">
      <c r="A645" s="51" t="s">
        <v>1972</v>
      </c>
      <c r="B645" s="51" t="s">
        <v>1973</v>
      </c>
      <c r="C645" s="51" t="s">
        <v>1978</v>
      </c>
      <c r="D645" s="51" t="s">
        <v>366</v>
      </c>
      <c r="E645" t="b">
        <v>0</v>
      </c>
      <c r="F645" t="b">
        <v>0</v>
      </c>
      <c r="H645" s="646"/>
      <c r="M645" s="646"/>
      <c r="R645" s="646"/>
    </row>
    <row r="646">
      <c r="A646" s="51" t="s">
        <v>1017</v>
      </c>
      <c r="B646" s="51" t="s">
        <v>1979</v>
      </c>
      <c r="C646" s="51" t="s">
        <v>1980</v>
      </c>
      <c r="D646" s="51" t="s">
        <v>370</v>
      </c>
      <c r="E646" s="51" t="b">
        <v>0</v>
      </c>
      <c r="F646" t="b">
        <v>0</v>
      </c>
      <c r="H646" s="646"/>
      <c r="M646" s="646"/>
      <c r="R646" s="646"/>
    </row>
    <row r="647">
      <c r="A647" s="51" t="s">
        <v>1981</v>
      </c>
      <c r="B647" s="51" t="s">
        <v>1982</v>
      </c>
      <c r="C647" s="51" t="s">
        <v>1983</v>
      </c>
      <c r="D647" s="51" t="s">
        <v>370</v>
      </c>
      <c r="E647" s="51" t="b">
        <v>0</v>
      </c>
      <c r="F647" t="b">
        <v>0</v>
      </c>
      <c r="H647" s="646"/>
      <c r="M647" s="646"/>
      <c r="R647" s="646"/>
    </row>
    <row r="648">
      <c r="A648" s="51" t="s">
        <v>1981</v>
      </c>
      <c r="B648" s="51" t="s">
        <v>1984</v>
      </c>
      <c r="C648" s="51" t="s">
        <v>1985</v>
      </c>
      <c r="D648" s="51" t="s">
        <v>370</v>
      </c>
      <c r="E648" s="51" t="b">
        <v>0</v>
      </c>
      <c r="F648" t="b">
        <v>0</v>
      </c>
      <c r="H648" s="646"/>
      <c r="M648" s="646"/>
      <c r="R648" s="646"/>
    </row>
    <row r="649">
      <c r="A649" s="51" t="s">
        <v>1986</v>
      </c>
      <c r="C649" s="51" t="s">
        <v>1987</v>
      </c>
      <c r="D649" s="51" t="s">
        <v>366</v>
      </c>
      <c r="E649" s="51" t="b">
        <v>0</v>
      </c>
      <c r="F649" t="b">
        <v>0</v>
      </c>
      <c r="H649" s="646"/>
      <c r="M649" s="646"/>
      <c r="R649" s="646"/>
    </row>
    <row r="650">
      <c r="A650" s="51" t="s">
        <v>1988</v>
      </c>
      <c r="B650" s="51" t="s">
        <v>1989</v>
      </c>
      <c r="C650" s="51" t="s">
        <v>1990</v>
      </c>
      <c r="D650" s="51" t="s">
        <v>366</v>
      </c>
      <c r="E650" s="51" t="b">
        <v>0</v>
      </c>
      <c r="F650" t="b">
        <v>0</v>
      </c>
      <c r="H650" s="646"/>
      <c r="M650" s="646"/>
      <c r="R650" s="646"/>
    </row>
    <row r="651">
      <c r="A651" s="51" t="s">
        <v>1991</v>
      </c>
      <c r="B651" s="51" t="s">
        <v>1992</v>
      </c>
      <c r="C651" s="51" t="s">
        <v>1993</v>
      </c>
      <c r="D651" s="51" t="s">
        <v>370</v>
      </c>
      <c r="E651" s="51" t="b">
        <v>0</v>
      </c>
      <c r="F651" t="b">
        <v>0</v>
      </c>
      <c r="H651" s="646"/>
      <c r="M651" s="646"/>
      <c r="R651" s="646"/>
    </row>
    <row r="652">
      <c r="A652" s="51" t="s">
        <v>1994</v>
      </c>
      <c r="B652" s="51" t="s">
        <v>1995</v>
      </c>
      <c r="C652" s="51" t="s">
        <v>1996</v>
      </c>
      <c r="D652" s="51" t="s">
        <v>366</v>
      </c>
      <c r="E652" s="51" t="b">
        <v>0</v>
      </c>
      <c r="F652" t="b">
        <v>0</v>
      </c>
      <c r="H652" s="646"/>
      <c r="M652" s="646"/>
      <c r="R652" s="646"/>
    </row>
    <row r="653">
      <c r="A653" s="51" t="s">
        <v>1997</v>
      </c>
      <c r="B653" s="51" t="s">
        <v>991</v>
      </c>
      <c r="C653" s="51" t="s">
        <v>1998</v>
      </c>
      <c r="D653" s="51" t="s">
        <v>370</v>
      </c>
      <c r="E653" s="51" t="b">
        <v>0</v>
      </c>
      <c r="F653" t="b">
        <v>0</v>
      </c>
      <c r="H653" s="646"/>
      <c r="M653" s="646"/>
      <c r="R653" s="646"/>
    </row>
    <row r="654">
      <c r="A654" s="51" t="s">
        <v>1999</v>
      </c>
      <c r="B654" s="51" t="s">
        <v>961</v>
      </c>
      <c r="C654" s="51" t="s">
        <v>2000</v>
      </c>
      <c r="D654" s="51" t="s">
        <v>366</v>
      </c>
      <c r="E654" s="51" t="b">
        <v>0</v>
      </c>
      <c r="F654" t="b">
        <v>0</v>
      </c>
      <c r="H654" s="646"/>
      <c r="M654" s="646"/>
      <c r="R654" s="646"/>
    </row>
    <row r="655">
      <c r="A655" s="51" t="s">
        <v>2001</v>
      </c>
      <c r="B655" s="51" t="s">
        <v>2002</v>
      </c>
      <c r="C655" s="51" t="s">
        <v>2003</v>
      </c>
      <c r="D655" s="51" t="s">
        <v>370</v>
      </c>
      <c r="E655" s="51" t="b">
        <v>0</v>
      </c>
      <c r="F655" t="b">
        <v>0</v>
      </c>
      <c r="H655" s="646"/>
      <c r="M655" s="646"/>
      <c r="R655" s="646"/>
    </row>
    <row r="656">
      <c r="A656" s="51" t="s">
        <v>2004</v>
      </c>
      <c r="B656" s="51" t="s">
        <v>780</v>
      </c>
      <c r="C656" s="51" t="s">
        <v>2005</v>
      </c>
      <c r="D656" s="51" t="s">
        <v>366</v>
      </c>
      <c r="E656" s="51" t="b">
        <v>0</v>
      </c>
      <c r="F656" t="b">
        <v>0</v>
      </c>
      <c r="H656" s="646"/>
      <c r="M656" s="646"/>
      <c r="R656" s="646"/>
    </row>
    <row r="657">
      <c r="A657" s="51" t="s">
        <v>2006</v>
      </c>
      <c r="B657" s="51" t="s">
        <v>2007</v>
      </c>
      <c r="C657" s="51" t="s">
        <v>2008</v>
      </c>
      <c r="D657" s="51" t="s">
        <v>370</v>
      </c>
      <c r="E657" s="51" t="b">
        <v>0</v>
      </c>
      <c r="F657" t="b">
        <v>0</v>
      </c>
      <c r="H657" s="646"/>
      <c r="M657" s="646"/>
      <c r="R657" s="646"/>
    </row>
    <row r="658">
      <c r="A658" s="51" t="s">
        <v>2009</v>
      </c>
      <c r="B658" s="51" t="s">
        <v>1165</v>
      </c>
      <c r="C658" s="51" t="s">
        <v>2010</v>
      </c>
      <c r="D658" s="51" t="s">
        <v>366</v>
      </c>
      <c r="E658" s="51" t="b">
        <v>0</v>
      </c>
      <c r="F658" t="b">
        <v>0</v>
      </c>
      <c r="H658" s="646"/>
      <c r="M658" s="646"/>
      <c r="R658" s="646"/>
    </row>
    <row r="659">
      <c r="A659" s="51" t="s">
        <v>2009</v>
      </c>
      <c r="B659" s="51" t="s">
        <v>1165</v>
      </c>
      <c r="C659" s="51" t="s">
        <v>2011</v>
      </c>
      <c r="D659" s="51" t="s">
        <v>366</v>
      </c>
      <c r="E659" s="51" t="b">
        <v>0</v>
      </c>
      <c r="F659" t="b">
        <v>0</v>
      </c>
      <c r="H659" s="646"/>
      <c r="M659" s="646"/>
      <c r="R659" s="646"/>
    </row>
    <row r="660">
      <c r="A660" s="51" t="s">
        <v>2009</v>
      </c>
      <c r="B660" s="51" t="s">
        <v>2012</v>
      </c>
      <c r="C660" s="51" t="s">
        <v>2013</v>
      </c>
      <c r="D660" s="51" t="s">
        <v>366</v>
      </c>
      <c r="E660" s="51" t="b">
        <v>0</v>
      </c>
      <c r="F660" t="b">
        <v>0</v>
      </c>
      <c r="H660" s="646"/>
      <c r="M660" s="646"/>
      <c r="R660" s="646"/>
    </row>
    <row r="661">
      <c r="A661" s="51" t="s">
        <v>2009</v>
      </c>
      <c r="B661" s="51" t="s">
        <v>2014</v>
      </c>
      <c r="C661" s="51" t="s">
        <v>2015</v>
      </c>
      <c r="D661" s="51" t="s">
        <v>366</v>
      </c>
      <c r="E661" s="51" t="b">
        <v>0</v>
      </c>
      <c r="F661" t="b">
        <v>0</v>
      </c>
      <c r="H661" s="646"/>
      <c r="M661" s="646"/>
      <c r="R661" s="646"/>
    </row>
    <row r="662">
      <c r="A662" s="51" t="s">
        <v>2009</v>
      </c>
      <c r="B662" s="51" t="s">
        <v>1165</v>
      </c>
      <c r="C662" s="51" t="s">
        <v>2016</v>
      </c>
      <c r="D662" s="51" t="s">
        <v>366</v>
      </c>
      <c r="E662" s="51" t="b">
        <v>0</v>
      </c>
      <c r="F662" t="b">
        <v>0</v>
      </c>
      <c r="H662" s="646"/>
      <c r="M662" s="646"/>
      <c r="R662" s="646"/>
    </row>
    <row r="663">
      <c r="A663" s="51" t="s">
        <v>2009</v>
      </c>
      <c r="B663" s="51" t="s">
        <v>2017</v>
      </c>
      <c r="C663" s="51" t="s">
        <v>2018</v>
      </c>
      <c r="D663" s="51" t="s">
        <v>366</v>
      </c>
      <c r="E663" s="51" t="b">
        <v>0</v>
      </c>
      <c r="F663" t="b">
        <v>0</v>
      </c>
      <c r="H663" s="646"/>
      <c r="M663" s="646"/>
      <c r="R663" s="646"/>
    </row>
    <row r="664">
      <c r="A664" s="51" t="s">
        <v>2019</v>
      </c>
      <c r="B664" s="51" t="s">
        <v>375</v>
      </c>
      <c r="C664" s="51" t="s">
        <v>2020</v>
      </c>
      <c r="D664" s="51" t="s">
        <v>366</v>
      </c>
      <c r="E664" s="51" t="b">
        <v>0</v>
      </c>
      <c r="F664" t="b">
        <v>0</v>
      </c>
      <c r="H664" s="646"/>
      <c r="M664" s="646"/>
      <c r="R664" s="646"/>
    </row>
    <row r="665">
      <c r="A665" s="51" t="s">
        <v>2019</v>
      </c>
      <c r="B665" s="51" t="s">
        <v>375</v>
      </c>
      <c r="C665" s="51" t="s">
        <v>2021</v>
      </c>
      <c r="D665" s="51" t="s">
        <v>366</v>
      </c>
      <c r="E665" s="51" t="b">
        <v>0</v>
      </c>
      <c r="F665" t="b">
        <v>0</v>
      </c>
      <c r="H665" s="646"/>
      <c r="M665" s="646"/>
      <c r="R665" s="646"/>
    </row>
    <row r="666">
      <c r="A666" s="51" t="s">
        <v>2022</v>
      </c>
      <c r="B666" s="51" t="s">
        <v>2023</v>
      </c>
      <c r="C666" s="51" t="s">
        <v>2024</v>
      </c>
      <c r="D666" s="51" t="s">
        <v>370</v>
      </c>
      <c r="E666" s="51" t="b">
        <v>0</v>
      </c>
      <c r="F666" t="b">
        <v>0</v>
      </c>
      <c r="H666" s="646"/>
      <c r="M666" s="646"/>
      <c r="R666" s="646"/>
    </row>
    <row r="667">
      <c r="A667" s="51" t="s">
        <v>2022</v>
      </c>
      <c r="B667" s="51" t="s">
        <v>2023</v>
      </c>
      <c r="C667" s="51" t="s">
        <v>2025</v>
      </c>
      <c r="D667" s="51" t="s">
        <v>370</v>
      </c>
      <c r="E667" s="51" t="b">
        <v>0</v>
      </c>
      <c r="F667" t="b">
        <v>0</v>
      </c>
      <c r="H667" s="646"/>
      <c r="M667" s="646"/>
      <c r="R667" s="646"/>
    </row>
    <row r="668">
      <c r="A668" s="51" t="s">
        <v>2026</v>
      </c>
      <c r="B668" s="51" t="s">
        <v>2027</v>
      </c>
      <c r="C668" s="51" t="s">
        <v>2028</v>
      </c>
      <c r="D668" s="51" t="s">
        <v>366</v>
      </c>
      <c r="E668" t="b">
        <v>0</v>
      </c>
      <c r="F668" t="b">
        <v>0</v>
      </c>
      <c r="H668" s="646"/>
      <c r="M668" s="646"/>
      <c r="R668" s="646"/>
    </row>
    <row r="669">
      <c r="A669" s="51" t="s">
        <v>2029</v>
      </c>
      <c r="B669" s="51" t="s">
        <v>1979</v>
      </c>
      <c r="C669" s="51" t="s">
        <v>2030</v>
      </c>
      <c r="D669" s="51" t="s">
        <v>366</v>
      </c>
      <c r="E669" s="51" t="b">
        <v>0</v>
      </c>
      <c r="F669" t="b">
        <v>0</v>
      </c>
      <c r="H669" s="646"/>
      <c r="M669" s="646"/>
      <c r="R669" s="646"/>
    </row>
    <row r="670">
      <c r="A670" s="51" t="s">
        <v>2031</v>
      </c>
      <c r="B670" s="51" t="s">
        <v>390</v>
      </c>
      <c r="C670" s="51" t="s">
        <v>2032</v>
      </c>
      <c r="D670" s="51" t="s">
        <v>366</v>
      </c>
      <c r="E670" s="51" t="b">
        <v>0</v>
      </c>
      <c r="F670" t="b">
        <v>0</v>
      </c>
      <c r="H670" s="646"/>
      <c r="M670" s="646"/>
      <c r="R670" s="646"/>
    </row>
    <row r="671">
      <c r="A671" s="51" t="s">
        <v>2033</v>
      </c>
      <c r="B671" s="51" t="s">
        <v>2034</v>
      </c>
      <c r="C671" s="51" t="s">
        <v>2035</v>
      </c>
      <c r="D671" s="51" t="s">
        <v>366</v>
      </c>
      <c r="E671" s="51" t="b">
        <v>0</v>
      </c>
      <c r="F671" t="b">
        <v>0</v>
      </c>
      <c r="H671" s="646"/>
      <c r="M671" s="646"/>
      <c r="R671" s="646"/>
    </row>
    <row r="672">
      <c r="A672" s="51" t="s">
        <v>2036</v>
      </c>
      <c r="C672" s="51" t="s">
        <v>2037</v>
      </c>
      <c r="D672" s="51" t="s">
        <v>370</v>
      </c>
      <c r="E672" s="51" t="b">
        <v>0</v>
      </c>
      <c r="F672" t="b">
        <v>0</v>
      </c>
      <c r="G672" s="51" t="s">
        <v>506</v>
      </c>
      <c r="H672" s="646"/>
      <c r="M672" s="646"/>
      <c r="R672" s="646"/>
    </row>
    <row r="673">
      <c r="A673" s="51" t="s">
        <v>2038</v>
      </c>
      <c r="B673" s="51" t="s">
        <v>2039</v>
      </c>
      <c r="C673" s="51" t="s">
        <v>2040</v>
      </c>
      <c r="D673" s="51" t="s">
        <v>366</v>
      </c>
      <c r="E673" s="51" t="b">
        <v>0</v>
      </c>
      <c r="F673" t="b">
        <v>0</v>
      </c>
      <c r="H673" s="646"/>
      <c r="M673" s="646"/>
      <c r="R673" s="646"/>
    </row>
    <row r="674">
      <c r="A674" s="51" t="s">
        <v>2041</v>
      </c>
      <c r="B674" s="51" t="s">
        <v>2042</v>
      </c>
      <c r="C674" s="51" t="s">
        <v>2043</v>
      </c>
      <c r="D674" s="51" t="s">
        <v>370</v>
      </c>
      <c r="E674" s="51" t="b">
        <v>1</v>
      </c>
      <c r="F674" t="b">
        <v>0</v>
      </c>
      <c r="H674" s="646"/>
      <c r="M674" s="646"/>
      <c r="R674" s="646"/>
    </row>
    <row r="675">
      <c r="A675" s="51" t="s">
        <v>2044</v>
      </c>
      <c r="B675" s="51" t="s">
        <v>868</v>
      </c>
      <c r="C675" s="51" t="s">
        <v>2045</v>
      </c>
      <c r="D675" s="51" t="s">
        <v>370</v>
      </c>
      <c r="E675" s="51" t="b">
        <v>0</v>
      </c>
      <c r="F675" t="b">
        <v>0</v>
      </c>
      <c r="H675" s="646"/>
      <c r="M675" s="646"/>
      <c r="R675" s="646"/>
    </row>
    <row r="676">
      <c r="A676" s="51" t="s">
        <v>2044</v>
      </c>
      <c r="B676" s="51" t="s">
        <v>868</v>
      </c>
      <c r="C676" s="51" t="s">
        <v>2046</v>
      </c>
      <c r="D676" s="51" t="s">
        <v>370</v>
      </c>
      <c r="E676" s="51" t="b">
        <v>0</v>
      </c>
      <c r="F676" t="b">
        <v>0</v>
      </c>
      <c r="H676" s="646"/>
      <c r="M676" s="646"/>
      <c r="R676" s="646"/>
    </row>
    <row r="677">
      <c r="A677" s="51" t="s">
        <v>2044</v>
      </c>
      <c r="B677" s="51" t="s">
        <v>868</v>
      </c>
      <c r="C677" s="51" t="s">
        <v>2047</v>
      </c>
      <c r="D677" s="51" t="s">
        <v>370</v>
      </c>
      <c r="E677" s="51" t="b">
        <v>0</v>
      </c>
      <c r="F677" t="b">
        <v>0</v>
      </c>
      <c r="H677" s="646"/>
      <c r="M677" s="646"/>
      <c r="R677" s="646"/>
    </row>
    <row r="678">
      <c r="A678" s="51" t="s">
        <v>2044</v>
      </c>
      <c r="B678" s="51" t="s">
        <v>868</v>
      </c>
      <c r="C678" s="51" t="s">
        <v>2048</v>
      </c>
      <c r="D678" s="51" t="s">
        <v>370</v>
      </c>
      <c r="E678" s="51" t="b">
        <v>0</v>
      </c>
      <c r="F678" t="b">
        <v>0</v>
      </c>
      <c r="H678" s="646"/>
      <c r="M678" s="646"/>
      <c r="R678" s="646"/>
    </row>
    <row r="679">
      <c r="A679" s="51" t="s">
        <v>2044</v>
      </c>
      <c r="B679" s="51" t="s">
        <v>868</v>
      </c>
      <c r="C679" s="51" t="s">
        <v>2049</v>
      </c>
      <c r="D679" s="51" t="s">
        <v>370</v>
      </c>
      <c r="E679" s="51" t="b">
        <v>0</v>
      </c>
      <c r="F679" t="b">
        <v>0</v>
      </c>
      <c r="H679" s="646"/>
      <c r="M679" s="646"/>
      <c r="R679" s="646"/>
    </row>
    <row r="680">
      <c r="A680" s="51" t="s">
        <v>2044</v>
      </c>
      <c r="B680" s="51" t="s">
        <v>868</v>
      </c>
      <c r="C680" s="51" t="s">
        <v>2050</v>
      </c>
      <c r="D680" s="51" t="s">
        <v>370</v>
      </c>
      <c r="E680" s="51" t="b">
        <v>0</v>
      </c>
      <c r="F680" t="b">
        <v>0</v>
      </c>
      <c r="H680" s="646"/>
      <c r="M680" s="646"/>
      <c r="R680" s="646"/>
    </row>
    <row r="681">
      <c r="A681" s="51" t="s">
        <v>2044</v>
      </c>
      <c r="B681" s="51" t="s">
        <v>868</v>
      </c>
      <c r="C681" s="51" t="s">
        <v>2051</v>
      </c>
      <c r="D681" s="51" t="s">
        <v>370</v>
      </c>
      <c r="E681" s="51" t="b">
        <v>0</v>
      </c>
      <c r="F681" t="b">
        <v>0</v>
      </c>
      <c r="H681" s="646"/>
      <c r="M681" s="646"/>
      <c r="R681" s="646"/>
    </row>
    <row r="682">
      <c r="A682" s="51" t="s">
        <v>2052</v>
      </c>
      <c r="B682" s="51" t="s">
        <v>2053</v>
      </c>
      <c r="C682" s="51" t="s">
        <v>2054</v>
      </c>
      <c r="D682" s="51" t="s">
        <v>366</v>
      </c>
      <c r="E682" t="b">
        <v>0</v>
      </c>
      <c r="F682" t="b">
        <v>0</v>
      </c>
      <c r="H682" s="646"/>
      <c r="M682" s="646"/>
      <c r="R682" s="646"/>
    </row>
    <row r="683">
      <c r="A683" s="51" t="s">
        <v>2055</v>
      </c>
      <c r="B683" s="51" t="s">
        <v>2056</v>
      </c>
      <c r="C683" s="51" t="s">
        <v>2057</v>
      </c>
      <c r="D683" s="51" t="s">
        <v>366</v>
      </c>
      <c r="E683" s="51" t="b">
        <v>0</v>
      </c>
      <c r="F683" t="b">
        <v>0</v>
      </c>
      <c r="H683" s="646"/>
      <c r="M683" s="646"/>
      <c r="R683" s="646"/>
    </row>
    <row r="684">
      <c r="A684" s="51" t="s">
        <v>2058</v>
      </c>
      <c r="B684" s="51" t="s">
        <v>2059</v>
      </c>
      <c r="C684" s="51" t="s">
        <v>2060</v>
      </c>
      <c r="D684" s="51" t="s">
        <v>366</v>
      </c>
      <c r="E684" t="b">
        <v>0</v>
      </c>
      <c r="F684" t="b">
        <v>0</v>
      </c>
      <c r="H684" s="646"/>
      <c r="M684" s="646"/>
      <c r="R684" s="646"/>
    </row>
    <row r="685">
      <c r="A685" s="51" t="s">
        <v>2061</v>
      </c>
      <c r="C685" s="51" t="s">
        <v>2062</v>
      </c>
      <c r="D685" s="51" t="s">
        <v>366</v>
      </c>
      <c r="E685" s="51" t="b">
        <v>0</v>
      </c>
      <c r="F685" t="b">
        <v>0</v>
      </c>
      <c r="H685" s="646"/>
      <c r="M685" s="646"/>
      <c r="R685" s="646"/>
    </row>
    <row r="686">
      <c r="A686" s="51" t="s">
        <v>2061</v>
      </c>
      <c r="C686" s="51" t="s">
        <v>2063</v>
      </c>
      <c r="D686" s="51" t="s">
        <v>366</v>
      </c>
      <c r="E686" s="51" t="b">
        <v>0</v>
      </c>
      <c r="F686" t="b">
        <v>0</v>
      </c>
      <c r="G686" s="51" t="s">
        <v>2064</v>
      </c>
      <c r="H686" s="646"/>
      <c r="M686" s="646"/>
      <c r="R686" s="646"/>
    </row>
    <row r="687">
      <c r="A687" s="51" t="s">
        <v>2065</v>
      </c>
      <c r="B687" s="51" t="s">
        <v>2066</v>
      </c>
      <c r="C687" s="51" t="s">
        <v>2067</v>
      </c>
      <c r="D687" s="51" t="s">
        <v>366</v>
      </c>
      <c r="E687" s="51" t="b">
        <v>0</v>
      </c>
      <c r="F687" t="b">
        <v>0</v>
      </c>
      <c r="H687" s="646"/>
      <c r="M687" s="646"/>
      <c r="R687" s="646"/>
    </row>
    <row r="688">
      <c r="A688" s="51" t="s">
        <v>2065</v>
      </c>
      <c r="B688" s="51" t="s">
        <v>2066</v>
      </c>
      <c r="C688" s="51" t="s">
        <v>2068</v>
      </c>
      <c r="D688" s="51" t="s">
        <v>366</v>
      </c>
      <c r="E688" s="51" t="b">
        <v>0</v>
      </c>
      <c r="F688" t="b">
        <v>0</v>
      </c>
      <c r="H688" s="646"/>
      <c r="M688" s="646"/>
      <c r="R688" s="646"/>
    </row>
    <row r="689">
      <c r="A689" s="51" t="s">
        <v>2065</v>
      </c>
      <c r="B689" s="51" t="s">
        <v>2066</v>
      </c>
      <c r="C689" s="652" t="s">
        <v>2069</v>
      </c>
      <c r="D689" s="51" t="s">
        <v>366</v>
      </c>
      <c r="E689" s="51" t="b">
        <v>0</v>
      </c>
      <c r="F689" t="b">
        <v>0</v>
      </c>
      <c r="H689" s="646"/>
      <c r="M689" s="646"/>
      <c r="R689" s="646"/>
    </row>
    <row r="690">
      <c r="A690" s="51" t="s">
        <v>2065</v>
      </c>
      <c r="B690" s="51" t="s">
        <v>2066</v>
      </c>
      <c r="C690" s="652" t="s">
        <v>2070</v>
      </c>
      <c r="D690" s="51" t="s">
        <v>366</v>
      </c>
      <c r="E690" s="51" t="b">
        <v>0</v>
      </c>
      <c r="F690" t="b">
        <v>0</v>
      </c>
      <c r="H690" s="646"/>
      <c r="M690" s="646"/>
      <c r="R690" s="646"/>
    </row>
    <row r="691">
      <c r="A691" s="51" t="s">
        <v>2065</v>
      </c>
      <c r="B691" s="51" t="s">
        <v>2066</v>
      </c>
      <c r="C691" s="51" t="s">
        <v>2071</v>
      </c>
      <c r="D691" s="51" t="s">
        <v>366</v>
      </c>
      <c r="E691" s="51" t="b">
        <v>0</v>
      </c>
      <c r="F691" t="b">
        <v>0</v>
      </c>
      <c r="H691" s="646"/>
      <c r="M691" s="646"/>
      <c r="R691" s="646"/>
    </row>
    <row r="692">
      <c r="A692" s="51" t="s">
        <v>2072</v>
      </c>
      <c r="B692" s="51" t="s">
        <v>718</v>
      </c>
      <c r="C692" s="51" t="s">
        <v>2073</v>
      </c>
      <c r="D692" s="51" t="s">
        <v>366</v>
      </c>
      <c r="E692" s="51" t="b">
        <v>0</v>
      </c>
      <c r="F692" t="b">
        <v>0</v>
      </c>
      <c r="H692" s="646"/>
      <c r="M692" s="646"/>
      <c r="R692" s="646"/>
    </row>
    <row r="693">
      <c r="A693" s="51" t="s">
        <v>678</v>
      </c>
      <c r="B693" s="51" t="s">
        <v>1301</v>
      </c>
      <c r="C693" s="51" t="s">
        <v>2074</v>
      </c>
      <c r="D693" s="51" t="s">
        <v>366</v>
      </c>
      <c r="E693" s="51" t="b">
        <v>0</v>
      </c>
      <c r="F693" t="b">
        <v>0</v>
      </c>
      <c r="H693" s="646"/>
      <c r="M693" s="646"/>
      <c r="R693" s="646"/>
    </row>
    <row r="694">
      <c r="A694" s="51" t="s">
        <v>2075</v>
      </c>
      <c r="B694" s="51" t="s">
        <v>876</v>
      </c>
      <c r="C694" s="51" t="s">
        <v>2076</v>
      </c>
      <c r="D694" s="51" t="s">
        <v>366</v>
      </c>
      <c r="E694" s="51" t="b">
        <v>0</v>
      </c>
      <c r="F694" t="b">
        <v>0</v>
      </c>
      <c r="H694" s="646"/>
      <c r="M694" s="646"/>
      <c r="R694" s="646"/>
    </row>
    <row r="695">
      <c r="A695" s="51" t="s">
        <v>2077</v>
      </c>
      <c r="B695" s="51" t="s">
        <v>2078</v>
      </c>
      <c r="C695" s="51" t="s">
        <v>2079</v>
      </c>
      <c r="D695" s="51" t="s">
        <v>366</v>
      </c>
      <c r="E695" s="51" t="b">
        <v>0</v>
      </c>
      <c r="F695" t="b">
        <v>0</v>
      </c>
      <c r="H695" s="646"/>
      <c r="M695" s="646"/>
      <c r="R695" s="646"/>
    </row>
    <row r="696">
      <c r="A696" s="51" t="s">
        <v>2080</v>
      </c>
      <c r="B696" s="51" t="s">
        <v>2081</v>
      </c>
      <c r="C696" s="51" t="s">
        <v>2082</v>
      </c>
      <c r="D696" s="51" t="s">
        <v>366</v>
      </c>
      <c r="E696" s="51" t="b">
        <v>0</v>
      </c>
      <c r="F696" t="b">
        <v>0</v>
      </c>
      <c r="H696" s="646"/>
      <c r="M696" s="646"/>
      <c r="R696" s="646"/>
    </row>
    <row r="697">
      <c r="A697" s="51" t="s">
        <v>2083</v>
      </c>
      <c r="B697" s="51" t="s">
        <v>523</v>
      </c>
      <c r="C697" s="51" t="s">
        <v>2084</v>
      </c>
      <c r="D697" s="51" t="s">
        <v>366</v>
      </c>
      <c r="E697" s="51" t="b">
        <v>0</v>
      </c>
      <c r="F697" t="b">
        <v>0</v>
      </c>
      <c r="H697" s="646"/>
      <c r="M697" s="646"/>
      <c r="R697" s="646"/>
    </row>
    <row r="698">
      <c r="A698" s="51" t="s">
        <v>2085</v>
      </c>
      <c r="C698" s="51" t="s">
        <v>2086</v>
      </c>
      <c r="D698" s="51" t="s">
        <v>366</v>
      </c>
      <c r="E698" t="b">
        <v>0</v>
      </c>
      <c r="F698" t="b">
        <v>0</v>
      </c>
      <c r="G698" s="51" t="s">
        <v>2087</v>
      </c>
      <c r="H698" s="646"/>
      <c r="M698" s="646"/>
      <c r="R698" s="646"/>
    </row>
    <row r="699">
      <c r="A699" s="51" t="s">
        <v>2085</v>
      </c>
      <c r="C699" s="51" t="s">
        <v>2088</v>
      </c>
      <c r="D699" s="51" t="s">
        <v>366</v>
      </c>
      <c r="E699" t="b">
        <v>0</v>
      </c>
      <c r="F699" t="b">
        <v>0</v>
      </c>
      <c r="G699" s="51" t="s">
        <v>1163</v>
      </c>
      <c r="H699" s="646"/>
      <c r="M699" s="646"/>
      <c r="R699" s="646"/>
    </row>
    <row r="700">
      <c r="A700" s="51" t="s">
        <v>2085</v>
      </c>
      <c r="C700" s="51" t="s">
        <v>2089</v>
      </c>
      <c r="D700" s="51" t="s">
        <v>366</v>
      </c>
      <c r="E700" s="51" t="b">
        <v>0</v>
      </c>
      <c r="F700" t="b">
        <v>0</v>
      </c>
      <c r="G700" s="51" t="s">
        <v>2090</v>
      </c>
      <c r="H700" s="646"/>
      <c r="M700" s="646"/>
      <c r="R700" s="646"/>
    </row>
    <row r="701">
      <c r="A701" s="51" t="s">
        <v>2091</v>
      </c>
      <c r="B701" s="51" t="s">
        <v>1097</v>
      </c>
      <c r="C701" s="51" t="s">
        <v>2092</v>
      </c>
      <c r="D701" s="51" t="s">
        <v>370</v>
      </c>
      <c r="E701" s="51" t="b">
        <v>1</v>
      </c>
      <c r="F701" t="b">
        <v>0</v>
      </c>
      <c r="H701" s="646"/>
      <c r="M701" s="646"/>
      <c r="R701" s="646"/>
    </row>
    <row r="702">
      <c r="A702" s="51" t="s">
        <v>2091</v>
      </c>
      <c r="B702" s="51" t="s">
        <v>2093</v>
      </c>
      <c r="C702" s="51" t="s">
        <v>2094</v>
      </c>
      <c r="D702" s="51" t="s">
        <v>366</v>
      </c>
      <c r="E702" t="b">
        <v>0</v>
      </c>
      <c r="F702" t="b">
        <v>0</v>
      </c>
      <c r="H702" s="646"/>
      <c r="M702" s="646"/>
      <c r="R702" s="646"/>
    </row>
    <row r="703">
      <c r="A703" s="51" t="s">
        <v>2095</v>
      </c>
      <c r="B703" s="51" t="s">
        <v>1042</v>
      </c>
      <c r="C703" s="51" t="s">
        <v>2096</v>
      </c>
      <c r="D703" s="51" t="s">
        <v>366</v>
      </c>
      <c r="E703" s="51" t="b">
        <v>0</v>
      </c>
      <c r="F703" t="b">
        <v>0</v>
      </c>
      <c r="H703" s="646"/>
      <c r="M703" s="646"/>
      <c r="R703" s="646"/>
    </row>
    <row r="704">
      <c r="A704" s="51" t="s">
        <v>2097</v>
      </c>
      <c r="B704" s="51" t="s">
        <v>2098</v>
      </c>
      <c r="C704" s="51" t="s">
        <v>2099</v>
      </c>
      <c r="D704" s="51" t="s">
        <v>366</v>
      </c>
      <c r="E704" t="b">
        <v>0</v>
      </c>
      <c r="F704" t="b">
        <v>0</v>
      </c>
      <c r="H704" s="646"/>
      <c r="M704" s="646"/>
      <c r="R704" s="646"/>
    </row>
    <row r="705">
      <c r="A705" s="51" t="s">
        <v>2100</v>
      </c>
      <c r="B705" s="51" t="s">
        <v>2101</v>
      </c>
      <c r="C705" s="51" t="s">
        <v>2102</v>
      </c>
      <c r="D705" s="51" t="s">
        <v>366</v>
      </c>
      <c r="E705" s="51" t="b">
        <v>0</v>
      </c>
      <c r="F705" t="b">
        <v>0</v>
      </c>
      <c r="H705" s="646"/>
      <c r="M705" s="646"/>
      <c r="R705" s="646"/>
    </row>
    <row r="706">
      <c r="A706" s="51" t="s">
        <v>2100</v>
      </c>
      <c r="B706" s="51" t="s">
        <v>2101</v>
      </c>
      <c r="C706" s="51" t="s">
        <v>2103</v>
      </c>
      <c r="D706" s="51" t="s">
        <v>366</v>
      </c>
      <c r="E706" s="51" t="b">
        <v>0</v>
      </c>
      <c r="F706" t="b">
        <v>0</v>
      </c>
      <c r="H706" s="646"/>
      <c r="M706" s="646"/>
      <c r="R706" s="646"/>
    </row>
    <row r="707">
      <c r="A707" s="51" t="s">
        <v>2100</v>
      </c>
      <c r="B707" s="51" t="s">
        <v>2101</v>
      </c>
      <c r="C707" s="51" t="s">
        <v>2104</v>
      </c>
      <c r="D707" s="51" t="s">
        <v>366</v>
      </c>
      <c r="E707" s="51" t="b">
        <v>0</v>
      </c>
      <c r="F707" t="b">
        <v>0</v>
      </c>
      <c r="H707" s="646"/>
      <c r="M707" s="646"/>
      <c r="R707" s="646"/>
    </row>
    <row r="708">
      <c r="A708" s="51" t="s">
        <v>2105</v>
      </c>
      <c r="B708" s="51" t="s">
        <v>2106</v>
      </c>
      <c r="C708" s="51" t="s">
        <v>2107</v>
      </c>
      <c r="D708" s="51" t="s">
        <v>370</v>
      </c>
      <c r="E708" s="51" t="b">
        <v>0</v>
      </c>
      <c r="F708" t="b">
        <v>0</v>
      </c>
      <c r="H708" s="646"/>
      <c r="M708" s="646"/>
      <c r="R708" s="646"/>
    </row>
    <row r="709">
      <c r="A709" s="51" t="s">
        <v>2105</v>
      </c>
      <c r="B709" s="51" t="s">
        <v>2106</v>
      </c>
      <c r="C709" s="51" t="s">
        <v>2108</v>
      </c>
      <c r="D709" s="51" t="s">
        <v>370</v>
      </c>
      <c r="E709" s="51" t="b">
        <v>0</v>
      </c>
      <c r="F709" t="b">
        <v>0</v>
      </c>
      <c r="H709" s="646"/>
      <c r="M709" s="646"/>
      <c r="R709" s="646"/>
    </row>
    <row r="710">
      <c r="A710" s="51" t="s">
        <v>2109</v>
      </c>
      <c r="B710" s="51" t="s">
        <v>1712</v>
      </c>
      <c r="C710" s="51" t="s">
        <v>2110</v>
      </c>
      <c r="D710" s="51" t="s">
        <v>366</v>
      </c>
      <c r="E710" s="51" t="b">
        <v>0</v>
      </c>
      <c r="F710" t="b">
        <v>0</v>
      </c>
      <c r="H710" s="646"/>
      <c r="M710" s="646"/>
      <c r="R710" s="646"/>
    </row>
    <row r="711">
      <c r="A711" s="51" t="s">
        <v>2111</v>
      </c>
      <c r="B711" s="51" t="s">
        <v>1318</v>
      </c>
      <c r="C711" s="51" t="s">
        <v>2112</v>
      </c>
      <c r="D711" s="51" t="s">
        <v>366</v>
      </c>
      <c r="E711" s="51" t="b">
        <v>0</v>
      </c>
      <c r="F711" t="b">
        <v>0</v>
      </c>
      <c r="H711" s="646"/>
      <c r="M711" s="646"/>
      <c r="R711" s="646"/>
    </row>
    <row r="712">
      <c r="A712" s="51" t="s">
        <v>2113</v>
      </c>
      <c r="B712" s="51" t="s">
        <v>2114</v>
      </c>
      <c r="C712" s="51" t="s">
        <v>2115</v>
      </c>
      <c r="D712" s="51" t="s">
        <v>370</v>
      </c>
      <c r="E712" s="51" t="b">
        <v>0</v>
      </c>
      <c r="F712" t="b">
        <v>0</v>
      </c>
      <c r="H712" s="646"/>
      <c r="M712" s="646"/>
      <c r="R712" s="646"/>
    </row>
    <row r="713">
      <c r="A713" s="51" t="s">
        <v>2116</v>
      </c>
      <c r="B713" s="51" t="s">
        <v>1863</v>
      </c>
      <c r="C713" s="51" t="s">
        <v>2117</v>
      </c>
      <c r="D713" s="51" t="s">
        <v>366</v>
      </c>
      <c r="E713" s="51" t="b">
        <v>0</v>
      </c>
      <c r="F713" t="b">
        <v>0</v>
      </c>
      <c r="H713" s="646"/>
      <c r="M713" s="646"/>
      <c r="R713" s="646"/>
    </row>
    <row r="714">
      <c r="A714" s="51" t="s">
        <v>2118</v>
      </c>
      <c r="B714" s="51" t="s">
        <v>2119</v>
      </c>
      <c r="C714" s="51" t="s">
        <v>2120</v>
      </c>
      <c r="D714" s="51" t="s">
        <v>366</v>
      </c>
      <c r="E714" s="51" t="b">
        <v>0</v>
      </c>
      <c r="F714" t="b">
        <v>0</v>
      </c>
      <c r="H714" s="646"/>
      <c r="M714" s="646"/>
      <c r="R714" s="646"/>
    </row>
    <row r="715">
      <c r="A715" s="51" t="s">
        <v>2121</v>
      </c>
      <c r="B715" s="51" t="s">
        <v>2122</v>
      </c>
      <c r="C715" s="51" t="s">
        <v>2123</v>
      </c>
      <c r="D715" s="51" t="s">
        <v>366</v>
      </c>
      <c r="E715" s="51" t="b">
        <v>0</v>
      </c>
      <c r="F715" t="b">
        <v>0</v>
      </c>
      <c r="H715" s="646"/>
      <c r="M715" s="646"/>
      <c r="R715" s="646"/>
    </row>
    <row r="716">
      <c r="A716" s="51" t="s">
        <v>2124</v>
      </c>
      <c r="B716" s="51" t="s">
        <v>2125</v>
      </c>
      <c r="C716" s="51" t="s">
        <v>2126</v>
      </c>
      <c r="D716" s="51" t="s">
        <v>366</v>
      </c>
      <c r="E716" s="51" t="b">
        <v>0</v>
      </c>
      <c r="F716" t="b">
        <v>0</v>
      </c>
      <c r="H716" s="646"/>
      <c r="M716" s="646"/>
      <c r="R716" s="646"/>
    </row>
    <row r="717">
      <c r="A717" s="51" t="s">
        <v>2127</v>
      </c>
      <c r="B717" s="51" t="s">
        <v>440</v>
      </c>
      <c r="C717" s="51" t="s">
        <v>2128</v>
      </c>
      <c r="D717" s="51" t="s">
        <v>366</v>
      </c>
      <c r="E717" s="51" t="b">
        <v>0</v>
      </c>
      <c r="F717" t="b">
        <v>0</v>
      </c>
      <c r="H717" s="646"/>
      <c r="M717" s="646"/>
      <c r="R717" s="646"/>
    </row>
    <row r="718">
      <c r="A718" s="51" t="s">
        <v>2129</v>
      </c>
      <c r="B718" s="51" t="s">
        <v>1509</v>
      </c>
      <c r="C718" s="51" t="s">
        <v>2130</v>
      </c>
      <c r="D718" s="51" t="s">
        <v>366</v>
      </c>
      <c r="E718" s="51" t="b">
        <v>0</v>
      </c>
      <c r="F718" t="b">
        <v>0</v>
      </c>
      <c r="H718" s="646"/>
      <c r="M718" s="646"/>
      <c r="R718" s="646"/>
    </row>
    <row r="719">
      <c r="A719" s="51" t="s">
        <v>2131</v>
      </c>
      <c r="B719" s="51" t="s">
        <v>2132</v>
      </c>
      <c r="C719" s="51" t="s">
        <v>2133</v>
      </c>
      <c r="D719" s="51" t="s">
        <v>366</v>
      </c>
      <c r="E719" s="51" t="b">
        <v>0</v>
      </c>
      <c r="F719" t="b">
        <v>0</v>
      </c>
      <c r="H719" s="646"/>
      <c r="M719" s="646"/>
      <c r="R719" s="646"/>
    </row>
    <row r="720">
      <c r="A720" s="51" t="s">
        <v>2134</v>
      </c>
      <c r="B720" s="51" t="s">
        <v>1006</v>
      </c>
      <c r="C720" s="51" t="s">
        <v>2135</v>
      </c>
      <c r="D720" s="51" t="s">
        <v>366</v>
      </c>
      <c r="E720" t="b">
        <v>0</v>
      </c>
      <c r="F720" t="b">
        <v>0</v>
      </c>
      <c r="H720" s="646"/>
      <c r="M720" s="646"/>
      <c r="R720" s="646"/>
    </row>
    <row r="721">
      <c r="A721" s="51" t="s">
        <v>2136</v>
      </c>
      <c r="C721" s="51" t="s">
        <v>2137</v>
      </c>
      <c r="D721" s="51" t="s">
        <v>366</v>
      </c>
      <c r="E721" s="51" t="b">
        <v>0</v>
      </c>
      <c r="F721" t="b">
        <v>0</v>
      </c>
      <c r="G721" s="51" t="s">
        <v>2138</v>
      </c>
      <c r="H721" s="646"/>
      <c r="M721" s="646"/>
      <c r="R721" s="646"/>
    </row>
    <row r="722">
      <c r="A722" s="51" t="s">
        <v>2139</v>
      </c>
      <c r="B722" s="51" t="s">
        <v>1306</v>
      </c>
      <c r="C722" s="51" t="s">
        <v>2140</v>
      </c>
      <c r="D722" s="51" t="s">
        <v>366</v>
      </c>
      <c r="E722" s="51" t="b">
        <v>0</v>
      </c>
      <c r="F722" t="b">
        <v>0</v>
      </c>
      <c r="H722" s="646"/>
      <c r="M722" s="646"/>
      <c r="R722" s="646"/>
    </row>
    <row r="723">
      <c r="A723" s="51" t="s">
        <v>2139</v>
      </c>
      <c r="B723" s="51" t="s">
        <v>1306</v>
      </c>
      <c r="C723" s="51" t="s">
        <v>2141</v>
      </c>
      <c r="D723" s="51" t="s">
        <v>366</v>
      </c>
      <c r="E723" s="51" t="b">
        <v>0</v>
      </c>
      <c r="F723" t="b">
        <v>0</v>
      </c>
      <c r="H723" s="646"/>
      <c r="M723" s="646"/>
      <c r="R723" s="646"/>
    </row>
    <row r="724">
      <c r="A724" s="51" t="s">
        <v>2142</v>
      </c>
      <c r="B724" s="51" t="s">
        <v>1534</v>
      </c>
      <c r="C724" s="51" t="s">
        <v>2143</v>
      </c>
      <c r="D724" s="51" t="s">
        <v>366</v>
      </c>
      <c r="E724" s="51" t="b">
        <v>0</v>
      </c>
      <c r="F724" t="b">
        <v>0</v>
      </c>
      <c r="H724" s="646"/>
      <c r="M724" s="646"/>
      <c r="R724" s="646"/>
    </row>
    <row r="725">
      <c r="A725" s="51" t="s">
        <v>2144</v>
      </c>
      <c r="B725" s="51" t="s">
        <v>2145</v>
      </c>
      <c r="C725" s="51" t="s">
        <v>2146</v>
      </c>
      <c r="D725" s="51" t="s">
        <v>366</v>
      </c>
      <c r="E725" s="51" t="b">
        <v>0</v>
      </c>
      <c r="F725" t="b">
        <v>0</v>
      </c>
      <c r="H725" s="646"/>
      <c r="M725" s="646"/>
      <c r="R725" s="646"/>
    </row>
    <row r="726">
      <c r="A726" s="51" t="s">
        <v>2147</v>
      </c>
      <c r="B726" s="51" t="s">
        <v>2148</v>
      </c>
      <c r="C726" s="51" t="s">
        <v>2149</v>
      </c>
      <c r="D726" s="51" t="s">
        <v>366</v>
      </c>
      <c r="E726" s="51" t="b">
        <v>0</v>
      </c>
      <c r="F726" t="b">
        <v>0</v>
      </c>
      <c r="H726" s="646"/>
      <c r="M726" s="646"/>
      <c r="R726" s="646"/>
    </row>
    <row r="727">
      <c r="A727" s="51" t="s">
        <v>2150</v>
      </c>
      <c r="B727" s="51" t="s">
        <v>714</v>
      </c>
      <c r="C727" s="51" t="s">
        <v>2151</v>
      </c>
      <c r="D727" s="51" t="s">
        <v>366</v>
      </c>
      <c r="E727" s="51" t="b">
        <v>0</v>
      </c>
      <c r="F727" t="b">
        <v>0</v>
      </c>
      <c r="H727" s="646"/>
      <c r="M727" s="646"/>
      <c r="R727" s="646"/>
    </row>
    <row r="728">
      <c r="A728" s="51" t="s">
        <v>2152</v>
      </c>
      <c r="B728" s="51" t="s">
        <v>2153</v>
      </c>
      <c r="C728" s="51" t="s">
        <v>2154</v>
      </c>
      <c r="D728" s="51" t="s">
        <v>366</v>
      </c>
      <c r="E728" s="51" t="b">
        <v>0</v>
      </c>
      <c r="F728" t="b">
        <v>0</v>
      </c>
      <c r="H728" s="646"/>
      <c r="M728" s="646"/>
      <c r="R728" s="646"/>
    </row>
    <row r="729">
      <c r="A729" s="51" t="s">
        <v>2155</v>
      </c>
      <c r="B729" s="51" t="s">
        <v>2156</v>
      </c>
      <c r="C729" s="51" t="s">
        <v>2157</v>
      </c>
      <c r="D729" s="51" t="s">
        <v>366</v>
      </c>
      <c r="E729" s="51" t="b">
        <v>0</v>
      </c>
      <c r="F729" t="b">
        <v>0</v>
      </c>
      <c r="H729" s="646"/>
      <c r="M729" s="646"/>
      <c r="R729" s="646"/>
    </row>
    <row r="730">
      <c r="A730" s="51" t="s">
        <v>2158</v>
      </c>
      <c r="C730" s="51" t="s">
        <v>2159</v>
      </c>
      <c r="D730" s="51" t="s">
        <v>366</v>
      </c>
      <c r="E730" s="51" t="b">
        <v>0</v>
      </c>
      <c r="F730" t="b">
        <v>0</v>
      </c>
      <c r="G730" s="51" t="s">
        <v>1163</v>
      </c>
      <c r="H730" s="646"/>
      <c r="M730" s="646"/>
      <c r="R730" s="646"/>
    </row>
    <row r="731">
      <c r="A731" s="51" t="s">
        <v>2158</v>
      </c>
      <c r="C731" s="51" t="s">
        <v>2159</v>
      </c>
      <c r="D731" s="51" t="s">
        <v>366</v>
      </c>
      <c r="E731" s="51" t="b">
        <v>0</v>
      </c>
      <c r="F731" t="b">
        <v>0</v>
      </c>
      <c r="G731" s="51" t="s">
        <v>2160</v>
      </c>
      <c r="H731" s="646"/>
      <c r="M731" s="646"/>
      <c r="R731" s="646"/>
    </row>
    <row r="732">
      <c r="A732" s="51" t="s">
        <v>2158</v>
      </c>
      <c r="C732" s="51" t="s">
        <v>2161</v>
      </c>
      <c r="D732" s="51" t="s">
        <v>366</v>
      </c>
      <c r="E732" t="b">
        <v>0</v>
      </c>
      <c r="F732" t="b">
        <v>0</v>
      </c>
      <c r="G732" s="51" t="s">
        <v>2162</v>
      </c>
      <c r="H732" s="646"/>
      <c r="M732" s="646"/>
      <c r="R732" s="646"/>
    </row>
    <row r="733">
      <c r="A733" s="51" t="s">
        <v>2158</v>
      </c>
      <c r="C733" s="51" t="s">
        <v>2163</v>
      </c>
      <c r="D733" s="51" t="s">
        <v>366</v>
      </c>
      <c r="E733" s="51" t="b">
        <v>0</v>
      </c>
      <c r="F733" t="b">
        <v>0</v>
      </c>
      <c r="H733" s="646"/>
      <c r="M733" s="646"/>
      <c r="R733" s="646"/>
    </row>
    <row r="734">
      <c r="A734" s="51" t="s">
        <v>2158</v>
      </c>
      <c r="C734" s="51" t="s">
        <v>2164</v>
      </c>
      <c r="D734" s="51" t="s">
        <v>366</v>
      </c>
      <c r="E734" s="51" t="b">
        <v>0</v>
      </c>
      <c r="F734" t="b">
        <v>0</v>
      </c>
      <c r="G734" s="51" t="s">
        <v>1258</v>
      </c>
      <c r="H734" s="646"/>
      <c r="M734" s="646"/>
      <c r="R734" s="646"/>
    </row>
    <row r="735">
      <c r="A735" s="51" t="s">
        <v>2158</v>
      </c>
      <c r="C735" s="51" t="s">
        <v>2165</v>
      </c>
      <c r="D735" s="51" t="s">
        <v>366</v>
      </c>
      <c r="E735" s="51" t="b">
        <v>0</v>
      </c>
      <c r="F735" t="b">
        <v>0</v>
      </c>
      <c r="G735" s="51" t="s">
        <v>1019</v>
      </c>
      <c r="H735" s="646"/>
      <c r="M735" s="646"/>
      <c r="R735" s="646"/>
    </row>
    <row r="736">
      <c r="A736" s="51" t="s">
        <v>2158</v>
      </c>
      <c r="C736" s="51" t="s">
        <v>2166</v>
      </c>
      <c r="D736" s="51" t="s">
        <v>366</v>
      </c>
      <c r="E736" s="51" t="b">
        <v>0</v>
      </c>
      <c r="F736" t="b">
        <v>0</v>
      </c>
      <c r="G736" s="51" t="s">
        <v>2160</v>
      </c>
      <c r="H736" s="646"/>
      <c r="M736" s="646"/>
      <c r="R736" s="646"/>
    </row>
    <row r="737">
      <c r="A737" s="51" t="s">
        <v>2158</v>
      </c>
      <c r="C737" s="51" t="s">
        <v>2167</v>
      </c>
      <c r="D737" s="51" t="s">
        <v>366</v>
      </c>
      <c r="E737" s="51" t="b">
        <v>0</v>
      </c>
      <c r="F737" t="b">
        <v>0</v>
      </c>
      <c r="G737" s="51" t="s">
        <v>1305</v>
      </c>
      <c r="H737" s="646"/>
      <c r="M737" s="646"/>
      <c r="R737" s="646"/>
    </row>
    <row r="738">
      <c r="A738" s="51" t="s">
        <v>2158</v>
      </c>
      <c r="C738" s="51" t="s">
        <v>2168</v>
      </c>
      <c r="D738" s="51" t="s">
        <v>366</v>
      </c>
      <c r="E738" s="51" t="b">
        <v>0</v>
      </c>
      <c r="F738" t="b">
        <v>0</v>
      </c>
      <c r="G738" s="51" t="s">
        <v>1250</v>
      </c>
      <c r="H738" s="646"/>
      <c r="M738" s="646"/>
      <c r="R738" s="646"/>
    </row>
    <row r="739">
      <c r="A739" s="51" t="s">
        <v>2169</v>
      </c>
      <c r="B739" s="51" t="s">
        <v>785</v>
      </c>
      <c r="C739" s="51" t="s">
        <v>2170</v>
      </c>
      <c r="D739" s="51" t="s">
        <v>366</v>
      </c>
      <c r="E739" s="51" t="b">
        <v>0</v>
      </c>
      <c r="F739" t="b">
        <v>0</v>
      </c>
      <c r="G739" s="51" t="s">
        <v>2171</v>
      </c>
      <c r="H739" s="646"/>
      <c r="M739" s="646"/>
      <c r="R739" s="646"/>
    </row>
    <row r="740">
      <c r="A740" s="51" t="s">
        <v>2172</v>
      </c>
      <c r="B740" s="51" t="s">
        <v>2173</v>
      </c>
      <c r="C740" s="51" t="s">
        <v>2174</v>
      </c>
      <c r="D740" s="51" t="s">
        <v>366</v>
      </c>
      <c r="E740" s="51" t="b">
        <v>0</v>
      </c>
      <c r="F740" t="b">
        <v>0</v>
      </c>
      <c r="H740" s="646"/>
      <c r="M740" s="646"/>
      <c r="R740" s="646"/>
    </row>
    <row r="741">
      <c r="A741" s="51" t="s">
        <v>2175</v>
      </c>
      <c r="C741" s="51" t="s">
        <v>2176</v>
      </c>
      <c r="D741" s="51" t="s">
        <v>366</v>
      </c>
      <c r="E741" s="51" t="b">
        <v>0</v>
      </c>
      <c r="F741" t="b">
        <v>0</v>
      </c>
      <c r="G741" s="51" t="s">
        <v>2064</v>
      </c>
      <c r="H741" s="646"/>
      <c r="M741" s="646"/>
      <c r="R741" s="646"/>
    </row>
    <row r="742">
      <c r="A742" s="51" t="s">
        <v>2177</v>
      </c>
      <c r="B742" s="51" t="s">
        <v>2178</v>
      </c>
      <c r="C742" s="51" t="s">
        <v>2179</v>
      </c>
      <c r="D742" s="51" t="s">
        <v>366</v>
      </c>
      <c r="E742" s="51" t="b">
        <v>0</v>
      </c>
      <c r="F742" t="b">
        <v>0</v>
      </c>
      <c r="H742" s="646"/>
      <c r="M742" s="646"/>
      <c r="R742" s="646"/>
    </row>
    <row r="743">
      <c r="A743" s="51" t="s">
        <v>2177</v>
      </c>
      <c r="B743" s="51" t="s">
        <v>2178</v>
      </c>
      <c r="C743" s="51" t="s">
        <v>2180</v>
      </c>
      <c r="D743" s="51" t="s">
        <v>370</v>
      </c>
      <c r="E743" s="51" t="b">
        <v>0</v>
      </c>
      <c r="F743" t="b">
        <v>0</v>
      </c>
      <c r="H743" s="646"/>
      <c r="M743" s="646"/>
      <c r="R743" s="646"/>
    </row>
    <row r="744">
      <c r="A744" s="51" t="s">
        <v>2181</v>
      </c>
      <c r="B744" s="51" t="s">
        <v>2182</v>
      </c>
      <c r="C744" s="51" t="s">
        <v>2183</v>
      </c>
      <c r="D744" s="51" t="s">
        <v>366</v>
      </c>
      <c r="E744" s="51" t="b">
        <v>0</v>
      </c>
      <c r="F744" t="b">
        <v>0</v>
      </c>
      <c r="H744" s="646"/>
      <c r="M744" s="646"/>
      <c r="R744" s="646"/>
    </row>
    <row r="745">
      <c r="A745" s="51" t="s">
        <v>2181</v>
      </c>
      <c r="B745" s="51" t="s">
        <v>2182</v>
      </c>
      <c r="C745" s="51" t="s">
        <v>2184</v>
      </c>
      <c r="D745" s="51" t="s">
        <v>366</v>
      </c>
      <c r="E745" s="51" t="b">
        <v>1</v>
      </c>
      <c r="F745" t="b">
        <v>0</v>
      </c>
      <c r="H745" s="646"/>
      <c r="M745" s="646"/>
      <c r="R745" s="646"/>
    </row>
    <row r="746">
      <c r="A746" s="51" t="s">
        <v>2185</v>
      </c>
      <c r="B746" s="51" t="s">
        <v>1034</v>
      </c>
      <c r="C746" s="51" t="s">
        <v>2186</v>
      </c>
      <c r="D746" s="51" t="s">
        <v>370</v>
      </c>
      <c r="E746" s="51" t="b">
        <v>0</v>
      </c>
      <c r="F746" t="b">
        <v>0</v>
      </c>
      <c r="H746" s="646"/>
      <c r="M746" s="646"/>
      <c r="R746" s="646"/>
    </row>
    <row r="747">
      <c r="A747" s="51" t="s">
        <v>2187</v>
      </c>
      <c r="B747" s="51" t="s">
        <v>2188</v>
      </c>
      <c r="C747" s="51" t="s">
        <v>2189</v>
      </c>
      <c r="D747" s="51" t="s">
        <v>366</v>
      </c>
      <c r="E747" s="51" t="b">
        <v>0</v>
      </c>
      <c r="F747" t="b">
        <v>0</v>
      </c>
      <c r="H747" s="646"/>
      <c r="M747" s="646"/>
      <c r="R747" s="646"/>
    </row>
    <row r="748">
      <c r="A748" s="51" t="s">
        <v>2190</v>
      </c>
      <c r="B748" s="51" t="s">
        <v>647</v>
      </c>
      <c r="C748" s="51" t="s">
        <v>2191</v>
      </c>
      <c r="D748" s="51" t="s">
        <v>366</v>
      </c>
      <c r="E748" s="51" t="b">
        <v>0</v>
      </c>
      <c r="F748" t="b">
        <v>0</v>
      </c>
      <c r="H748" s="646"/>
      <c r="M748" s="646"/>
      <c r="R748" s="646"/>
    </row>
    <row r="749">
      <c r="A749" s="51" t="s">
        <v>2192</v>
      </c>
      <c r="B749" s="51" t="s">
        <v>809</v>
      </c>
      <c r="C749" s="51" t="s">
        <v>2193</v>
      </c>
      <c r="D749" s="51" t="s">
        <v>366</v>
      </c>
      <c r="E749" s="51" t="b">
        <v>0</v>
      </c>
      <c r="F749" t="b">
        <v>0</v>
      </c>
      <c r="H749" s="646"/>
      <c r="M749" s="646"/>
      <c r="R749" s="646"/>
    </row>
    <row r="750">
      <c r="A750" s="51" t="s">
        <v>2194</v>
      </c>
      <c r="B750" s="51" t="s">
        <v>2195</v>
      </c>
      <c r="C750" s="51" t="s">
        <v>2196</v>
      </c>
      <c r="D750" s="51" t="s">
        <v>370</v>
      </c>
      <c r="E750" s="51" t="b">
        <v>0</v>
      </c>
      <c r="F750" t="b">
        <v>0</v>
      </c>
      <c r="H750" s="646"/>
      <c r="M750" s="646"/>
      <c r="R750" s="646"/>
    </row>
    <row r="751">
      <c r="A751" s="51" t="s">
        <v>2197</v>
      </c>
      <c r="B751" s="51" t="s">
        <v>2195</v>
      </c>
      <c r="C751" s="51" t="s">
        <v>2198</v>
      </c>
      <c r="D751" s="51" t="s">
        <v>370</v>
      </c>
      <c r="E751" s="51" t="b">
        <v>0</v>
      </c>
      <c r="F751" t="b">
        <v>0</v>
      </c>
      <c r="H751" s="646"/>
      <c r="M751" s="646"/>
      <c r="R751" s="646"/>
    </row>
    <row r="752">
      <c r="A752" s="51" t="s">
        <v>2197</v>
      </c>
      <c r="B752" s="51" t="s">
        <v>2195</v>
      </c>
      <c r="C752" s="51" t="s">
        <v>2199</v>
      </c>
      <c r="D752" s="51" t="s">
        <v>370</v>
      </c>
      <c r="E752" s="51" t="b">
        <v>0</v>
      </c>
      <c r="F752" t="b">
        <v>0</v>
      </c>
      <c r="H752" s="646"/>
      <c r="M752" s="646"/>
      <c r="R752" s="646"/>
    </row>
    <row r="753">
      <c r="A753" s="51" t="s">
        <v>2200</v>
      </c>
      <c r="B753" s="51" t="s">
        <v>2201</v>
      </c>
      <c r="C753" s="51" t="s">
        <v>2202</v>
      </c>
      <c r="D753" s="51" t="s">
        <v>366</v>
      </c>
      <c r="E753" s="51" t="b">
        <v>0</v>
      </c>
      <c r="F753" t="b">
        <v>0</v>
      </c>
      <c r="H753" s="646"/>
      <c r="M753" s="646"/>
      <c r="R753" s="646"/>
    </row>
    <row r="754">
      <c r="A754" s="51" t="s">
        <v>2200</v>
      </c>
      <c r="B754" s="51" t="s">
        <v>2201</v>
      </c>
      <c r="C754" s="51" t="s">
        <v>2203</v>
      </c>
      <c r="D754" s="51" t="s">
        <v>366</v>
      </c>
      <c r="E754" s="51" t="b">
        <v>0</v>
      </c>
      <c r="F754" t="b">
        <v>0</v>
      </c>
      <c r="H754" s="646"/>
      <c r="M754" s="646"/>
      <c r="R754" s="646"/>
    </row>
    <row r="755">
      <c r="A755" s="51" t="s">
        <v>2204</v>
      </c>
      <c r="B755" s="51" t="s">
        <v>1627</v>
      </c>
      <c r="C755" s="51" t="s">
        <v>2205</v>
      </c>
      <c r="D755" s="51" t="s">
        <v>366</v>
      </c>
      <c r="E755" t="b">
        <v>0</v>
      </c>
      <c r="F755" t="b">
        <v>0</v>
      </c>
      <c r="G755" s="51" t="s">
        <v>2206</v>
      </c>
      <c r="H755" s="646"/>
      <c r="M755" s="646"/>
      <c r="R755" s="646"/>
    </row>
    <row r="756">
      <c r="A756" s="51" t="s">
        <v>2207</v>
      </c>
      <c r="B756" s="51" t="s">
        <v>2208</v>
      </c>
      <c r="C756" s="51" t="s">
        <v>2209</v>
      </c>
      <c r="D756" s="51" t="s">
        <v>366</v>
      </c>
      <c r="E756" s="51" t="b">
        <v>0</v>
      </c>
      <c r="F756" t="b">
        <v>0</v>
      </c>
      <c r="H756" s="646"/>
      <c r="M756" s="646"/>
      <c r="R756" s="646"/>
    </row>
    <row r="757">
      <c r="A757" s="51" t="s">
        <v>2210</v>
      </c>
      <c r="C757" s="51" t="s">
        <v>2211</v>
      </c>
      <c r="D757" s="51" t="s">
        <v>370</v>
      </c>
      <c r="E757" s="51" t="b">
        <v>0</v>
      </c>
      <c r="F757" t="b">
        <v>0</v>
      </c>
      <c r="G757" s="51" t="s">
        <v>506</v>
      </c>
      <c r="H757" s="646"/>
      <c r="M757" s="646"/>
      <c r="R757" s="646"/>
    </row>
    <row r="758">
      <c r="A758" s="51" t="s">
        <v>2212</v>
      </c>
      <c r="B758" s="51" t="s">
        <v>2213</v>
      </c>
      <c r="C758" s="51" t="s">
        <v>2214</v>
      </c>
      <c r="D758" s="51" t="s">
        <v>366</v>
      </c>
      <c r="E758" s="51" t="b">
        <v>0</v>
      </c>
      <c r="F758" t="b">
        <v>0</v>
      </c>
      <c r="H758" s="646"/>
      <c r="M758" s="646"/>
      <c r="R758" s="646"/>
    </row>
    <row r="759">
      <c r="A759" s="51" t="s">
        <v>2212</v>
      </c>
      <c r="B759" s="51" t="s">
        <v>2213</v>
      </c>
      <c r="C759" s="51" t="s">
        <v>2215</v>
      </c>
      <c r="D759" s="51" t="s">
        <v>366</v>
      </c>
      <c r="E759" s="51" t="b">
        <v>0</v>
      </c>
      <c r="F759" t="b">
        <v>0</v>
      </c>
      <c r="H759" s="646"/>
      <c r="M759" s="646"/>
      <c r="R759" s="646"/>
    </row>
    <row r="760">
      <c r="A760" s="51" t="s">
        <v>2212</v>
      </c>
      <c r="B760" s="51" t="s">
        <v>2213</v>
      </c>
      <c r="C760" s="51" t="s">
        <v>2216</v>
      </c>
      <c r="D760" s="51" t="s">
        <v>366</v>
      </c>
      <c r="E760" s="51" t="b">
        <v>0</v>
      </c>
      <c r="F760" t="b">
        <v>0</v>
      </c>
      <c r="H760" s="646"/>
      <c r="M760" s="646"/>
      <c r="R760" s="646"/>
    </row>
    <row r="761">
      <c r="A761" s="51" t="s">
        <v>2212</v>
      </c>
      <c r="B761" s="51" t="s">
        <v>2217</v>
      </c>
      <c r="C761" s="51" t="s">
        <v>2218</v>
      </c>
      <c r="D761" s="51" t="s">
        <v>366</v>
      </c>
      <c r="E761" s="51" t="b">
        <v>0</v>
      </c>
      <c r="F761" t="b">
        <v>0</v>
      </c>
      <c r="H761" s="646"/>
      <c r="M761" s="646"/>
      <c r="R761" s="646"/>
    </row>
    <row r="762">
      <c r="A762" s="51" t="s">
        <v>2212</v>
      </c>
      <c r="B762" s="51" t="s">
        <v>2213</v>
      </c>
      <c r="C762" s="51" t="s">
        <v>2219</v>
      </c>
      <c r="D762" s="51" t="s">
        <v>366</v>
      </c>
      <c r="E762" s="51" t="b">
        <v>0</v>
      </c>
      <c r="F762" t="b">
        <v>0</v>
      </c>
      <c r="H762" s="646"/>
      <c r="M762" s="646"/>
      <c r="R762" s="646"/>
    </row>
    <row r="763">
      <c r="A763" s="51" t="s">
        <v>2212</v>
      </c>
      <c r="B763" s="51" t="s">
        <v>2213</v>
      </c>
      <c r="C763" s="51" t="s">
        <v>2220</v>
      </c>
      <c r="D763" s="51" t="s">
        <v>366</v>
      </c>
      <c r="E763" s="51" t="b">
        <v>0</v>
      </c>
      <c r="F763" t="b">
        <v>0</v>
      </c>
      <c r="H763" s="646"/>
      <c r="M763" s="646"/>
      <c r="R763" s="646"/>
    </row>
    <row r="764">
      <c r="A764" s="51" t="s">
        <v>2212</v>
      </c>
      <c r="B764" s="51" t="s">
        <v>2213</v>
      </c>
      <c r="C764" s="51" t="s">
        <v>2221</v>
      </c>
      <c r="D764" s="51" t="s">
        <v>366</v>
      </c>
      <c r="E764" s="51" t="b">
        <v>0</v>
      </c>
      <c r="F764" t="b">
        <v>0</v>
      </c>
      <c r="H764" s="646"/>
      <c r="M764" s="646"/>
      <c r="R764" s="646"/>
    </row>
    <row r="765">
      <c r="A765" s="51" t="s">
        <v>2222</v>
      </c>
      <c r="B765" s="51" t="s">
        <v>1277</v>
      </c>
      <c r="C765" s="51" t="s">
        <v>2223</v>
      </c>
      <c r="D765" s="51" t="s">
        <v>366</v>
      </c>
      <c r="E765" s="51" t="b">
        <v>0</v>
      </c>
      <c r="F765" t="b">
        <v>0</v>
      </c>
      <c r="H765" s="646"/>
      <c r="M765" s="646"/>
      <c r="R765" s="646"/>
    </row>
    <row r="766">
      <c r="A766" s="51" t="s">
        <v>2224</v>
      </c>
      <c r="B766" s="51" t="s">
        <v>2225</v>
      </c>
      <c r="C766" s="51" t="s">
        <v>2226</v>
      </c>
      <c r="D766" s="51" t="s">
        <v>366</v>
      </c>
      <c r="E766" s="51" t="b">
        <v>0</v>
      </c>
      <c r="F766" t="b">
        <v>0</v>
      </c>
      <c r="H766" s="646"/>
      <c r="M766" s="646"/>
      <c r="R766" s="646"/>
    </row>
    <row r="767">
      <c r="A767" s="51" t="s">
        <v>2227</v>
      </c>
      <c r="C767" s="51" t="s">
        <v>2228</v>
      </c>
      <c r="D767" s="51" t="s">
        <v>366</v>
      </c>
      <c r="E767" s="51" t="b">
        <v>0</v>
      </c>
      <c r="F767" t="b">
        <v>0</v>
      </c>
      <c r="H767" s="646"/>
      <c r="M767" s="646"/>
      <c r="R767" s="646"/>
    </row>
    <row r="768">
      <c r="A768" s="51" t="s">
        <v>2229</v>
      </c>
      <c r="B768" s="51" t="s">
        <v>1596</v>
      </c>
      <c r="C768" s="51" t="s">
        <v>2230</v>
      </c>
      <c r="D768" s="51" t="s">
        <v>366</v>
      </c>
      <c r="E768" s="51" t="b">
        <v>0</v>
      </c>
      <c r="F768" t="b">
        <v>0</v>
      </c>
      <c r="H768" s="646"/>
      <c r="M768" s="646"/>
      <c r="R768" s="646"/>
    </row>
    <row r="769">
      <c r="A769" s="51" t="s">
        <v>2231</v>
      </c>
      <c r="B769" s="51" t="s">
        <v>2232</v>
      </c>
      <c r="C769" s="51" t="s">
        <v>2233</v>
      </c>
      <c r="D769" s="51" t="s">
        <v>366</v>
      </c>
      <c r="E769" s="51" t="b">
        <v>0</v>
      </c>
      <c r="F769" t="b">
        <v>0</v>
      </c>
      <c r="H769" s="646"/>
      <c r="M769" s="646"/>
      <c r="R769" s="646"/>
    </row>
    <row r="770">
      <c r="A770" s="51" t="s">
        <v>2234</v>
      </c>
      <c r="B770" s="51" t="s">
        <v>2235</v>
      </c>
      <c r="C770" s="51" t="s">
        <v>2236</v>
      </c>
      <c r="D770" s="51" t="s">
        <v>366</v>
      </c>
      <c r="E770" s="51" t="b">
        <v>0</v>
      </c>
      <c r="F770" t="b">
        <v>0</v>
      </c>
      <c r="H770" s="646"/>
      <c r="M770" s="646"/>
      <c r="R770" s="646"/>
    </row>
    <row r="771">
      <c r="A771" s="51" t="s">
        <v>2237</v>
      </c>
      <c r="C771" s="51" t="s">
        <v>2238</v>
      </c>
      <c r="D771" s="51" t="s">
        <v>370</v>
      </c>
      <c r="E771" s="51" t="b">
        <v>0</v>
      </c>
      <c r="F771" t="b">
        <v>0</v>
      </c>
      <c r="H771" s="646"/>
      <c r="M771" s="646"/>
      <c r="R771" s="646"/>
    </row>
    <row r="772">
      <c r="A772" s="51" t="s">
        <v>2237</v>
      </c>
      <c r="C772" s="51" t="s">
        <v>2239</v>
      </c>
      <c r="D772" s="51" t="s">
        <v>370</v>
      </c>
      <c r="E772" s="51" t="b">
        <v>0</v>
      </c>
      <c r="F772" t="b">
        <v>0</v>
      </c>
      <c r="H772" s="646"/>
      <c r="M772" s="646"/>
      <c r="R772" s="646"/>
    </row>
    <row r="773">
      <c r="A773" s="51" t="s">
        <v>2237</v>
      </c>
      <c r="C773" s="51" t="s">
        <v>2240</v>
      </c>
      <c r="D773" s="51" t="s">
        <v>370</v>
      </c>
      <c r="E773" s="51" t="b">
        <v>0</v>
      </c>
      <c r="F773" t="b">
        <v>0</v>
      </c>
      <c r="H773" s="646"/>
      <c r="M773" s="646"/>
      <c r="R773" s="646"/>
    </row>
    <row r="774">
      <c r="A774" s="51" t="s">
        <v>2237</v>
      </c>
      <c r="C774" s="51" t="s">
        <v>2241</v>
      </c>
      <c r="D774" s="51" t="s">
        <v>370</v>
      </c>
      <c r="E774" s="51" t="b">
        <v>0</v>
      </c>
      <c r="F774" t="b">
        <v>0</v>
      </c>
      <c r="H774" s="646"/>
      <c r="M774" s="646"/>
      <c r="R774" s="646"/>
    </row>
    <row r="775">
      <c r="A775" s="51" t="s">
        <v>2237</v>
      </c>
      <c r="C775" s="51" t="s">
        <v>2242</v>
      </c>
      <c r="D775" s="51" t="s">
        <v>370</v>
      </c>
      <c r="E775" s="51" t="b">
        <v>0</v>
      </c>
      <c r="F775" t="b">
        <v>0</v>
      </c>
      <c r="H775" s="646"/>
      <c r="M775" s="646"/>
      <c r="R775" s="646"/>
    </row>
    <row r="776">
      <c r="A776" s="51" t="s">
        <v>2237</v>
      </c>
      <c r="C776" s="51" t="s">
        <v>2243</v>
      </c>
      <c r="D776" s="51" t="s">
        <v>370</v>
      </c>
      <c r="E776" s="51" t="b">
        <v>0</v>
      </c>
      <c r="F776" t="b">
        <v>0</v>
      </c>
      <c r="H776" s="646"/>
      <c r="M776" s="646"/>
      <c r="R776" s="646"/>
    </row>
    <row r="777">
      <c r="A777" s="51" t="s">
        <v>2244</v>
      </c>
      <c r="B777" s="51" t="s">
        <v>1121</v>
      </c>
      <c r="C777" s="51" t="s">
        <v>2245</v>
      </c>
      <c r="D777" s="51" t="s">
        <v>366</v>
      </c>
      <c r="E777" s="51" t="b">
        <v>0</v>
      </c>
      <c r="F777" t="b">
        <v>0</v>
      </c>
      <c r="H777" s="646"/>
      <c r="M777" s="646"/>
      <c r="R777" s="646"/>
    </row>
    <row r="778">
      <c r="A778" s="51" t="s">
        <v>2244</v>
      </c>
      <c r="B778" s="51" t="s">
        <v>1121</v>
      </c>
      <c r="C778" s="51" t="s">
        <v>2246</v>
      </c>
      <c r="D778" s="51" t="s">
        <v>366</v>
      </c>
      <c r="E778" s="51" t="b">
        <v>0</v>
      </c>
      <c r="F778" t="b">
        <v>0</v>
      </c>
      <c r="H778" s="646"/>
      <c r="M778" s="646"/>
      <c r="R778" s="646"/>
    </row>
    <row r="779">
      <c r="A779" s="51" t="s">
        <v>2247</v>
      </c>
      <c r="B779" s="51" t="s">
        <v>2248</v>
      </c>
      <c r="C779" s="51" t="s">
        <v>2249</v>
      </c>
      <c r="D779" s="51" t="s">
        <v>366</v>
      </c>
      <c r="E779" s="51" t="b">
        <v>0</v>
      </c>
      <c r="F779" t="b">
        <v>0</v>
      </c>
      <c r="H779" s="646"/>
      <c r="M779" s="646"/>
      <c r="R779" s="646"/>
    </row>
    <row r="780">
      <c r="A780" s="51" t="s">
        <v>2250</v>
      </c>
      <c r="B780" s="51" t="s">
        <v>2081</v>
      </c>
      <c r="C780" s="51" t="s">
        <v>2251</v>
      </c>
      <c r="D780" s="51" t="s">
        <v>366</v>
      </c>
      <c r="E780" t="b">
        <v>0</v>
      </c>
      <c r="F780" t="b">
        <v>0</v>
      </c>
      <c r="G780" s="51" t="s">
        <v>2252</v>
      </c>
      <c r="H780" s="646"/>
      <c r="M780" s="646"/>
      <c r="R780" s="646"/>
    </row>
    <row r="781">
      <c r="A781" s="51" t="s">
        <v>2253</v>
      </c>
      <c r="C781" s="51" t="s">
        <v>2254</v>
      </c>
      <c r="D781" s="51" t="s">
        <v>370</v>
      </c>
      <c r="E781" s="51" t="b">
        <v>0</v>
      </c>
      <c r="F781" t="b">
        <v>0</v>
      </c>
      <c r="G781" s="51" t="s">
        <v>506</v>
      </c>
      <c r="H781" s="646"/>
      <c r="M781" s="646"/>
      <c r="R781" s="646"/>
    </row>
    <row r="782">
      <c r="A782" s="51" t="s">
        <v>2255</v>
      </c>
      <c r="B782" s="51" t="s">
        <v>2256</v>
      </c>
      <c r="C782" s="51" t="s">
        <v>2257</v>
      </c>
      <c r="D782" s="51" t="s">
        <v>366</v>
      </c>
      <c r="E782" s="51" t="b">
        <v>0</v>
      </c>
      <c r="F782" t="b">
        <v>0</v>
      </c>
      <c r="H782" s="646"/>
      <c r="M782" s="646"/>
      <c r="R782" s="646"/>
    </row>
    <row r="783">
      <c r="A783" s="51" t="s">
        <v>2255</v>
      </c>
      <c r="B783" s="51" t="s">
        <v>2256</v>
      </c>
      <c r="C783" s="51" t="s">
        <v>2257</v>
      </c>
      <c r="D783" s="51" t="s">
        <v>366</v>
      </c>
      <c r="E783" s="51" t="b">
        <v>0</v>
      </c>
      <c r="F783" t="b">
        <v>0</v>
      </c>
      <c r="H783" s="646"/>
      <c r="M783" s="646"/>
      <c r="R783" s="646"/>
    </row>
    <row r="784">
      <c r="A784" s="51" t="s">
        <v>2258</v>
      </c>
      <c r="C784" s="51" t="s">
        <v>2259</v>
      </c>
      <c r="D784" s="51" t="s">
        <v>366</v>
      </c>
      <c r="E784" t="b">
        <v>0</v>
      </c>
      <c r="F784" t="b">
        <v>0</v>
      </c>
      <c r="H784" s="646"/>
      <c r="M784" s="646"/>
      <c r="R784" s="646"/>
    </row>
    <row r="785">
      <c r="A785" s="51" t="s">
        <v>2260</v>
      </c>
      <c r="B785" s="51" t="s">
        <v>2261</v>
      </c>
      <c r="C785" s="51" t="s">
        <v>2262</v>
      </c>
      <c r="D785" s="51" t="s">
        <v>366</v>
      </c>
      <c r="E785" s="51" t="b">
        <v>0</v>
      </c>
      <c r="F785" t="b">
        <v>0</v>
      </c>
      <c r="H785" s="646"/>
      <c r="M785" s="646"/>
      <c r="R785" s="646"/>
    </row>
    <row r="786">
      <c r="A786" s="51" t="s">
        <v>2263</v>
      </c>
      <c r="B786" s="51" t="s">
        <v>778</v>
      </c>
      <c r="C786" s="51" t="s">
        <v>2264</v>
      </c>
      <c r="D786" s="51" t="s">
        <v>370</v>
      </c>
      <c r="E786" s="51" t="b">
        <v>0</v>
      </c>
      <c r="F786" t="b">
        <v>0</v>
      </c>
      <c r="H786" s="646"/>
      <c r="M786" s="646"/>
      <c r="R786" s="646"/>
    </row>
    <row r="787">
      <c r="A787" s="51" t="s">
        <v>2265</v>
      </c>
      <c r="B787" s="51" t="s">
        <v>2266</v>
      </c>
      <c r="C787" s="51" t="s">
        <v>2267</v>
      </c>
      <c r="D787" s="51" t="s">
        <v>370</v>
      </c>
      <c r="E787" s="51" t="b">
        <v>0</v>
      </c>
      <c r="F787" t="b">
        <v>0</v>
      </c>
      <c r="H787" s="646"/>
      <c r="M787" s="646"/>
      <c r="R787" s="646"/>
    </row>
    <row r="788">
      <c r="A788" s="51" t="s">
        <v>2268</v>
      </c>
      <c r="B788" s="51" t="s">
        <v>2269</v>
      </c>
      <c r="C788" s="51" t="s">
        <v>2270</v>
      </c>
      <c r="D788" s="51" t="s">
        <v>370</v>
      </c>
      <c r="E788" s="51" t="b">
        <v>0</v>
      </c>
      <c r="F788" t="b">
        <v>0</v>
      </c>
      <c r="H788" s="646"/>
      <c r="M788" s="646"/>
      <c r="R788" s="646"/>
    </row>
    <row r="789">
      <c r="A789" s="51" t="s">
        <v>2271</v>
      </c>
      <c r="B789" s="51" t="s">
        <v>2272</v>
      </c>
      <c r="C789" s="51" t="s">
        <v>2273</v>
      </c>
      <c r="D789" s="51" t="s">
        <v>366</v>
      </c>
      <c r="E789" s="51" t="b">
        <v>0</v>
      </c>
      <c r="F789" t="b">
        <v>0</v>
      </c>
      <c r="G789" s="51" t="s">
        <v>1927</v>
      </c>
      <c r="H789" s="646"/>
      <c r="M789" s="646"/>
      <c r="R789" s="646"/>
    </row>
    <row r="790">
      <c r="A790" s="51" t="s">
        <v>2274</v>
      </c>
      <c r="B790" s="51" t="s">
        <v>2275</v>
      </c>
      <c r="C790" s="51" t="s">
        <v>2276</v>
      </c>
      <c r="D790" s="51" t="s">
        <v>366</v>
      </c>
      <c r="E790" s="51" t="b">
        <v>0</v>
      </c>
      <c r="F790" t="b">
        <v>0</v>
      </c>
      <c r="H790" s="646"/>
      <c r="M790" s="646"/>
      <c r="R790" s="646"/>
    </row>
    <row r="791">
      <c r="A791" s="51" t="s">
        <v>2277</v>
      </c>
      <c r="B791" s="51" t="s">
        <v>679</v>
      </c>
      <c r="C791" s="51" t="s">
        <v>2278</v>
      </c>
      <c r="D791" s="51" t="s">
        <v>370</v>
      </c>
      <c r="E791" s="51" t="b">
        <v>0</v>
      </c>
      <c r="F791" t="b">
        <v>0</v>
      </c>
      <c r="H791" s="646"/>
      <c r="M791" s="646"/>
      <c r="R791" s="646"/>
    </row>
    <row r="792">
      <c r="A792" s="51" t="s">
        <v>2279</v>
      </c>
      <c r="C792" s="51" t="s">
        <v>2280</v>
      </c>
      <c r="D792" s="51" t="s">
        <v>366</v>
      </c>
      <c r="E792" s="51" t="b">
        <v>0</v>
      </c>
      <c r="F792" t="b">
        <v>0</v>
      </c>
      <c r="G792" s="51" t="s">
        <v>2281</v>
      </c>
      <c r="H792" s="646"/>
      <c r="M792" s="646"/>
      <c r="R792" s="646"/>
    </row>
    <row r="793">
      <c r="A793" s="51" t="s">
        <v>2282</v>
      </c>
      <c r="B793" s="51" t="s">
        <v>2283</v>
      </c>
      <c r="C793" s="51" t="s">
        <v>2284</v>
      </c>
      <c r="D793" s="51" t="s">
        <v>366</v>
      </c>
      <c r="E793" t="b">
        <v>0</v>
      </c>
      <c r="F793" t="b">
        <v>0</v>
      </c>
      <c r="H793" s="646"/>
      <c r="M793" s="646"/>
      <c r="R793" s="646"/>
    </row>
    <row r="794">
      <c r="A794" s="51" t="s">
        <v>2285</v>
      </c>
      <c r="B794" s="51" t="s">
        <v>2286</v>
      </c>
      <c r="C794" s="51" t="s">
        <v>2287</v>
      </c>
      <c r="D794" s="51" t="s">
        <v>366</v>
      </c>
      <c r="E794" s="51" t="b">
        <v>0</v>
      </c>
      <c r="F794" t="b">
        <v>0</v>
      </c>
      <c r="H794" s="646"/>
      <c r="M794" s="646"/>
      <c r="R794" s="646"/>
    </row>
    <row r="795">
      <c r="A795" s="51" t="s">
        <v>2288</v>
      </c>
      <c r="B795" s="51" t="s">
        <v>2289</v>
      </c>
      <c r="C795" s="51" t="s">
        <v>2290</v>
      </c>
      <c r="D795" s="51" t="s">
        <v>366</v>
      </c>
      <c r="E795" s="51" t="b">
        <v>0</v>
      </c>
      <c r="F795" t="b">
        <v>0</v>
      </c>
      <c r="H795" s="646"/>
      <c r="M795" s="646"/>
      <c r="R795" s="646"/>
    </row>
    <row r="796">
      <c r="A796" s="51" t="s">
        <v>2291</v>
      </c>
      <c r="B796" s="51" t="s">
        <v>390</v>
      </c>
      <c r="C796" s="51" t="s">
        <v>2292</v>
      </c>
      <c r="D796" s="51" t="s">
        <v>366</v>
      </c>
      <c r="E796" s="51" t="b">
        <v>0</v>
      </c>
      <c r="F796" t="b">
        <v>0</v>
      </c>
      <c r="H796" s="646"/>
      <c r="M796" s="646"/>
      <c r="R796" s="646"/>
    </row>
    <row r="797">
      <c r="A797" s="51" t="s">
        <v>2293</v>
      </c>
      <c r="B797" s="51" t="s">
        <v>2235</v>
      </c>
      <c r="C797" s="51" t="s">
        <v>2294</v>
      </c>
      <c r="D797" s="51" t="s">
        <v>366</v>
      </c>
      <c r="E797" s="51" t="b">
        <v>0</v>
      </c>
      <c r="F797" t="b">
        <v>0</v>
      </c>
      <c r="H797" s="646"/>
      <c r="M797" s="646"/>
      <c r="R797" s="646"/>
    </row>
    <row r="798">
      <c r="A798" s="51" t="s">
        <v>2295</v>
      </c>
      <c r="B798" s="51" t="s">
        <v>2296</v>
      </c>
      <c r="C798" s="51" t="s">
        <v>2297</v>
      </c>
      <c r="D798" s="51" t="s">
        <v>366</v>
      </c>
      <c r="E798" s="51" t="b">
        <v>0</v>
      </c>
      <c r="F798" t="b">
        <v>0</v>
      </c>
      <c r="H798" s="646"/>
      <c r="M798" s="646"/>
      <c r="R798" s="646"/>
    </row>
    <row r="799">
      <c r="A799" s="51" t="s">
        <v>2295</v>
      </c>
      <c r="B799" s="51" t="s">
        <v>2296</v>
      </c>
      <c r="C799" s="51" t="s">
        <v>2297</v>
      </c>
      <c r="D799" s="51" t="s">
        <v>366</v>
      </c>
      <c r="E799" s="51" t="b">
        <v>0</v>
      </c>
      <c r="F799" t="b">
        <v>0</v>
      </c>
      <c r="H799" s="646"/>
      <c r="M799" s="646"/>
      <c r="R799" s="646"/>
    </row>
    <row r="800">
      <c r="A800" s="51" t="s">
        <v>2298</v>
      </c>
      <c r="B800" s="51" t="s">
        <v>2299</v>
      </c>
      <c r="C800" s="51" t="s">
        <v>2300</v>
      </c>
      <c r="D800" s="51" t="s">
        <v>366</v>
      </c>
      <c r="E800" s="51" t="b">
        <v>0</v>
      </c>
      <c r="F800" t="b">
        <v>0</v>
      </c>
      <c r="H800" s="646"/>
      <c r="M800" s="646"/>
      <c r="R800" s="646"/>
    </row>
    <row r="801">
      <c r="A801" s="51" t="s">
        <v>2301</v>
      </c>
      <c r="B801" s="51" t="s">
        <v>991</v>
      </c>
      <c r="C801" s="51" t="s">
        <v>2302</v>
      </c>
      <c r="D801" s="51" t="s">
        <v>366</v>
      </c>
      <c r="E801" s="51" t="b">
        <v>0</v>
      </c>
      <c r="F801" t="b">
        <v>0</v>
      </c>
      <c r="H801" s="646"/>
      <c r="M801" s="646"/>
      <c r="R801" s="646"/>
    </row>
    <row r="802">
      <c r="A802" s="51" t="s">
        <v>2301</v>
      </c>
      <c r="B802" s="51" t="s">
        <v>991</v>
      </c>
      <c r="C802" s="51" t="s">
        <v>2303</v>
      </c>
      <c r="D802" s="51" t="s">
        <v>370</v>
      </c>
      <c r="E802" s="51" t="b">
        <v>0</v>
      </c>
      <c r="F802" t="b">
        <v>0</v>
      </c>
      <c r="H802" s="646"/>
      <c r="M802" s="646"/>
      <c r="R802" s="646"/>
    </row>
    <row r="803">
      <c r="A803" s="51" t="s">
        <v>2301</v>
      </c>
      <c r="B803" s="51" t="s">
        <v>991</v>
      </c>
      <c r="C803" s="51" t="s">
        <v>2304</v>
      </c>
      <c r="D803" s="51" t="s">
        <v>366</v>
      </c>
      <c r="E803" s="51" t="b">
        <v>0</v>
      </c>
      <c r="F803" t="b">
        <v>0</v>
      </c>
      <c r="H803" s="646"/>
      <c r="M803" s="646"/>
      <c r="R803" s="646"/>
    </row>
    <row r="804">
      <c r="A804" s="51" t="s">
        <v>2301</v>
      </c>
      <c r="B804" s="51" t="s">
        <v>991</v>
      </c>
      <c r="C804" s="51" t="s">
        <v>2305</v>
      </c>
      <c r="D804" s="51" t="s">
        <v>370</v>
      </c>
      <c r="E804" s="51" t="b">
        <v>0</v>
      </c>
      <c r="F804" t="b">
        <v>0</v>
      </c>
      <c r="H804" s="646"/>
      <c r="M804" s="646"/>
      <c r="R804" s="646"/>
    </row>
    <row r="805">
      <c r="A805" s="51" t="s">
        <v>2306</v>
      </c>
      <c r="B805" s="51" t="s">
        <v>2307</v>
      </c>
      <c r="C805" s="51" t="s">
        <v>2308</v>
      </c>
      <c r="D805" s="51" t="s">
        <v>366</v>
      </c>
      <c r="E805" t="b">
        <v>0</v>
      </c>
      <c r="F805" t="b">
        <v>0</v>
      </c>
      <c r="H805" s="646"/>
      <c r="M805" s="646"/>
      <c r="R805" s="646"/>
    </row>
    <row r="806">
      <c r="A806" s="51" t="s">
        <v>2309</v>
      </c>
      <c r="B806" s="51" t="s">
        <v>831</v>
      </c>
      <c r="C806" s="51" t="s">
        <v>2310</v>
      </c>
      <c r="D806" s="51" t="s">
        <v>366</v>
      </c>
      <c r="E806" s="51" t="b">
        <v>0</v>
      </c>
      <c r="F806" t="b">
        <v>0</v>
      </c>
      <c r="H806" s="646"/>
      <c r="M806" s="646"/>
      <c r="R806" s="646"/>
    </row>
    <row r="807">
      <c r="A807" s="51" t="s">
        <v>2311</v>
      </c>
      <c r="B807" s="51" t="s">
        <v>2312</v>
      </c>
      <c r="C807" s="51" t="s">
        <v>2313</v>
      </c>
      <c r="D807" s="51" t="s">
        <v>366</v>
      </c>
      <c r="E807" s="51" t="b">
        <v>0</v>
      </c>
      <c r="F807" t="b">
        <v>0</v>
      </c>
      <c r="H807" s="646"/>
      <c r="M807" s="646"/>
      <c r="R807" s="646"/>
    </row>
    <row r="808">
      <c r="A808" s="51" t="s">
        <v>2311</v>
      </c>
      <c r="B808" s="51" t="s">
        <v>1992</v>
      </c>
      <c r="C808" s="51" t="s">
        <v>2314</v>
      </c>
      <c r="D808" s="51" t="s">
        <v>370</v>
      </c>
      <c r="E808" s="51" t="b">
        <v>0</v>
      </c>
      <c r="F808" t="b">
        <v>0</v>
      </c>
      <c r="H808" s="646"/>
      <c r="M808" s="646"/>
      <c r="R808" s="646"/>
    </row>
    <row r="809">
      <c r="A809" s="51" t="s">
        <v>2311</v>
      </c>
      <c r="B809" s="51" t="s">
        <v>2312</v>
      </c>
      <c r="C809" s="51" t="s">
        <v>2315</v>
      </c>
      <c r="D809" s="51" t="s">
        <v>370</v>
      </c>
      <c r="E809" s="51" t="b">
        <v>0</v>
      </c>
      <c r="F809" t="b">
        <v>0</v>
      </c>
      <c r="H809" s="646"/>
      <c r="M809" s="646"/>
      <c r="R809" s="646"/>
    </row>
    <row r="810">
      <c r="A810" s="51" t="s">
        <v>2316</v>
      </c>
      <c r="B810" s="51" t="s">
        <v>2317</v>
      </c>
      <c r="C810" s="51" t="s">
        <v>2318</v>
      </c>
      <c r="D810" s="51" t="s">
        <v>370</v>
      </c>
      <c r="E810" t="b">
        <v>0</v>
      </c>
      <c r="F810" t="b">
        <v>0</v>
      </c>
      <c r="H810" s="646"/>
      <c r="M810" s="646"/>
      <c r="R810" s="646"/>
    </row>
    <row r="811">
      <c r="A811" s="51" t="s">
        <v>2319</v>
      </c>
      <c r="B811" s="51" t="s">
        <v>629</v>
      </c>
      <c r="C811" s="51" t="s">
        <v>2320</v>
      </c>
      <c r="D811" s="51" t="s">
        <v>366</v>
      </c>
      <c r="E811" s="51" t="b">
        <v>0</v>
      </c>
      <c r="F811" t="b">
        <v>0</v>
      </c>
      <c r="H811" s="646"/>
      <c r="M811" s="646"/>
      <c r="R811" s="646"/>
    </row>
    <row r="812">
      <c r="A812" s="51" t="s">
        <v>2321</v>
      </c>
      <c r="B812" s="51" t="s">
        <v>390</v>
      </c>
      <c r="C812" s="51" t="s">
        <v>2322</v>
      </c>
      <c r="D812" s="51" t="s">
        <v>366</v>
      </c>
      <c r="E812" s="51" t="b">
        <v>0</v>
      </c>
      <c r="F812" t="b">
        <v>0</v>
      </c>
      <c r="H812" s="646"/>
      <c r="M812" s="646"/>
      <c r="R812" s="646"/>
    </row>
    <row r="813">
      <c r="A813" s="51" t="s">
        <v>2323</v>
      </c>
      <c r="B813" s="51" t="s">
        <v>876</v>
      </c>
      <c r="C813" s="51" t="s">
        <v>2324</v>
      </c>
      <c r="D813" s="51" t="s">
        <v>366</v>
      </c>
      <c r="E813" s="51" t="b">
        <v>0</v>
      </c>
      <c r="F813" t="b">
        <v>0</v>
      </c>
      <c r="H813" s="646"/>
      <c r="M813" s="646"/>
      <c r="R813" s="646"/>
    </row>
    <row r="814">
      <c r="A814" s="51" t="s">
        <v>2323</v>
      </c>
      <c r="B814" s="51" t="s">
        <v>876</v>
      </c>
      <c r="C814" s="51" t="s">
        <v>2325</v>
      </c>
      <c r="D814" s="51" t="s">
        <v>366</v>
      </c>
      <c r="E814" s="51" t="b">
        <v>0</v>
      </c>
      <c r="F814" t="b">
        <v>0</v>
      </c>
      <c r="H814" s="646"/>
      <c r="M814" s="646"/>
      <c r="R814" s="646"/>
    </row>
    <row r="815">
      <c r="A815" s="51" t="s">
        <v>2323</v>
      </c>
      <c r="B815" s="51" t="s">
        <v>876</v>
      </c>
      <c r="C815" s="51" t="s">
        <v>2326</v>
      </c>
      <c r="D815" s="51" t="s">
        <v>366</v>
      </c>
      <c r="E815" s="51" t="b">
        <v>0</v>
      </c>
      <c r="F815" t="b">
        <v>0</v>
      </c>
      <c r="H815" s="646"/>
      <c r="M815" s="646"/>
      <c r="R815" s="646"/>
    </row>
    <row r="816">
      <c r="A816" s="51" t="s">
        <v>2323</v>
      </c>
      <c r="B816" s="51" t="s">
        <v>876</v>
      </c>
      <c r="C816" s="51" t="s">
        <v>2327</v>
      </c>
      <c r="D816" s="51" t="s">
        <v>366</v>
      </c>
      <c r="E816" s="51" t="b">
        <v>0</v>
      </c>
      <c r="F816" t="b">
        <v>0</v>
      </c>
      <c r="H816" s="646"/>
      <c r="M816" s="646"/>
      <c r="R816" s="646"/>
    </row>
    <row r="817">
      <c r="A817" s="51" t="s">
        <v>2323</v>
      </c>
      <c r="B817" s="51" t="s">
        <v>876</v>
      </c>
      <c r="C817" s="51" t="s">
        <v>2328</v>
      </c>
      <c r="D817" s="51" t="s">
        <v>366</v>
      </c>
      <c r="E817" s="51" t="b">
        <v>0</v>
      </c>
      <c r="F817" t="b">
        <v>0</v>
      </c>
      <c r="H817" s="646"/>
      <c r="M817" s="646"/>
      <c r="R817" s="646"/>
    </row>
    <row r="818">
      <c r="A818" s="51" t="s">
        <v>2323</v>
      </c>
      <c r="B818" s="51" t="s">
        <v>876</v>
      </c>
      <c r="C818" s="51" t="s">
        <v>2329</v>
      </c>
      <c r="D818" s="51" t="s">
        <v>366</v>
      </c>
      <c r="E818" s="51" t="b">
        <v>0</v>
      </c>
      <c r="F818" t="b">
        <v>0</v>
      </c>
      <c r="H818" s="646"/>
      <c r="M818" s="646"/>
      <c r="R818" s="646"/>
    </row>
    <row r="819">
      <c r="A819" s="51" t="s">
        <v>2330</v>
      </c>
      <c r="C819" s="51" t="s">
        <v>2331</v>
      </c>
      <c r="D819" s="51" t="s">
        <v>366</v>
      </c>
      <c r="E819" s="51" t="b">
        <v>0</v>
      </c>
      <c r="F819" t="b">
        <v>0</v>
      </c>
      <c r="G819" s="51" t="s">
        <v>2332</v>
      </c>
      <c r="H819" s="646"/>
      <c r="M819" s="646"/>
      <c r="R819" s="646"/>
    </row>
    <row r="820">
      <c r="A820" s="51" t="s">
        <v>2333</v>
      </c>
      <c r="C820" s="51" t="s">
        <v>2334</v>
      </c>
      <c r="D820" s="51" t="s">
        <v>366</v>
      </c>
      <c r="E820" s="51" t="b">
        <v>0</v>
      </c>
      <c r="F820" t="b">
        <v>0</v>
      </c>
      <c r="G820" s="51" t="s">
        <v>2332</v>
      </c>
      <c r="H820" s="646"/>
      <c r="M820" s="646"/>
      <c r="R820" s="646"/>
    </row>
    <row r="821">
      <c r="A821" s="51" t="s">
        <v>2335</v>
      </c>
      <c r="B821" s="51" t="s">
        <v>684</v>
      </c>
      <c r="C821" s="51" t="s">
        <v>2336</v>
      </c>
      <c r="D821" s="51" t="s">
        <v>366</v>
      </c>
      <c r="E821" s="51" t="b">
        <v>0</v>
      </c>
      <c r="F821" t="b">
        <v>0</v>
      </c>
      <c r="H821" s="646"/>
      <c r="M821" s="646"/>
      <c r="R821" s="646"/>
    </row>
    <row r="822">
      <c r="A822" s="51" t="s">
        <v>2335</v>
      </c>
      <c r="B822" s="51" t="s">
        <v>684</v>
      </c>
      <c r="C822" s="51" t="s">
        <v>2337</v>
      </c>
      <c r="D822" s="51" t="s">
        <v>366</v>
      </c>
      <c r="E822" s="51" t="b">
        <v>0</v>
      </c>
      <c r="F822" t="b">
        <v>0</v>
      </c>
      <c r="H822" s="646"/>
      <c r="M822" s="646"/>
      <c r="R822" s="646"/>
    </row>
    <row r="823">
      <c r="A823" s="51" t="s">
        <v>2338</v>
      </c>
      <c r="B823" s="51" t="s">
        <v>471</v>
      </c>
      <c r="C823" s="51" t="s">
        <v>2339</v>
      </c>
      <c r="D823" s="51" t="s">
        <v>366</v>
      </c>
      <c r="E823" s="51" t="b">
        <v>0</v>
      </c>
      <c r="F823" t="b">
        <v>0</v>
      </c>
      <c r="H823" s="646"/>
      <c r="M823" s="646"/>
      <c r="R823" s="646"/>
    </row>
    <row r="824">
      <c r="A824" s="51" t="s">
        <v>2340</v>
      </c>
      <c r="B824" s="51" t="s">
        <v>2341</v>
      </c>
      <c r="C824" s="51" t="s">
        <v>2342</v>
      </c>
      <c r="D824" s="51" t="s">
        <v>366</v>
      </c>
      <c r="E824" s="51" t="b">
        <v>0</v>
      </c>
      <c r="F824" t="b">
        <v>0</v>
      </c>
      <c r="H824" s="646"/>
      <c r="M824" s="646"/>
      <c r="R824" s="646"/>
    </row>
    <row r="825">
      <c r="A825" s="51" t="s">
        <v>2343</v>
      </c>
      <c r="B825" s="51" t="s">
        <v>836</v>
      </c>
      <c r="C825" s="51" t="s">
        <v>2344</v>
      </c>
      <c r="D825" s="51" t="s">
        <v>366</v>
      </c>
      <c r="E825" s="51" t="b">
        <v>0</v>
      </c>
      <c r="F825" t="b">
        <v>0</v>
      </c>
      <c r="H825" s="646"/>
      <c r="M825" s="646"/>
      <c r="R825" s="646"/>
    </row>
    <row r="826">
      <c r="A826" s="51" t="s">
        <v>2345</v>
      </c>
      <c r="B826" s="51" t="s">
        <v>2346</v>
      </c>
      <c r="C826" s="51" t="s">
        <v>2347</v>
      </c>
      <c r="D826" s="51" t="s">
        <v>370</v>
      </c>
      <c r="E826" s="51" t="b">
        <v>0</v>
      </c>
      <c r="F826" t="b">
        <v>0</v>
      </c>
      <c r="H826" s="646"/>
      <c r="M826" s="646"/>
      <c r="R826" s="646"/>
    </row>
    <row r="827">
      <c r="A827" s="51" t="s">
        <v>2348</v>
      </c>
      <c r="B827" s="51" t="s">
        <v>2349</v>
      </c>
      <c r="C827" s="51" t="s">
        <v>2350</v>
      </c>
      <c r="D827" s="51" t="s">
        <v>366</v>
      </c>
      <c r="E827" s="51" t="b">
        <v>0</v>
      </c>
      <c r="F827" t="b">
        <v>0</v>
      </c>
      <c r="H827" s="646"/>
      <c r="M827" s="646"/>
      <c r="R827" s="646"/>
    </row>
    <row r="828">
      <c r="A828" s="51" t="s">
        <v>2348</v>
      </c>
      <c r="B828" s="51" t="s">
        <v>2351</v>
      </c>
      <c r="C828" s="51" t="s">
        <v>2352</v>
      </c>
      <c r="D828" s="51" t="s">
        <v>366</v>
      </c>
      <c r="E828" s="51" t="b">
        <v>0</v>
      </c>
      <c r="F828" t="b">
        <v>0</v>
      </c>
      <c r="H828" s="646"/>
      <c r="M828" s="646"/>
      <c r="R828" s="646"/>
    </row>
    <row r="829">
      <c r="A829" s="51" t="s">
        <v>2348</v>
      </c>
      <c r="B829" s="51" t="s">
        <v>2351</v>
      </c>
      <c r="C829" s="51" t="s">
        <v>2353</v>
      </c>
      <c r="D829" s="51" t="s">
        <v>366</v>
      </c>
      <c r="E829" s="51" t="b">
        <v>0</v>
      </c>
      <c r="F829" t="b">
        <v>0</v>
      </c>
      <c r="H829" s="646"/>
      <c r="M829" s="646"/>
      <c r="R829" s="646"/>
    </row>
    <row r="830">
      <c r="A830" s="51" t="s">
        <v>2348</v>
      </c>
      <c r="B830" s="51" t="s">
        <v>2351</v>
      </c>
      <c r="C830" s="51" t="s">
        <v>2354</v>
      </c>
      <c r="D830" s="51" t="s">
        <v>366</v>
      </c>
      <c r="E830" s="51" t="b">
        <v>0</v>
      </c>
      <c r="F830" t="b">
        <v>0</v>
      </c>
      <c r="H830" s="646"/>
      <c r="M830" s="646"/>
      <c r="R830" s="646"/>
    </row>
    <row r="831">
      <c r="A831" s="51" t="s">
        <v>2348</v>
      </c>
      <c r="B831" s="51" t="s">
        <v>2351</v>
      </c>
      <c r="C831" s="51" t="s">
        <v>2355</v>
      </c>
      <c r="D831" s="51" t="s">
        <v>366</v>
      </c>
      <c r="E831" s="51" t="b">
        <v>0</v>
      </c>
      <c r="F831" t="b">
        <v>0</v>
      </c>
      <c r="H831" s="646"/>
      <c r="M831" s="646"/>
      <c r="R831" s="646"/>
    </row>
    <row r="832">
      <c r="A832" s="51" t="s">
        <v>2348</v>
      </c>
      <c r="B832" s="51" t="s">
        <v>2351</v>
      </c>
      <c r="C832" s="51" t="s">
        <v>2356</v>
      </c>
      <c r="D832" s="51" t="s">
        <v>366</v>
      </c>
      <c r="E832" s="51" t="b">
        <v>0</v>
      </c>
      <c r="F832" t="b">
        <v>0</v>
      </c>
      <c r="H832" s="646"/>
      <c r="M832" s="646"/>
      <c r="R832" s="646"/>
    </row>
    <row r="833">
      <c r="A833" s="51" t="s">
        <v>2357</v>
      </c>
      <c r="B833" s="51" t="s">
        <v>1200</v>
      </c>
      <c r="C833" s="51" t="s">
        <v>2358</v>
      </c>
      <c r="D833" s="51" t="s">
        <v>366</v>
      </c>
      <c r="E833" t="b">
        <v>0</v>
      </c>
      <c r="F833" t="b">
        <v>0</v>
      </c>
      <c r="H833" s="646"/>
      <c r="M833" s="646"/>
      <c r="R833" s="646"/>
    </row>
    <row r="834">
      <c r="A834" s="51" t="s">
        <v>2359</v>
      </c>
      <c r="B834" s="51" t="s">
        <v>2360</v>
      </c>
      <c r="C834" s="51" t="s">
        <v>2361</v>
      </c>
      <c r="D834" s="51" t="s">
        <v>366</v>
      </c>
      <c r="E834" s="51" t="b">
        <v>0</v>
      </c>
      <c r="F834" t="b">
        <v>0</v>
      </c>
      <c r="H834" s="646"/>
      <c r="M834" s="646"/>
      <c r="R834" s="646"/>
    </row>
    <row r="835">
      <c r="A835" s="51" t="s">
        <v>2362</v>
      </c>
      <c r="B835" s="51" t="s">
        <v>2363</v>
      </c>
      <c r="C835" s="51" t="s">
        <v>2364</v>
      </c>
      <c r="D835" s="51" t="s">
        <v>366</v>
      </c>
      <c r="E835" s="51" t="b">
        <v>1</v>
      </c>
      <c r="F835" t="b">
        <v>0</v>
      </c>
      <c r="H835" s="646"/>
      <c r="M835" s="646"/>
      <c r="R835" s="646"/>
    </row>
    <row r="836">
      <c r="A836" s="51" t="s">
        <v>2365</v>
      </c>
      <c r="B836" s="51" t="s">
        <v>767</v>
      </c>
      <c r="C836" s="51" t="s">
        <v>2366</v>
      </c>
      <c r="D836" s="51" t="s">
        <v>366</v>
      </c>
      <c r="E836" s="51" t="b">
        <v>0</v>
      </c>
      <c r="F836" t="b">
        <v>0</v>
      </c>
      <c r="H836" s="646"/>
      <c r="M836" s="646"/>
      <c r="R836" s="646"/>
    </row>
    <row r="837">
      <c r="A837" s="51" t="s">
        <v>2365</v>
      </c>
      <c r="B837" s="51" t="s">
        <v>767</v>
      </c>
      <c r="C837" s="51" t="s">
        <v>2367</v>
      </c>
      <c r="D837" s="51" t="s">
        <v>366</v>
      </c>
      <c r="E837" s="51" t="b">
        <v>0</v>
      </c>
      <c r="F837" t="b">
        <v>0</v>
      </c>
      <c r="H837" s="646"/>
      <c r="M837" s="646"/>
      <c r="R837" s="646"/>
    </row>
    <row r="838">
      <c r="A838" s="51" t="s">
        <v>2368</v>
      </c>
      <c r="B838" s="51" t="s">
        <v>2369</v>
      </c>
      <c r="C838" s="51" t="s">
        <v>2370</v>
      </c>
      <c r="D838" s="51" t="s">
        <v>366</v>
      </c>
      <c r="E838" s="51" t="b">
        <v>0</v>
      </c>
      <c r="F838" t="b">
        <v>0</v>
      </c>
      <c r="H838" s="646"/>
      <c r="M838" s="646"/>
      <c r="R838" s="646"/>
    </row>
    <row r="839">
      <c r="A839" s="51" t="s">
        <v>2371</v>
      </c>
      <c r="B839" s="51" t="s">
        <v>2372</v>
      </c>
      <c r="C839" s="51" t="s">
        <v>2373</v>
      </c>
      <c r="D839" s="51" t="s">
        <v>366</v>
      </c>
      <c r="E839" s="51" t="b">
        <v>0</v>
      </c>
      <c r="F839" t="b">
        <v>0</v>
      </c>
      <c r="G839" s="51" t="s">
        <v>2374</v>
      </c>
      <c r="H839" s="646"/>
      <c r="M839" s="646"/>
      <c r="R839" s="646"/>
    </row>
    <row r="840">
      <c r="A840" s="51" t="s">
        <v>2375</v>
      </c>
      <c r="B840" s="51" t="s">
        <v>1398</v>
      </c>
      <c r="C840" s="51" t="s">
        <v>2376</v>
      </c>
      <c r="D840" s="51" t="s">
        <v>366</v>
      </c>
      <c r="E840" s="51" t="b">
        <v>0</v>
      </c>
      <c r="F840" t="b">
        <v>0</v>
      </c>
      <c r="G840" s="51" t="s">
        <v>2064</v>
      </c>
      <c r="H840" s="646"/>
      <c r="M840" s="646"/>
      <c r="R840" s="646"/>
    </row>
    <row r="841">
      <c r="A841" s="51" t="s">
        <v>2377</v>
      </c>
      <c r="B841" s="51" t="s">
        <v>2378</v>
      </c>
      <c r="C841" s="51" t="s">
        <v>2379</v>
      </c>
      <c r="D841" s="51" t="s">
        <v>370</v>
      </c>
      <c r="E841" t="b">
        <v>0</v>
      </c>
      <c r="F841" t="b">
        <v>0</v>
      </c>
      <c r="H841" s="646"/>
      <c r="M841" s="646"/>
      <c r="R841" s="646"/>
    </row>
    <row r="842">
      <c r="A842" s="51" t="s">
        <v>2377</v>
      </c>
      <c r="B842" s="51" t="s">
        <v>2081</v>
      </c>
      <c r="C842" s="51" t="s">
        <v>2380</v>
      </c>
      <c r="D842" s="51" t="s">
        <v>366</v>
      </c>
      <c r="E842" s="51" t="b">
        <v>0</v>
      </c>
      <c r="F842" t="b">
        <v>0</v>
      </c>
      <c r="H842" s="646"/>
      <c r="M842" s="646"/>
      <c r="R842" s="646"/>
    </row>
    <row r="843">
      <c r="A843" s="51" t="s">
        <v>2381</v>
      </c>
      <c r="B843" s="51" t="s">
        <v>1274</v>
      </c>
      <c r="C843" s="51" t="s">
        <v>2382</v>
      </c>
      <c r="D843" s="51" t="s">
        <v>366</v>
      </c>
      <c r="E843" s="51" t="b">
        <v>0</v>
      </c>
      <c r="F843" t="b">
        <v>0</v>
      </c>
      <c r="H843" s="646"/>
      <c r="M843" s="646"/>
      <c r="R843" s="646"/>
    </row>
    <row r="844">
      <c r="A844" s="51" t="s">
        <v>2381</v>
      </c>
      <c r="B844" s="51" t="s">
        <v>1274</v>
      </c>
      <c r="C844" s="51" t="s">
        <v>2383</v>
      </c>
      <c r="D844" s="51" t="s">
        <v>366</v>
      </c>
      <c r="E844" s="51" t="b">
        <v>0</v>
      </c>
      <c r="F844" t="b">
        <v>0</v>
      </c>
      <c r="H844" s="646"/>
      <c r="M844" s="646"/>
      <c r="R844" s="646"/>
    </row>
    <row r="845">
      <c r="A845" s="51" t="s">
        <v>2384</v>
      </c>
      <c r="B845" s="51" t="s">
        <v>2385</v>
      </c>
      <c r="C845" s="51" t="s">
        <v>2386</v>
      </c>
      <c r="D845" s="51" t="s">
        <v>366</v>
      </c>
      <c r="E845" s="51" t="b">
        <v>0</v>
      </c>
      <c r="F845" t="b">
        <v>0</v>
      </c>
      <c r="H845" s="646"/>
      <c r="M845" s="646"/>
      <c r="R845" s="646"/>
    </row>
    <row r="846">
      <c r="A846" s="51" t="s">
        <v>2387</v>
      </c>
      <c r="B846" s="51" t="s">
        <v>1023</v>
      </c>
      <c r="C846" s="51" t="s">
        <v>2388</v>
      </c>
      <c r="D846" s="51" t="s">
        <v>370</v>
      </c>
      <c r="E846" s="51" t="b">
        <v>0</v>
      </c>
      <c r="F846" t="b">
        <v>0</v>
      </c>
      <c r="H846" s="646"/>
      <c r="M846" s="646"/>
      <c r="R846" s="646"/>
    </row>
    <row r="847">
      <c r="A847" s="51" t="s">
        <v>2387</v>
      </c>
      <c r="B847" s="51" t="s">
        <v>1023</v>
      </c>
      <c r="C847" s="51" t="s">
        <v>2389</v>
      </c>
      <c r="D847" s="51" t="s">
        <v>370</v>
      </c>
      <c r="E847" s="51" t="b">
        <v>0</v>
      </c>
      <c r="F847" t="b">
        <v>0</v>
      </c>
      <c r="H847" s="646"/>
      <c r="M847" s="646"/>
      <c r="R847" s="646"/>
    </row>
    <row r="848">
      <c r="A848" s="51" t="s">
        <v>2387</v>
      </c>
      <c r="B848" s="51" t="s">
        <v>1023</v>
      </c>
      <c r="C848" s="51" t="s">
        <v>2390</v>
      </c>
      <c r="D848" s="51" t="s">
        <v>370</v>
      </c>
      <c r="E848" s="51" t="b">
        <v>0</v>
      </c>
      <c r="F848" t="b">
        <v>0</v>
      </c>
      <c r="H848" s="646"/>
      <c r="M848" s="646"/>
      <c r="R848" s="646"/>
    </row>
    <row r="849">
      <c r="A849" s="51" t="s">
        <v>2391</v>
      </c>
      <c r="B849" s="51" t="s">
        <v>2392</v>
      </c>
      <c r="C849" s="51" t="s">
        <v>2393</v>
      </c>
      <c r="D849" s="51" t="s">
        <v>366</v>
      </c>
      <c r="E849" s="51" t="b">
        <v>0</v>
      </c>
      <c r="F849" t="b">
        <v>0</v>
      </c>
      <c r="H849" s="646"/>
      <c r="M849" s="646"/>
      <c r="R849" s="646"/>
    </row>
    <row r="850">
      <c r="A850" s="51" t="s">
        <v>2394</v>
      </c>
      <c r="B850" s="51" t="s">
        <v>2392</v>
      </c>
      <c r="C850" s="51" t="s">
        <v>2395</v>
      </c>
      <c r="D850" s="51" t="s">
        <v>366</v>
      </c>
      <c r="E850" s="51" t="b">
        <v>0</v>
      </c>
      <c r="F850" t="b">
        <v>0</v>
      </c>
      <c r="H850" s="646"/>
      <c r="M850" s="646"/>
      <c r="R850" s="646"/>
    </row>
    <row r="851">
      <c r="A851" s="51" t="s">
        <v>2396</v>
      </c>
      <c r="B851" s="51" t="s">
        <v>1709</v>
      </c>
      <c r="C851" s="51" t="s">
        <v>2397</v>
      </c>
      <c r="D851" s="51" t="s">
        <v>366</v>
      </c>
      <c r="E851" t="b">
        <v>0</v>
      </c>
      <c r="F851" t="b">
        <v>0</v>
      </c>
      <c r="H851" s="646"/>
      <c r="M851" s="646"/>
      <c r="R851" s="646"/>
    </row>
    <row r="852">
      <c r="A852" s="51" t="s">
        <v>2398</v>
      </c>
      <c r="B852" s="51" t="s">
        <v>2266</v>
      </c>
      <c r="C852" s="51" t="s">
        <v>2399</v>
      </c>
      <c r="D852" s="51" t="s">
        <v>370</v>
      </c>
      <c r="E852" s="51" t="b">
        <v>0</v>
      </c>
      <c r="F852" t="b">
        <v>0</v>
      </c>
      <c r="H852" s="646"/>
      <c r="M852" s="646"/>
      <c r="R852" s="646"/>
    </row>
    <row r="853">
      <c r="A853" s="51" t="s">
        <v>2400</v>
      </c>
      <c r="C853" s="51" t="s">
        <v>2401</v>
      </c>
      <c r="D853" s="51" t="s">
        <v>366</v>
      </c>
      <c r="E853" s="51" t="b">
        <v>0</v>
      </c>
      <c r="F853" t="b">
        <v>0</v>
      </c>
      <c r="G853" s="51" t="s">
        <v>2064</v>
      </c>
      <c r="H853" s="646"/>
      <c r="M853" s="646"/>
      <c r="R853" s="646"/>
    </row>
    <row r="854">
      <c r="A854" s="51" t="s">
        <v>2400</v>
      </c>
      <c r="B854" s="51" t="s">
        <v>785</v>
      </c>
      <c r="C854" s="51" t="s">
        <v>2402</v>
      </c>
      <c r="D854" s="51" t="s">
        <v>366</v>
      </c>
      <c r="E854" s="51" t="b">
        <v>0</v>
      </c>
      <c r="F854" t="b">
        <v>0</v>
      </c>
      <c r="G854" s="51" t="s">
        <v>2403</v>
      </c>
      <c r="H854" s="646"/>
      <c r="M854" s="646"/>
      <c r="R854" s="646"/>
    </row>
    <row r="855">
      <c r="A855" s="51" t="s">
        <v>2404</v>
      </c>
      <c r="B855" s="51" t="s">
        <v>2405</v>
      </c>
      <c r="C855" s="51" t="s">
        <v>2406</v>
      </c>
      <c r="D855" s="51" t="s">
        <v>366</v>
      </c>
      <c r="E855" s="51" t="b">
        <v>0</v>
      </c>
      <c r="F855" t="b">
        <v>0</v>
      </c>
      <c r="H855" s="646"/>
      <c r="M855" s="646"/>
      <c r="R855" s="646"/>
    </row>
    <row r="856">
      <c r="A856" s="51" t="s">
        <v>2407</v>
      </c>
      <c r="B856" s="51" t="s">
        <v>2408</v>
      </c>
      <c r="C856" s="51" t="s">
        <v>2409</v>
      </c>
      <c r="D856" s="51" t="s">
        <v>366</v>
      </c>
      <c r="E856" s="51" t="b">
        <v>0</v>
      </c>
      <c r="F856" t="b">
        <v>0</v>
      </c>
      <c r="H856" s="646"/>
      <c r="M856" s="646"/>
      <c r="R856" s="646"/>
    </row>
    <row r="857">
      <c r="A857" s="51" t="s">
        <v>2410</v>
      </c>
      <c r="C857" s="51" t="s">
        <v>2411</v>
      </c>
      <c r="D857" s="51" t="s">
        <v>366</v>
      </c>
      <c r="E857" s="51" t="b">
        <v>1</v>
      </c>
      <c r="F857" t="b">
        <v>0</v>
      </c>
      <c r="H857" s="646"/>
      <c r="M857" s="646"/>
      <c r="R857" s="646"/>
    </row>
    <row r="858">
      <c r="A858" s="51" t="s">
        <v>2410</v>
      </c>
      <c r="C858" s="51" t="s">
        <v>2412</v>
      </c>
      <c r="D858" s="51" t="s">
        <v>366</v>
      </c>
      <c r="E858" s="51" t="b">
        <v>1</v>
      </c>
      <c r="F858" t="b">
        <v>0</v>
      </c>
      <c r="H858" s="646"/>
      <c r="M858" s="646"/>
      <c r="R858" s="646"/>
    </row>
    <row r="859">
      <c r="A859" s="51" t="s">
        <v>2413</v>
      </c>
      <c r="B859" s="51" t="s">
        <v>2414</v>
      </c>
      <c r="C859" s="51" t="s">
        <v>2415</v>
      </c>
      <c r="D859" s="51" t="s">
        <v>370</v>
      </c>
      <c r="E859" s="51" t="b">
        <v>0</v>
      </c>
      <c r="F859" t="b">
        <v>0</v>
      </c>
      <c r="H859" s="646"/>
      <c r="M859" s="646"/>
      <c r="R859" s="646"/>
    </row>
    <row r="860">
      <c r="A860" s="51" t="s">
        <v>2413</v>
      </c>
      <c r="B860" s="51" t="s">
        <v>2414</v>
      </c>
      <c r="C860" s="51" t="s">
        <v>2416</v>
      </c>
      <c r="D860" s="51" t="s">
        <v>370</v>
      </c>
      <c r="E860" s="51" t="b">
        <v>0</v>
      </c>
      <c r="F860" t="b">
        <v>0</v>
      </c>
      <c r="H860" s="646"/>
      <c r="M860" s="646"/>
      <c r="R860" s="646"/>
    </row>
    <row r="861">
      <c r="A861" s="51" t="s">
        <v>2413</v>
      </c>
      <c r="B861" s="51" t="s">
        <v>2414</v>
      </c>
      <c r="C861" s="51" t="s">
        <v>2417</v>
      </c>
      <c r="D861" s="51" t="s">
        <v>370</v>
      </c>
      <c r="E861" s="51" t="b">
        <v>0</v>
      </c>
      <c r="F861" t="b">
        <v>0</v>
      </c>
      <c r="H861" s="646"/>
      <c r="M861" s="646"/>
      <c r="R861" s="646"/>
    </row>
    <row r="862">
      <c r="A862" s="51" t="s">
        <v>2413</v>
      </c>
      <c r="B862" s="51" t="s">
        <v>2414</v>
      </c>
      <c r="C862" s="51" t="s">
        <v>2418</v>
      </c>
      <c r="D862" s="51" t="s">
        <v>366</v>
      </c>
      <c r="E862" s="51" t="b">
        <v>0</v>
      </c>
      <c r="F862" t="b">
        <v>0</v>
      </c>
      <c r="H862" s="646"/>
      <c r="M862" s="646"/>
      <c r="R862" s="646"/>
    </row>
    <row r="863">
      <c r="A863" s="51" t="s">
        <v>2419</v>
      </c>
      <c r="C863" s="51" t="s">
        <v>2420</v>
      </c>
      <c r="D863" s="51" t="s">
        <v>366</v>
      </c>
      <c r="E863" s="51" t="b">
        <v>0</v>
      </c>
      <c r="F863" t="b">
        <v>0</v>
      </c>
      <c r="H863" s="646"/>
      <c r="M863" s="646"/>
      <c r="R863" s="646"/>
    </row>
    <row r="864">
      <c r="A864" s="51" t="s">
        <v>2421</v>
      </c>
      <c r="B864" s="51" t="s">
        <v>2422</v>
      </c>
      <c r="C864" s="51" t="s">
        <v>2423</v>
      </c>
      <c r="D864" s="51" t="s">
        <v>366</v>
      </c>
      <c r="E864" t="b">
        <v>0</v>
      </c>
      <c r="F864" t="b">
        <v>0</v>
      </c>
      <c r="H864" s="646"/>
      <c r="M864" s="646"/>
      <c r="R864" s="646"/>
    </row>
    <row r="865">
      <c r="A865" s="51" t="s">
        <v>2421</v>
      </c>
      <c r="B865" s="51" t="s">
        <v>2422</v>
      </c>
      <c r="C865" s="51" t="s">
        <v>2424</v>
      </c>
      <c r="D865" s="51" t="s">
        <v>366</v>
      </c>
      <c r="E865" t="b">
        <v>0</v>
      </c>
      <c r="F865" t="b">
        <v>0</v>
      </c>
      <c r="H865" s="646"/>
      <c r="M865" s="646"/>
      <c r="R865" s="646"/>
    </row>
    <row r="866">
      <c r="A866" s="51" t="s">
        <v>2425</v>
      </c>
      <c r="B866" s="51" t="s">
        <v>2426</v>
      </c>
      <c r="C866" s="51" t="s">
        <v>2427</v>
      </c>
      <c r="D866" s="51" t="s">
        <v>2428</v>
      </c>
      <c r="E866" t="b">
        <v>0</v>
      </c>
      <c r="F866" t="b">
        <v>0</v>
      </c>
      <c r="G866" s="51" t="s">
        <v>2429</v>
      </c>
      <c r="H866" s="646"/>
      <c r="M866" s="646"/>
      <c r="R866" s="646"/>
    </row>
    <row r="867">
      <c r="A867" s="51" t="s">
        <v>2430</v>
      </c>
      <c r="B867" s="51" t="s">
        <v>2431</v>
      </c>
      <c r="C867" s="51" t="s">
        <v>2432</v>
      </c>
      <c r="D867" s="51" t="s">
        <v>370</v>
      </c>
      <c r="E867" s="51" t="b">
        <v>0</v>
      </c>
      <c r="F867" t="b">
        <v>0</v>
      </c>
      <c r="H867" s="646"/>
      <c r="M867" s="646"/>
      <c r="R867" s="646"/>
    </row>
    <row r="868">
      <c r="A868" s="51" t="s">
        <v>818</v>
      </c>
      <c r="B868" s="51" t="s">
        <v>684</v>
      </c>
      <c r="C868" s="51" t="s">
        <v>819</v>
      </c>
      <c r="D868" s="51" t="s">
        <v>366</v>
      </c>
      <c r="E868" s="51" t="b">
        <v>0</v>
      </c>
      <c r="F868" t="b">
        <v>0</v>
      </c>
      <c r="H868" s="646"/>
      <c r="M868" s="646"/>
      <c r="R868" s="646"/>
    </row>
    <row r="869">
      <c r="A869" s="51" t="s">
        <v>818</v>
      </c>
      <c r="B869" s="51" t="s">
        <v>684</v>
      </c>
      <c r="C869" s="51" t="s">
        <v>2433</v>
      </c>
      <c r="D869" s="51" t="s">
        <v>366</v>
      </c>
      <c r="E869" s="51" t="b">
        <v>0</v>
      </c>
      <c r="F869" t="b">
        <v>0</v>
      </c>
      <c r="H869" s="646"/>
      <c r="M869" s="646"/>
      <c r="R869" s="646"/>
    </row>
    <row r="870">
      <c r="A870" s="51" t="s">
        <v>818</v>
      </c>
      <c r="B870" s="51" t="s">
        <v>684</v>
      </c>
      <c r="C870" s="51" t="s">
        <v>2434</v>
      </c>
      <c r="D870" s="51" t="s">
        <v>370</v>
      </c>
      <c r="E870" s="51" t="b">
        <v>0</v>
      </c>
      <c r="F870" t="b">
        <v>0</v>
      </c>
      <c r="H870" s="646"/>
      <c r="M870" s="646"/>
      <c r="R870" s="646"/>
    </row>
    <row r="871">
      <c r="A871" s="51" t="s">
        <v>2435</v>
      </c>
      <c r="B871" s="51" t="s">
        <v>2436</v>
      </c>
      <c r="C871" s="51" t="s">
        <v>2437</v>
      </c>
      <c r="D871" s="51" t="s">
        <v>366</v>
      </c>
      <c r="E871" s="51" t="b">
        <v>0</v>
      </c>
      <c r="F871" t="b">
        <v>0</v>
      </c>
      <c r="H871" s="646"/>
      <c r="M871" s="646"/>
      <c r="R871" s="646"/>
    </row>
    <row r="872">
      <c r="A872" s="51" t="s">
        <v>2438</v>
      </c>
      <c r="B872" s="51" t="s">
        <v>1174</v>
      </c>
      <c r="C872" s="51" t="s">
        <v>2439</v>
      </c>
      <c r="D872" s="51" t="s">
        <v>366</v>
      </c>
      <c r="E872" t="b">
        <v>0</v>
      </c>
      <c r="F872" t="b">
        <v>0</v>
      </c>
      <c r="G872" s="51" t="s">
        <v>2162</v>
      </c>
      <c r="H872" s="646"/>
      <c r="M872" s="646"/>
      <c r="R872" s="646"/>
    </row>
    <row r="873">
      <c r="A873" s="51" t="s">
        <v>2440</v>
      </c>
      <c r="B873" s="51" t="s">
        <v>2441</v>
      </c>
      <c r="C873" s="51" t="s">
        <v>2442</v>
      </c>
      <c r="D873" s="51" t="s">
        <v>366</v>
      </c>
      <c r="E873" s="51" t="b">
        <v>0</v>
      </c>
      <c r="F873" t="b">
        <v>0</v>
      </c>
      <c r="H873" s="646"/>
      <c r="M873" s="646"/>
      <c r="R873" s="646"/>
    </row>
    <row r="874">
      <c r="A874" s="51" t="s">
        <v>2443</v>
      </c>
      <c r="B874" s="51" t="s">
        <v>991</v>
      </c>
      <c r="C874" s="51" t="s">
        <v>2444</v>
      </c>
      <c r="D874" s="51" t="s">
        <v>366</v>
      </c>
      <c r="E874" s="51" t="b">
        <v>0</v>
      </c>
      <c r="F874" t="b">
        <v>0</v>
      </c>
      <c r="H874" s="646"/>
      <c r="M874" s="646"/>
      <c r="R874" s="646"/>
    </row>
    <row r="875">
      <c r="A875" s="51" t="s">
        <v>2445</v>
      </c>
      <c r="B875" s="51" t="s">
        <v>2145</v>
      </c>
      <c r="C875" s="51" t="s">
        <v>2446</v>
      </c>
      <c r="D875" s="51" t="s">
        <v>366</v>
      </c>
      <c r="E875" s="51" t="b">
        <v>0</v>
      </c>
      <c r="F875" t="b">
        <v>0</v>
      </c>
      <c r="H875" s="646"/>
      <c r="M875" s="646"/>
      <c r="R875" s="646"/>
    </row>
    <row r="876">
      <c r="A876" s="51" t="s">
        <v>2447</v>
      </c>
      <c r="B876" s="51" t="s">
        <v>2448</v>
      </c>
      <c r="C876" s="51" t="s">
        <v>2449</v>
      </c>
      <c r="D876" s="51" t="s">
        <v>366</v>
      </c>
      <c r="E876" s="51" t="b">
        <v>0</v>
      </c>
      <c r="F876" t="b">
        <v>0</v>
      </c>
      <c r="H876" s="646"/>
      <c r="M876" s="646"/>
      <c r="R876" s="646"/>
    </row>
    <row r="877">
      <c r="A877" s="51" t="s">
        <v>2447</v>
      </c>
      <c r="B877" s="51" t="s">
        <v>2448</v>
      </c>
      <c r="C877" s="51" t="s">
        <v>2450</v>
      </c>
      <c r="D877" s="51" t="s">
        <v>366</v>
      </c>
      <c r="E877" s="51" t="b">
        <v>0</v>
      </c>
      <c r="F877" t="b">
        <v>0</v>
      </c>
      <c r="H877" s="646"/>
      <c r="M877" s="646"/>
      <c r="R877" s="646"/>
    </row>
    <row r="878">
      <c r="A878" s="51" t="s">
        <v>2447</v>
      </c>
      <c r="B878" s="51" t="s">
        <v>2451</v>
      </c>
      <c r="C878" s="51" t="s">
        <v>2452</v>
      </c>
      <c r="D878" s="51" t="s">
        <v>366</v>
      </c>
      <c r="E878" s="51" t="b">
        <v>0</v>
      </c>
      <c r="F878" t="b">
        <v>0</v>
      </c>
      <c r="H878" s="646"/>
      <c r="M878" s="646"/>
      <c r="R878" s="646"/>
    </row>
    <row r="879">
      <c r="A879" s="51" t="s">
        <v>2447</v>
      </c>
      <c r="B879" s="51" t="s">
        <v>2448</v>
      </c>
      <c r="C879" s="51" t="s">
        <v>2453</v>
      </c>
      <c r="D879" s="51" t="s">
        <v>366</v>
      </c>
      <c r="E879" s="51" t="b">
        <v>0</v>
      </c>
      <c r="F879" t="b">
        <v>0</v>
      </c>
      <c r="H879" s="646"/>
      <c r="M879" s="646"/>
      <c r="R879" s="646"/>
    </row>
    <row r="880">
      <c r="A880" s="51" t="s">
        <v>2454</v>
      </c>
      <c r="B880" s="51" t="s">
        <v>2455</v>
      </c>
      <c r="C880" s="51" t="s">
        <v>2456</v>
      </c>
      <c r="D880" s="51" t="s">
        <v>366</v>
      </c>
      <c r="E880" s="51" t="b">
        <v>0</v>
      </c>
      <c r="F880" t="b">
        <v>0</v>
      </c>
      <c r="H880" s="646"/>
      <c r="M880" s="646"/>
      <c r="R880" s="646"/>
    </row>
    <row r="881">
      <c r="A881" s="51" t="s">
        <v>2457</v>
      </c>
      <c r="B881" s="51" t="s">
        <v>718</v>
      </c>
      <c r="C881" s="51" t="s">
        <v>2458</v>
      </c>
      <c r="D881" s="51" t="s">
        <v>370</v>
      </c>
      <c r="E881" s="51" t="b">
        <v>0</v>
      </c>
      <c r="F881" t="b">
        <v>0</v>
      </c>
      <c r="H881" s="646"/>
      <c r="M881" s="646"/>
      <c r="R881" s="646"/>
    </row>
    <row r="882">
      <c r="A882" s="51" t="s">
        <v>2459</v>
      </c>
      <c r="C882" s="51" t="s">
        <v>2460</v>
      </c>
      <c r="D882" s="51" t="s">
        <v>370</v>
      </c>
      <c r="E882" s="51" t="b">
        <v>0</v>
      </c>
      <c r="F882" t="b">
        <v>0</v>
      </c>
      <c r="G882" s="51" t="s">
        <v>506</v>
      </c>
      <c r="H882" s="646"/>
      <c r="M882" s="646"/>
      <c r="R882" s="646"/>
    </row>
    <row r="883">
      <c r="A883" s="51" t="s">
        <v>2461</v>
      </c>
      <c r="B883" s="51" t="s">
        <v>2462</v>
      </c>
      <c r="C883" s="51" t="s">
        <v>2463</v>
      </c>
      <c r="D883" s="51" t="s">
        <v>366</v>
      </c>
      <c r="E883" t="b">
        <v>0</v>
      </c>
      <c r="F883" t="b">
        <v>0</v>
      </c>
      <c r="H883" s="646"/>
      <c r="M883" s="646"/>
      <c r="R883" s="646"/>
    </row>
    <row r="884">
      <c r="A884" s="51" t="s">
        <v>2464</v>
      </c>
      <c r="B884" s="51" t="s">
        <v>943</v>
      </c>
      <c r="C884" s="51" t="s">
        <v>2465</v>
      </c>
      <c r="D884" s="51" t="s">
        <v>366</v>
      </c>
      <c r="E884" s="51" t="b">
        <v>0</v>
      </c>
      <c r="F884" t="b">
        <v>0</v>
      </c>
      <c r="H884" s="646"/>
      <c r="M884" s="646"/>
      <c r="R884" s="646"/>
    </row>
    <row r="885">
      <c r="A885" s="51" t="s">
        <v>1206</v>
      </c>
      <c r="B885" s="51" t="s">
        <v>2466</v>
      </c>
      <c r="C885" s="51" t="s">
        <v>2467</v>
      </c>
      <c r="D885" s="51" t="s">
        <v>366</v>
      </c>
      <c r="E885" s="51" t="b">
        <v>0</v>
      </c>
      <c r="F885" t="b">
        <v>0</v>
      </c>
      <c r="H885" s="646"/>
      <c r="M885" s="646"/>
      <c r="R885" s="646"/>
    </row>
    <row r="886">
      <c r="A886" s="51" t="s">
        <v>2468</v>
      </c>
      <c r="B886" s="51" t="s">
        <v>2469</v>
      </c>
      <c r="C886" s="51" t="s">
        <v>2470</v>
      </c>
      <c r="D886" s="51" t="s">
        <v>366</v>
      </c>
      <c r="E886" s="51" t="b">
        <v>0</v>
      </c>
      <c r="F886" t="b">
        <v>0</v>
      </c>
      <c r="G886" s="51" t="s">
        <v>2171</v>
      </c>
      <c r="H886" s="646"/>
      <c r="M886" s="646"/>
      <c r="R886" s="646"/>
    </row>
    <row r="887">
      <c r="A887" s="51" t="s">
        <v>2471</v>
      </c>
      <c r="B887" s="51" t="s">
        <v>785</v>
      </c>
      <c r="C887" s="51" t="s">
        <v>2472</v>
      </c>
      <c r="D887" s="51" t="s">
        <v>366</v>
      </c>
      <c r="E887" s="51" t="b">
        <v>0</v>
      </c>
      <c r="F887" t="b">
        <v>0</v>
      </c>
      <c r="G887" s="51" t="s">
        <v>2473</v>
      </c>
      <c r="H887" s="646"/>
      <c r="M887" s="646"/>
      <c r="R887" s="646"/>
    </row>
    <row r="888">
      <c r="A888" s="51" t="s">
        <v>2474</v>
      </c>
      <c r="B888" s="51" t="s">
        <v>1580</v>
      </c>
      <c r="C888" s="51" t="s">
        <v>2475</v>
      </c>
      <c r="D888" s="51" t="s">
        <v>366</v>
      </c>
      <c r="E888" s="51" t="b">
        <v>0</v>
      </c>
      <c r="F888" t="b">
        <v>0</v>
      </c>
      <c r="H888" s="646"/>
      <c r="M888" s="646"/>
      <c r="R888" s="646"/>
    </row>
    <row r="889">
      <c r="A889" s="51" t="s">
        <v>2476</v>
      </c>
      <c r="B889" s="51" t="s">
        <v>2477</v>
      </c>
      <c r="C889" s="51" t="s">
        <v>2478</v>
      </c>
      <c r="D889" s="51" t="s">
        <v>366</v>
      </c>
      <c r="E889" s="51" t="b">
        <v>0</v>
      </c>
      <c r="F889" t="b">
        <v>0</v>
      </c>
      <c r="H889" s="646"/>
      <c r="M889" s="646"/>
      <c r="R889" s="646"/>
    </row>
    <row r="890">
      <c r="A890" s="51" t="s">
        <v>2479</v>
      </c>
      <c r="B890" s="51" t="s">
        <v>620</v>
      </c>
      <c r="C890" s="51" t="s">
        <v>2480</v>
      </c>
      <c r="D890" s="51" t="s">
        <v>366</v>
      </c>
      <c r="E890" s="51" t="b">
        <v>0</v>
      </c>
      <c r="F890" t="b">
        <v>0</v>
      </c>
      <c r="H890" s="646"/>
      <c r="M890" s="646"/>
      <c r="R890" s="646"/>
    </row>
    <row r="891">
      <c r="A891" s="51" t="s">
        <v>2481</v>
      </c>
      <c r="B891" s="51" t="s">
        <v>2482</v>
      </c>
      <c r="C891" s="51" t="s">
        <v>2483</v>
      </c>
      <c r="D891" s="51" t="s">
        <v>366</v>
      </c>
      <c r="E891" s="51" t="b">
        <v>0</v>
      </c>
      <c r="F891" t="b">
        <v>0</v>
      </c>
      <c r="H891" s="646"/>
      <c r="M891" s="646"/>
      <c r="R891" s="646"/>
    </row>
    <row r="892">
      <c r="A892" s="51" t="s">
        <v>2484</v>
      </c>
      <c r="C892" s="51" t="s">
        <v>2485</v>
      </c>
      <c r="D892" s="51" t="s">
        <v>366</v>
      </c>
      <c r="E892" t="b">
        <v>0</v>
      </c>
      <c r="F892" t="b">
        <v>0</v>
      </c>
      <c r="H892" s="646"/>
      <c r="M892" s="646"/>
      <c r="R892" s="646"/>
    </row>
    <row r="893">
      <c r="A893" s="51" t="s">
        <v>2486</v>
      </c>
      <c r="B893" s="51" t="s">
        <v>834</v>
      </c>
      <c r="C893" s="51" t="s">
        <v>2487</v>
      </c>
      <c r="D893" s="51" t="s">
        <v>366</v>
      </c>
      <c r="E893" s="51" t="b">
        <v>0</v>
      </c>
      <c r="F893" t="b">
        <v>0</v>
      </c>
      <c r="H893" s="646"/>
      <c r="M893" s="646"/>
      <c r="R893" s="646"/>
    </row>
    <row r="894">
      <c r="A894" s="51" t="s">
        <v>2488</v>
      </c>
      <c r="B894" s="51" t="s">
        <v>679</v>
      </c>
      <c r="C894" s="51" t="s">
        <v>2489</v>
      </c>
      <c r="D894" s="51" t="s">
        <v>366</v>
      </c>
      <c r="E894" t="b">
        <v>0</v>
      </c>
      <c r="F894" t="b">
        <v>0</v>
      </c>
      <c r="H894" s="646"/>
      <c r="M894" s="646"/>
      <c r="R894" s="646"/>
    </row>
    <row r="895">
      <c r="A895" s="51" t="s">
        <v>2490</v>
      </c>
      <c r="B895" s="51" t="s">
        <v>2491</v>
      </c>
      <c r="C895" s="51" t="s">
        <v>2492</v>
      </c>
      <c r="D895" s="51" t="s">
        <v>366</v>
      </c>
      <c r="E895" s="51" t="b">
        <v>0</v>
      </c>
      <c r="F895" t="b">
        <v>0</v>
      </c>
      <c r="H895" s="646"/>
      <c r="M895" s="646"/>
      <c r="R895" s="646"/>
    </row>
    <row r="896">
      <c r="A896" s="51" t="s">
        <v>2493</v>
      </c>
      <c r="B896" s="51" t="s">
        <v>1306</v>
      </c>
      <c r="C896" s="51" t="s">
        <v>2494</v>
      </c>
      <c r="D896" s="51" t="s">
        <v>366</v>
      </c>
      <c r="E896" s="51" t="b">
        <v>0</v>
      </c>
      <c r="F896" t="b">
        <v>0</v>
      </c>
      <c r="H896" s="646"/>
      <c r="M896" s="646"/>
      <c r="R896" s="646"/>
    </row>
    <row r="897">
      <c r="A897" s="51" t="s">
        <v>2495</v>
      </c>
      <c r="B897" s="51" t="s">
        <v>2496</v>
      </c>
      <c r="C897" s="51" t="s">
        <v>2497</v>
      </c>
      <c r="D897" s="51" t="s">
        <v>366</v>
      </c>
      <c r="E897" s="51" t="b">
        <v>1</v>
      </c>
      <c r="F897" t="b">
        <v>0</v>
      </c>
      <c r="H897" s="646"/>
      <c r="M897" s="646"/>
      <c r="R897" s="646"/>
    </row>
    <row r="898">
      <c r="A898" s="51" t="s">
        <v>2498</v>
      </c>
      <c r="B898" s="51" t="s">
        <v>1127</v>
      </c>
      <c r="C898" s="51" t="s">
        <v>2499</v>
      </c>
      <c r="D898" s="51" t="s">
        <v>366</v>
      </c>
      <c r="E898" s="51" t="b">
        <v>0</v>
      </c>
      <c r="F898" t="b">
        <v>0</v>
      </c>
      <c r="H898" s="646"/>
      <c r="M898" s="646"/>
      <c r="R898" s="646"/>
    </row>
    <row r="899">
      <c r="A899" s="51" t="s">
        <v>2500</v>
      </c>
      <c r="B899" s="51" t="s">
        <v>2501</v>
      </c>
      <c r="C899" s="51" t="s">
        <v>2502</v>
      </c>
      <c r="D899" s="51" t="s">
        <v>366</v>
      </c>
      <c r="E899" s="51" t="b">
        <v>0</v>
      </c>
      <c r="F899" t="b">
        <v>0</v>
      </c>
      <c r="H899" s="646"/>
      <c r="M899" s="646"/>
      <c r="R899" s="646"/>
    </row>
    <row r="900">
      <c r="A900" s="51" t="s">
        <v>2500</v>
      </c>
      <c r="B900" s="51" t="s">
        <v>2501</v>
      </c>
      <c r="C900" s="51" t="s">
        <v>2503</v>
      </c>
      <c r="D900" s="51" t="s">
        <v>366</v>
      </c>
      <c r="E900" s="51" t="b">
        <v>0</v>
      </c>
      <c r="F900" t="b">
        <v>0</v>
      </c>
      <c r="H900" s="646"/>
      <c r="M900" s="646"/>
      <c r="R900" s="646"/>
    </row>
    <row r="901">
      <c r="A901" s="51" t="s">
        <v>2504</v>
      </c>
      <c r="B901" s="51" t="s">
        <v>2235</v>
      </c>
      <c r="C901" s="51" t="s">
        <v>2505</v>
      </c>
      <c r="D901" s="51" t="s">
        <v>366</v>
      </c>
      <c r="E901" s="51" t="b">
        <v>0</v>
      </c>
      <c r="F901" t="b">
        <v>0</v>
      </c>
      <c r="H901" s="646"/>
      <c r="M901" s="646"/>
      <c r="R901" s="646"/>
    </row>
    <row r="902">
      <c r="A902" s="51" t="s">
        <v>2506</v>
      </c>
      <c r="B902" s="51" t="s">
        <v>2507</v>
      </c>
      <c r="C902" s="51" t="s">
        <v>2508</v>
      </c>
      <c r="D902" s="51" t="s">
        <v>366</v>
      </c>
      <c r="E902" s="51" t="b">
        <v>0</v>
      </c>
      <c r="F902" t="b">
        <v>0</v>
      </c>
      <c r="H902" s="646"/>
      <c r="M902" s="646"/>
      <c r="R902" s="646"/>
    </row>
    <row r="903">
      <c r="A903" s="51" t="s">
        <v>2509</v>
      </c>
      <c r="B903" s="51" t="s">
        <v>2451</v>
      </c>
      <c r="C903" s="51" t="s">
        <v>2510</v>
      </c>
      <c r="D903" s="51" t="s">
        <v>370</v>
      </c>
      <c r="E903" s="51" t="b">
        <v>0</v>
      </c>
      <c r="F903" t="b">
        <v>0</v>
      </c>
      <c r="H903" s="646"/>
      <c r="M903" s="646"/>
      <c r="R903" s="646"/>
    </row>
    <row r="904">
      <c r="A904" s="51" t="s">
        <v>2511</v>
      </c>
      <c r="B904" s="51" t="s">
        <v>925</v>
      </c>
      <c r="C904" s="51" t="s">
        <v>2512</v>
      </c>
      <c r="D904" s="51" t="s">
        <v>366</v>
      </c>
      <c r="E904" s="51" t="b">
        <v>0</v>
      </c>
      <c r="F904" t="b">
        <v>0</v>
      </c>
      <c r="H904" s="646"/>
      <c r="M904" s="646"/>
      <c r="R904" s="646"/>
    </row>
    <row r="905">
      <c r="A905" s="51" t="s">
        <v>2511</v>
      </c>
      <c r="B905" s="51" t="s">
        <v>629</v>
      </c>
      <c r="C905" s="51" t="s">
        <v>2513</v>
      </c>
      <c r="D905" s="51" t="s">
        <v>366</v>
      </c>
      <c r="E905" t="b">
        <v>0</v>
      </c>
      <c r="F905" t="b">
        <v>0</v>
      </c>
      <c r="H905" s="646"/>
      <c r="M905" s="646"/>
      <c r="R905" s="646"/>
    </row>
    <row r="906">
      <c r="A906" s="51" t="s">
        <v>2514</v>
      </c>
      <c r="B906" s="51" t="s">
        <v>2515</v>
      </c>
      <c r="C906" s="51" t="s">
        <v>2516</v>
      </c>
      <c r="D906" s="51" t="s">
        <v>366</v>
      </c>
      <c r="E906" s="51" t="b">
        <v>0</v>
      </c>
      <c r="F906" t="b">
        <v>0</v>
      </c>
      <c r="H906" s="646"/>
      <c r="M906" s="646"/>
      <c r="R906" s="646"/>
    </row>
    <row r="907">
      <c r="A907" s="51" t="s">
        <v>2517</v>
      </c>
      <c r="B907" s="51" t="s">
        <v>658</v>
      </c>
      <c r="C907" s="51" t="s">
        <v>2518</v>
      </c>
      <c r="D907" s="51" t="s">
        <v>366</v>
      </c>
      <c r="E907" s="51" t="b">
        <v>0</v>
      </c>
      <c r="F907" t="b">
        <v>0</v>
      </c>
      <c r="G907" s="51" t="s">
        <v>2519</v>
      </c>
      <c r="H907" s="646"/>
      <c r="M907" s="646"/>
      <c r="R907" s="646"/>
    </row>
    <row r="908">
      <c r="A908" s="51" t="s">
        <v>2520</v>
      </c>
      <c r="B908" s="51" t="s">
        <v>1712</v>
      </c>
      <c r="C908" s="51" t="s">
        <v>2521</v>
      </c>
      <c r="D908" s="51" t="s">
        <v>366</v>
      </c>
      <c r="E908" s="51" t="b">
        <v>0</v>
      </c>
      <c r="F908" t="b">
        <v>0</v>
      </c>
      <c r="G908" s="51" t="s">
        <v>2522</v>
      </c>
      <c r="H908" s="646"/>
      <c r="M908" s="646"/>
      <c r="R908" s="646"/>
    </row>
    <row r="909">
      <c r="A909" s="51" t="s">
        <v>2523</v>
      </c>
      <c r="B909" s="51" t="s">
        <v>2501</v>
      </c>
      <c r="C909" s="51" t="s">
        <v>2524</v>
      </c>
      <c r="D909" s="51" t="s">
        <v>366</v>
      </c>
      <c r="E909" s="51" t="b">
        <v>0</v>
      </c>
      <c r="F909" t="b">
        <v>0</v>
      </c>
      <c r="G909" s="51" t="s">
        <v>1049</v>
      </c>
      <c r="H909" s="646"/>
      <c r="M909" s="646"/>
      <c r="R909" s="646"/>
    </row>
    <row r="910">
      <c r="A910" s="51" t="s">
        <v>2525</v>
      </c>
      <c r="B910" s="51" t="s">
        <v>2526</v>
      </c>
      <c r="C910" s="51" t="s">
        <v>2527</v>
      </c>
      <c r="D910" s="51" t="s">
        <v>370</v>
      </c>
      <c r="E910" s="51" t="b">
        <v>0</v>
      </c>
      <c r="F910" t="b">
        <v>0</v>
      </c>
      <c r="H910" s="646"/>
      <c r="M910" s="646"/>
      <c r="R910" s="646"/>
    </row>
    <row r="911">
      <c r="A911" s="51" t="s">
        <v>2528</v>
      </c>
      <c r="B911" s="51" t="s">
        <v>471</v>
      </c>
      <c r="C911" s="51" t="s">
        <v>2529</v>
      </c>
      <c r="D911" s="51" t="s">
        <v>366</v>
      </c>
      <c r="E911" s="51" t="b">
        <v>0</v>
      </c>
      <c r="F911" t="b">
        <v>0</v>
      </c>
      <c r="H911" s="646"/>
      <c r="M911" s="646"/>
      <c r="R911" s="646"/>
    </row>
    <row r="912">
      <c r="A912" s="51" t="s">
        <v>2528</v>
      </c>
      <c r="B912" s="51" t="s">
        <v>471</v>
      </c>
      <c r="C912" s="51" t="s">
        <v>2530</v>
      </c>
      <c r="D912" s="51" t="s">
        <v>366</v>
      </c>
      <c r="E912" s="51" t="b">
        <v>0</v>
      </c>
      <c r="F912" t="b">
        <v>0</v>
      </c>
      <c r="H912" s="646"/>
      <c r="M912" s="646"/>
      <c r="R912" s="646"/>
    </row>
    <row r="913">
      <c r="A913" s="51" t="s">
        <v>2528</v>
      </c>
      <c r="B913" s="51" t="s">
        <v>471</v>
      </c>
      <c r="C913" s="51" t="s">
        <v>2531</v>
      </c>
      <c r="D913" s="51" t="s">
        <v>366</v>
      </c>
      <c r="E913" s="51" t="b">
        <v>0</v>
      </c>
      <c r="F913" t="b">
        <v>0</v>
      </c>
      <c r="H913" s="646"/>
      <c r="M913" s="646"/>
      <c r="R913" s="646"/>
    </row>
    <row r="914">
      <c r="A914" s="51" t="s">
        <v>2532</v>
      </c>
      <c r="B914" s="51" t="s">
        <v>1410</v>
      </c>
      <c r="C914" s="51" t="s">
        <v>2533</v>
      </c>
      <c r="D914" s="51" t="s">
        <v>366</v>
      </c>
      <c r="E914" s="51" t="b">
        <v>0</v>
      </c>
      <c r="F914" t="b">
        <v>0</v>
      </c>
      <c r="H914" s="646"/>
      <c r="M914" s="646"/>
      <c r="R914" s="646"/>
    </row>
    <row r="915">
      <c r="A915" s="51" t="s">
        <v>2532</v>
      </c>
      <c r="B915" s="51" t="s">
        <v>1410</v>
      </c>
      <c r="C915" s="51" t="s">
        <v>2534</v>
      </c>
      <c r="D915" s="51" t="s">
        <v>366</v>
      </c>
      <c r="E915" s="51" t="b">
        <v>0</v>
      </c>
      <c r="F915" t="b">
        <v>0</v>
      </c>
      <c r="H915" s="646"/>
      <c r="M915" s="646"/>
      <c r="R915" s="646"/>
    </row>
    <row r="916">
      <c r="A916" s="51" t="s">
        <v>2535</v>
      </c>
      <c r="B916" s="51" t="s">
        <v>1181</v>
      </c>
      <c r="C916" s="51" t="s">
        <v>2536</v>
      </c>
      <c r="D916" s="51" t="s">
        <v>366</v>
      </c>
      <c r="E916" s="51" t="b">
        <v>0</v>
      </c>
      <c r="F916" t="b">
        <v>0</v>
      </c>
      <c r="H916" s="646"/>
      <c r="M916" s="646"/>
      <c r="R916" s="646"/>
    </row>
    <row r="917">
      <c r="A917" s="51" t="s">
        <v>2537</v>
      </c>
      <c r="B917" s="51" t="s">
        <v>1181</v>
      </c>
      <c r="C917" s="51" t="s">
        <v>2538</v>
      </c>
      <c r="D917" s="51" t="s">
        <v>366</v>
      </c>
      <c r="E917" s="51" t="b">
        <v>0</v>
      </c>
      <c r="F917" t="b">
        <v>0</v>
      </c>
      <c r="H917" s="646"/>
      <c r="M917" s="646"/>
      <c r="R917" s="646"/>
    </row>
    <row r="918">
      <c r="A918" s="51" t="s">
        <v>2537</v>
      </c>
      <c r="B918" s="51" t="s">
        <v>1181</v>
      </c>
      <c r="C918" s="51" t="s">
        <v>2539</v>
      </c>
      <c r="D918" s="51" t="s">
        <v>366</v>
      </c>
      <c r="E918" s="51" t="b">
        <v>0</v>
      </c>
      <c r="F918" t="b">
        <v>0</v>
      </c>
      <c r="H918" s="646"/>
      <c r="M918" s="646"/>
      <c r="R918" s="646"/>
    </row>
    <row r="919">
      <c r="A919" s="51" t="s">
        <v>2537</v>
      </c>
      <c r="B919" s="51" t="s">
        <v>2540</v>
      </c>
      <c r="C919" s="51" t="s">
        <v>2541</v>
      </c>
      <c r="D919" s="51" t="s">
        <v>366</v>
      </c>
      <c r="E919" s="51" t="b">
        <v>0</v>
      </c>
      <c r="F919" t="b">
        <v>0</v>
      </c>
      <c r="H919" s="646"/>
      <c r="M919" s="646"/>
      <c r="R919" s="646"/>
    </row>
    <row r="920">
      <c r="A920" s="51" t="s">
        <v>2537</v>
      </c>
      <c r="B920" s="51" t="s">
        <v>1181</v>
      </c>
      <c r="C920" s="51" t="s">
        <v>2542</v>
      </c>
      <c r="D920" s="51" t="s">
        <v>366</v>
      </c>
      <c r="E920" s="51" t="b">
        <v>0</v>
      </c>
      <c r="F920" t="b">
        <v>0</v>
      </c>
      <c r="H920" s="646"/>
      <c r="M920" s="646"/>
      <c r="R920" s="646"/>
    </row>
    <row r="921">
      <c r="A921" s="51" t="s">
        <v>2269</v>
      </c>
      <c r="B921" s="51" t="s">
        <v>1634</v>
      </c>
      <c r="C921" s="51" t="s">
        <v>2543</v>
      </c>
      <c r="D921" s="51" t="s">
        <v>366</v>
      </c>
      <c r="E921" s="51" t="b">
        <v>0</v>
      </c>
      <c r="F921" t="b">
        <v>0</v>
      </c>
      <c r="H921" s="646"/>
      <c r="M921" s="646"/>
      <c r="R921" s="646"/>
    </row>
    <row r="922">
      <c r="A922" s="51" t="s">
        <v>2544</v>
      </c>
      <c r="B922" s="51" t="s">
        <v>2545</v>
      </c>
      <c r="C922" s="51" t="s">
        <v>2546</v>
      </c>
      <c r="D922" s="51" t="s">
        <v>366</v>
      </c>
      <c r="E922" s="51" t="b">
        <v>0</v>
      </c>
      <c r="F922" t="b">
        <v>0</v>
      </c>
      <c r="H922" s="646"/>
      <c r="M922" s="646"/>
      <c r="R922" s="646"/>
    </row>
    <row r="923">
      <c r="A923" s="51" t="s">
        <v>2544</v>
      </c>
      <c r="B923" s="51" t="s">
        <v>2545</v>
      </c>
      <c r="C923" s="51" t="s">
        <v>2547</v>
      </c>
      <c r="D923" s="51" t="s">
        <v>366</v>
      </c>
      <c r="E923" s="51" t="b">
        <v>0</v>
      </c>
      <c r="F923" t="b">
        <v>0</v>
      </c>
      <c r="H923" s="646"/>
      <c r="M923" s="646"/>
      <c r="R923" s="646"/>
    </row>
    <row r="924">
      <c r="A924" s="51" t="s">
        <v>2544</v>
      </c>
      <c r="B924" s="51" t="s">
        <v>2545</v>
      </c>
      <c r="C924" s="51" t="s">
        <v>2548</v>
      </c>
      <c r="D924" s="51" t="s">
        <v>366</v>
      </c>
      <c r="E924" s="51" t="b">
        <v>0</v>
      </c>
      <c r="F924" t="b">
        <v>0</v>
      </c>
      <c r="H924" s="646"/>
      <c r="M924" s="646"/>
      <c r="R924" s="646"/>
    </row>
    <row r="925">
      <c r="A925" s="51" t="s">
        <v>2544</v>
      </c>
      <c r="B925" s="51" t="s">
        <v>2549</v>
      </c>
      <c r="C925" s="51" t="s">
        <v>2550</v>
      </c>
      <c r="D925" s="51" t="s">
        <v>366</v>
      </c>
      <c r="E925" s="51" t="b">
        <v>0</v>
      </c>
      <c r="F925" t="b">
        <v>0</v>
      </c>
      <c r="H925" s="646"/>
      <c r="M925" s="646"/>
      <c r="R925" s="646"/>
    </row>
    <row r="926">
      <c r="A926" s="51" t="s">
        <v>2551</v>
      </c>
      <c r="B926" s="51" t="s">
        <v>954</v>
      </c>
      <c r="C926" s="51" t="s">
        <v>2552</v>
      </c>
      <c r="D926" s="51" t="s">
        <v>370</v>
      </c>
      <c r="E926" s="51" t="b">
        <v>0</v>
      </c>
      <c r="F926" t="b">
        <v>0</v>
      </c>
      <c r="H926" s="646"/>
      <c r="M926" s="646"/>
      <c r="R926" s="646"/>
    </row>
    <row r="927">
      <c r="A927" s="51" t="s">
        <v>2551</v>
      </c>
      <c r="B927" s="51" t="s">
        <v>954</v>
      </c>
      <c r="C927" s="51" t="s">
        <v>2553</v>
      </c>
      <c r="D927" s="51" t="s">
        <v>370</v>
      </c>
      <c r="E927" s="51" t="b">
        <v>0</v>
      </c>
      <c r="F927" t="b">
        <v>0</v>
      </c>
      <c r="H927" s="646"/>
      <c r="M927" s="646"/>
      <c r="R927" s="646"/>
    </row>
    <row r="928">
      <c r="A928" s="51" t="s">
        <v>2551</v>
      </c>
      <c r="B928" s="51" t="s">
        <v>954</v>
      </c>
      <c r="C928" s="51" t="s">
        <v>2554</v>
      </c>
      <c r="D928" s="51" t="s">
        <v>370</v>
      </c>
      <c r="E928" s="51" t="b">
        <v>0</v>
      </c>
      <c r="F928" t="b">
        <v>0</v>
      </c>
      <c r="H928" s="646"/>
      <c r="M928" s="646"/>
      <c r="R928" s="646"/>
    </row>
    <row r="929">
      <c r="A929" s="51" t="s">
        <v>2551</v>
      </c>
      <c r="B929" s="51" t="s">
        <v>954</v>
      </c>
      <c r="C929" s="51" t="s">
        <v>2555</v>
      </c>
      <c r="D929" s="51" t="s">
        <v>366</v>
      </c>
      <c r="E929" s="51" t="b">
        <v>0</v>
      </c>
      <c r="F929" t="b">
        <v>0</v>
      </c>
      <c r="H929" s="646"/>
      <c r="M929" s="646"/>
      <c r="R929" s="646"/>
    </row>
    <row r="930">
      <c r="A930" s="51" t="s">
        <v>2551</v>
      </c>
      <c r="B930" s="51" t="s">
        <v>954</v>
      </c>
      <c r="C930" s="51" t="s">
        <v>2556</v>
      </c>
      <c r="D930" s="51" t="s">
        <v>370</v>
      </c>
      <c r="E930" s="51" t="b">
        <v>0</v>
      </c>
      <c r="F930" t="b">
        <v>0</v>
      </c>
      <c r="H930" s="646"/>
      <c r="M930" s="646"/>
      <c r="R930" s="646"/>
    </row>
    <row r="931">
      <c r="A931" s="51" t="s">
        <v>2557</v>
      </c>
      <c r="B931" s="51" t="s">
        <v>1523</v>
      </c>
      <c r="C931" s="51" t="s">
        <v>2558</v>
      </c>
      <c r="D931" s="51" t="s">
        <v>366</v>
      </c>
      <c r="E931" s="51" t="b">
        <v>0</v>
      </c>
      <c r="F931" t="b">
        <v>0</v>
      </c>
      <c r="H931" s="646"/>
      <c r="M931" s="646"/>
      <c r="R931" s="646"/>
    </row>
    <row r="932">
      <c r="A932" s="51" t="s">
        <v>2559</v>
      </c>
      <c r="B932" s="51" t="s">
        <v>961</v>
      </c>
      <c r="C932" s="51" t="s">
        <v>2560</v>
      </c>
      <c r="D932" s="51" t="s">
        <v>366</v>
      </c>
      <c r="E932" s="51" t="b">
        <v>0</v>
      </c>
      <c r="F932" t="b">
        <v>0</v>
      </c>
      <c r="H932" s="646"/>
      <c r="M932" s="646"/>
      <c r="R932" s="646"/>
    </row>
    <row r="933">
      <c r="A933" s="51" t="s">
        <v>2559</v>
      </c>
      <c r="B933" s="51" t="s">
        <v>2561</v>
      </c>
      <c r="C933" s="51" t="s">
        <v>2562</v>
      </c>
      <c r="D933" s="51" t="s">
        <v>366</v>
      </c>
      <c r="E933" s="51" t="b">
        <v>0</v>
      </c>
      <c r="F933" t="b">
        <v>0</v>
      </c>
      <c r="H933" s="646"/>
      <c r="M933" s="646"/>
      <c r="R933" s="646"/>
    </row>
    <row r="934">
      <c r="A934" s="51" t="s">
        <v>2559</v>
      </c>
      <c r="B934" s="51" t="s">
        <v>2563</v>
      </c>
      <c r="C934" s="51" t="s">
        <v>2564</v>
      </c>
      <c r="D934" s="51" t="s">
        <v>366</v>
      </c>
      <c r="E934" s="51" t="b">
        <v>0</v>
      </c>
      <c r="F934" t="b">
        <v>0</v>
      </c>
      <c r="H934" s="646"/>
      <c r="M934" s="646"/>
      <c r="R934" s="646"/>
    </row>
    <row r="935">
      <c r="A935" s="51" t="s">
        <v>2559</v>
      </c>
      <c r="B935" s="51" t="s">
        <v>2563</v>
      </c>
      <c r="C935" s="51" t="s">
        <v>2565</v>
      </c>
      <c r="D935" s="51" t="s">
        <v>366</v>
      </c>
      <c r="E935" s="51" t="b">
        <v>0</v>
      </c>
      <c r="F935" t="b">
        <v>0</v>
      </c>
      <c r="H935" s="646"/>
      <c r="M935" s="646"/>
      <c r="R935" s="646"/>
    </row>
    <row r="936">
      <c r="A936" s="51" t="s">
        <v>2566</v>
      </c>
      <c r="B936" s="51" t="s">
        <v>491</v>
      </c>
      <c r="C936" s="51" t="s">
        <v>2567</v>
      </c>
      <c r="D936" s="51" t="s">
        <v>366</v>
      </c>
      <c r="E936" t="b">
        <v>0</v>
      </c>
      <c r="F936" t="b">
        <v>0</v>
      </c>
      <c r="H936" s="646"/>
      <c r="M936" s="646"/>
      <c r="R936" s="646"/>
    </row>
    <row r="937">
      <c r="A937" s="51" t="s">
        <v>2568</v>
      </c>
      <c r="B937" s="51" t="s">
        <v>2569</v>
      </c>
      <c r="C937" s="51" t="s">
        <v>2570</v>
      </c>
      <c r="D937" s="51" t="s">
        <v>366</v>
      </c>
      <c r="E937" s="51" t="b">
        <v>0</v>
      </c>
      <c r="F937" t="b">
        <v>0</v>
      </c>
      <c r="H937" s="646"/>
      <c r="M937" s="646"/>
      <c r="R937" s="646"/>
    </row>
    <row r="938">
      <c r="A938" s="51" t="s">
        <v>2571</v>
      </c>
      <c r="B938" s="51" t="s">
        <v>1424</v>
      </c>
      <c r="C938" s="51" t="s">
        <v>2572</v>
      </c>
      <c r="D938" s="51" t="s">
        <v>366</v>
      </c>
      <c r="E938" s="51" t="b">
        <v>0</v>
      </c>
      <c r="F938" t="b">
        <v>0</v>
      </c>
      <c r="H938" s="646"/>
      <c r="M938" s="646"/>
      <c r="R938" s="646"/>
    </row>
    <row r="939">
      <c r="A939" s="51" t="s">
        <v>2573</v>
      </c>
      <c r="B939" s="51" t="s">
        <v>2574</v>
      </c>
      <c r="C939" s="51" t="s">
        <v>2575</v>
      </c>
      <c r="D939" s="51" t="s">
        <v>370</v>
      </c>
      <c r="E939" s="51" t="b">
        <v>0</v>
      </c>
      <c r="F939" t="b">
        <v>0</v>
      </c>
      <c r="H939" s="646"/>
      <c r="M939" s="646"/>
      <c r="R939" s="646"/>
    </row>
    <row r="940">
      <c r="A940" s="51" t="s">
        <v>2576</v>
      </c>
      <c r="B940" s="51" t="s">
        <v>1317</v>
      </c>
      <c r="C940" s="51" t="s">
        <v>2577</v>
      </c>
      <c r="D940" s="51" t="s">
        <v>366</v>
      </c>
      <c r="E940" s="51" t="b">
        <v>0</v>
      </c>
      <c r="F940" t="b">
        <v>0</v>
      </c>
      <c r="H940" s="646"/>
      <c r="M940" s="646"/>
      <c r="R940" s="646"/>
    </row>
    <row r="941">
      <c r="A941" s="51" t="s">
        <v>2578</v>
      </c>
      <c r="B941" s="51" t="s">
        <v>2579</v>
      </c>
      <c r="C941" s="51" t="s">
        <v>2580</v>
      </c>
      <c r="D941" s="51" t="s">
        <v>366</v>
      </c>
      <c r="E941" s="51" t="b">
        <v>0</v>
      </c>
      <c r="F941" t="b">
        <v>0</v>
      </c>
      <c r="H941" s="646"/>
      <c r="M941" s="646"/>
      <c r="R941" s="646"/>
    </row>
    <row r="942">
      <c r="A942" s="51" t="s">
        <v>2581</v>
      </c>
      <c r="B942" s="51" t="s">
        <v>2582</v>
      </c>
      <c r="C942" s="51" t="s">
        <v>2583</v>
      </c>
      <c r="D942" s="51" t="s">
        <v>366</v>
      </c>
      <c r="E942" s="51" t="b">
        <v>0</v>
      </c>
      <c r="F942" s="51" t="b">
        <v>1</v>
      </c>
      <c r="H942" s="646"/>
      <c r="M942" s="646"/>
      <c r="R942" s="646"/>
    </row>
    <row r="943">
      <c r="A943" s="51" t="s">
        <v>2581</v>
      </c>
      <c r="B943" s="51" t="s">
        <v>2582</v>
      </c>
      <c r="C943" s="51" t="s">
        <v>2584</v>
      </c>
      <c r="D943" s="51" t="s">
        <v>366</v>
      </c>
      <c r="E943" s="51" t="b">
        <v>0</v>
      </c>
      <c r="F943" t="b">
        <v>0</v>
      </c>
      <c r="H943" s="646"/>
      <c r="M943" s="646"/>
      <c r="R943" s="646"/>
    </row>
    <row r="944">
      <c r="A944" s="51" t="s">
        <v>2585</v>
      </c>
      <c r="B944" s="51" t="s">
        <v>2586</v>
      </c>
      <c r="C944" s="51" t="s">
        <v>2587</v>
      </c>
      <c r="D944" s="51" t="s">
        <v>366</v>
      </c>
      <c r="E944" s="51" t="b">
        <v>0</v>
      </c>
      <c r="F944" t="b">
        <v>0</v>
      </c>
      <c r="H944" s="646"/>
      <c r="M944" s="646"/>
      <c r="R944" s="646"/>
    </row>
    <row r="945">
      <c r="A945" s="51" t="s">
        <v>2588</v>
      </c>
      <c r="C945" s="51" t="s">
        <v>2589</v>
      </c>
      <c r="D945" s="51" t="s">
        <v>366</v>
      </c>
      <c r="E945" s="51" t="b">
        <v>0</v>
      </c>
      <c r="F945" t="b">
        <v>0</v>
      </c>
      <c r="H945" s="646"/>
      <c r="M945" s="646"/>
      <c r="R945" s="646"/>
    </row>
    <row r="946">
      <c r="A946" s="51" t="s">
        <v>2588</v>
      </c>
      <c r="C946" s="51" t="s">
        <v>2590</v>
      </c>
      <c r="D946" s="51" t="s">
        <v>366</v>
      </c>
      <c r="E946" t="b">
        <v>0</v>
      </c>
      <c r="F946" t="b">
        <v>0</v>
      </c>
      <c r="H946" s="646"/>
      <c r="M946" s="646"/>
      <c r="R946" s="646"/>
    </row>
    <row r="947">
      <c r="A947" s="51" t="s">
        <v>2591</v>
      </c>
      <c r="B947" s="51" t="s">
        <v>1149</v>
      </c>
      <c r="C947" s="51" t="s">
        <v>2592</v>
      </c>
      <c r="D947" s="51" t="s">
        <v>366</v>
      </c>
      <c r="E947" s="51" t="b">
        <v>0</v>
      </c>
      <c r="F947" t="b">
        <v>0</v>
      </c>
      <c r="H947" s="646"/>
      <c r="M947" s="646"/>
      <c r="R947" s="646"/>
    </row>
    <row r="948">
      <c r="A948" s="51" t="s">
        <v>957</v>
      </c>
      <c r="B948" s="51" t="s">
        <v>2593</v>
      </c>
      <c r="C948" s="51" t="s">
        <v>2594</v>
      </c>
      <c r="D948" s="51" t="s">
        <v>366</v>
      </c>
      <c r="E948" s="51" t="b">
        <v>0</v>
      </c>
      <c r="F948" t="b">
        <v>0</v>
      </c>
      <c r="H948" s="646"/>
      <c r="M948" s="646"/>
      <c r="R948" s="646"/>
    </row>
    <row r="949">
      <c r="A949" s="51" t="s">
        <v>957</v>
      </c>
      <c r="B949" s="51" t="s">
        <v>2595</v>
      </c>
      <c r="D949" s="51" t="s">
        <v>366</v>
      </c>
      <c r="E949" s="51" t="b">
        <v>0</v>
      </c>
      <c r="F949" t="b">
        <v>0</v>
      </c>
      <c r="H949" s="646"/>
      <c r="M949" s="646"/>
      <c r="R949" s="646"/>
    </row>
    <row r="950">
      <c r="A950" s="51" t="s">
        <v>2596</v>
      </c>
      <c r="B950" s="51" t="s">
        <v>2597</v>
      </c>
      <c r="C950" s="51" t="s">
        <v>2598</v>
      </c>
      <c r="D950" s="51" t="s">
        <v>366</v>
      </c>
      <c r="E950" s="51" t="b">
        <v>0</v>
      </c>
      <c r="F950" t="b">
        <v>0</v>
      </c>
      <c r="H950" s="646"/>
      <c r="M950" s="646"/>
      <c r="R950" s="646"/>
    </row>
    <row r="951">
      <c r="A951" s="51" t="s">
        <v>2599</v>
      </c>
      <c r="B951" s="51" t="s">
        <v>1610</v>
      </c>
      <c r="C951" s="51" t="s">
        <v>2600</v>
      </c>
      <c r="D951" s="51" t="s">
        <v>370</v>
      </c>
      <c r="E951" s="51" t="b">
        <v>0</v>
      </c>
      <c r="F951" t="b">
        <v>0</v>
      </c>
      <c r="H951" s="646"/>
      <c r="M951" s="646"/>
      <c r="R951" s="646"/>
    </row>
    <row r="952">
      <c r="A952" s="51" t="s">
        <v>2601</v>
      </c>
      <c r="C952" s="51" t="s">
        <v>2602</v>
      </c>
      <c r="D952" s="51" t="s">
        <v>370</v>
      </c>
      <c r="E952" s="51" t="b">
        <v>0</v>
      </c>
      <c r="F952" t="b">
        <v>0</v>
      </c>
      <c r="G952" s="51" t="s">
        <v>506</v>
      </c>
      <c r="H952" s="646"/>
      <c r="M952" s="646"/>
      <c r="R952" s="646"/>
    </row>
    <row r="953">
      <c r="A953" s="51" t="s">
        <v>2603</v>
      </c>
      <c r="B953" s="51" t="s">
        <v>2604</v>
      </c>
      <c r="C953" s="51" t="s">
        <v>2605</v>
      </c>
      <c r="D953" s="51" t="s">
        <v>366</v>
      </c>
      <c r="E953" s="51" t="b">
        <v>0</v>
      </c>
      <c r="F953" t="b">
        <v>0</v>
      </c>
      <c r="H953" s="646"/>
      <c r="M953" s="646"/>
      <c r="R953" s="646"/>
    </row>
    <row r="954">
      <c r="A954" s="51" t="s">
        <v>2606</v>
      </c>
      <c r="B954" s="51" t="s">
        <v>1097</v>
      </c>
      <c r="C954" s="51" t="s">
        <v>2607</v>
      </c>
      <c r="D954" s="51" t="s">
        <v>370</v>
      </c>
      <c r="E954" s="51" t="b">
        <v>0</v>
      </c>
      <c r="F954" t="b">
        <v>0</v>
      </c>
      <c r="H954" s="646"/>
      <c r="M954" s="646"/>
      <c r="R954" s="646"/>
    </row>
    <row r="955">
      <c r="A955" s="51" t="s">
        <v>889</v>
      </c>
      <c r="B955" s="51" t="s">
        <v>2608</v>
      </c>
      <c r="C955" s="51" t="s">
        <v>2609</v>
      </c>
      <c r="D955" s="51" t="s">
        <v>366</v>
      </c>
      <c r="E955" s="51" t="b">
        <v>0</v>
      </c>
      <c r="F955" t="b">
        <v>0</v>
      </c>
      <c r="H955" s="646"/>
      <c r="M955" s="646"/>
      <c r="R955" s="646"/>
    </row>
    <row r="956">
      <c r="A956" s="51" t="s">
        <v>1480</v>
      </c>
      <c r="B956" s="51" t="s">
        <v>1280</v>
      </c>
      <c r="C956" s="51" t="s">
        <v>2610</v>
      </c>
      <c r="D956" s="51" t="s">
        <v>366</v>
      </c>
      <c r="E956" s="51" t="b">
        <v>0</v>
      </c>
      <c r="F956" t="b">
        <v>0</v>
      </c>
      <c r="H956" s="646"/>
      <c r="M956" s="646"/>
      <c r="R956" s="646"/>
    </row>
    <row r="957">
      <c r="A957" s="51" t="s">
        <v>2611</v>
      </c>
      <c r="B957" s="51" t="s">
        <v>2612</v>
      </c>
      <c r="C957" s="51" t="s">
        <v>2613</v>
      </c>
      <c r="D957" s="51" t="s">
        <v>366</v>
      </c>
      <c r="E957" s="51" t="b">
        <v>0</v>
      </c>
      <c r="F957" t="b">
        <v>0</v>
      </c>
      <c r="H957" s="646"/>
      <c r="M957" s="646"/>
      <c r="R957" s="646"/>
    </row>
    <row r="958">
      <c r="A958" s="51" t="s">
        <v>2614</v>
      </c>
      <c r="B958" s="51" t="s">
        <v>1863</v>
      </c>
      <c r="C958" s="51" t="s">
        <v>2615</v>
      </c>
      <c r="D958" s="51" t="s">
        <v>366</v>
      </c>
      <c r="E958" s="51" t="b">
        <v>0</v>
      </c>
      <c r="F958" t="b">
        <v>0</v>
      </c>
      <c r="H958" s="646"/>
      <c r="M958" s="646"/>
      <c r="R958" s="646"/>
    </row>
    <row r="959">
      <c r="A959" s="51" t="s">
        <v>2616</v>
      </c>
      <c r="B959" s="51" t="s">
        <v>2617</v>
      </c>
      <c r="C959" s="51" t="s">
        <v>2618</v>
      </c>
      <c r="D959" s="51" t="s">
        <v>366</v>
      </c>
      <c r="E959" s="51" t="b">
        <v>0</v>
      </c>
      <c r="F959" t="b">
        <v>0</v>
      </c>
      <c r="H959" s="646"/>
      <c r="M959" s="646"/>
      <c r="R959" s="646"/>
    </row>
    <row r="960">
      <c r="A960" s="51" t="s">
        <v>2619</v>
      </c>
      <c r="B960" s="51" t="s">
        <v>1537</v>
      </c>
      <c r="C960" s="51" t="s">
        <v>2620</v>
      </c>
      <c r="D960" s="51" t="s">
        <v>370</v>
      </c>
      <c r="E960" s="51" t="b">
        <v>0</v>
      </c>
      <c r="F960" t="b">
        <v>0</v>
      </c>
      <c r="H960" s="646"/>
      <c r="M960" s="646"/>
      <c r="R960" s="646"/>
    </row>
    <row r="961">
      <c r="A961" s="51" t="s">
        <v>2621</v>
      </c>
      <c r="B961" s="51" t="s">
        <v>1962</v>
      </c>
      <c r="C961" s="51" t="s">
        <v>2622</v>
      </c>
      <c r="D961" s="51" t="s">
        <v>366</v>
      </c>
      <c r="E961" s="51" t="b">
        <v>0</v>
      </c>
      <c r="F961" t="b">
        <v>0</v>
      </c>
      <c r="H961" s="646"/>
      <c r="M961" s="646"/>
      <c r="R961" s="646"/>
    </row>
    <row r="962">
      <c r="A962" s="51" t="s">
        <v>2623</v>
      </c>
      <c r="B962" s="51" t="s">
        <v>2624</v>
      </c>
      <c r="C962" s="51" t="s">
        <v>2625</v>
      </c>
      <c r="D962" s="51" t="s">
        <v>366</v>
      </c>
      <c r="E962" s="51" t="b">
        <v>0</v>
      </c>
      <c r="F962" t="b">
        <v>0</v>
      </c>
      <c r="H962" s="646"/>
      <c r="M962" s="646"/>
      <c r="R962" s="646"/>
    </row>
    <row r="963">
      <c r="A963" s="51" t="s">
        <v>2626</v>
      </c>
      <c r="B963" s="51" t="s">
        <v>2627</v>
      </c>
      <c r="C963" s="51" t="s">
        <v>2628</v>
      </c>
      <c r="D963" s="51" t="s">
        <v>366</v>
      </c>
      <c r="E963" s="51" t="b">
        <v>0</v>
      </c>
      <c r="F963" t="b">
        <v>0</v>
      </c>
      <c r="H963" s="646"/>
      <c r="M963" s="646"/>
      <c r="R963" s="646"/>
    </row>
    <row r="964">
      <c r="A964" s="51" t="s">
        <v>2626</v>
      </c>
      <c r="B964" s="51" t="s">
        <v>2627</v>
      </c>
      <c r="C964" s="51" t="s">
        <v>2629</v>
      </c>
      <c r="D964" s="51" t="s">
        <v>366</v>
      </c>
      <c r="E964" s="51" t="b">
        <v>0</v>
      </c>
      <c r="F964" t="b">
        <v>0</v>
      </c>
      <c r="H964" s="646"/>
      <c r="M964" s="646"/>
      <c r="R964" s="646"/>
    </row>
    <row r="965">
      <c r="A965" s="51" t="s">
        <v>2630</v>
      </c>
      <c r="B965" s="51" t="s">
        <v>615</v>
      </c>
      <c r="C965" s="51" t="s">
        <v>2631</v>
      </c>
      <c r="D965" s="51" t="s">
        <v>366</v>
      </c>
      <c r="E965" s="51" t="b">
        <v>0</v>
      </c>
      <c r="F965" t="b">
        <v>0</v>
      </c>
      <c r="H965" s="646"/>
      <c r="M965" s="646"/>
      <c r="R965" s="646"/>
    </row>
    <row r="966">
      <c r="A966" s="51" t="s">
        <v>2630</v>
      </c>
      <c r="B966" s="51" t="s">
        <v>615</v>
      </c>
      <c r="C966" s="51" t="s">
        <v>2632</v>
      </c>
      <c r="D966" s="51" t="s">
        <v>366</v>
      </c>
      <c r="E966" t="b">
        <v>0</v>
      </c>
      <c r="F966" t="b">
        <v>0</v>
      </c>
      <c r="H966" s="646"/>
      <c r="M966" s="646"/>
      <c r="R966" s="646"/>
    </row>
    <row r="967">
      <c r="A967" s="51" t="s">
        <v>2630</v>
      </c>
      <c r="B967" s="51" t="s">
        <v>615</v>
      </c>
      <c r="C967" s="51" t="s">
        <v>2633</v>
      </c>
      <c r="D967" s="51" t="s">
        <v>366</v>
      </c>
      <c r="E967" s="51" t="b">
        <v>0</v>
      </c>
      <c r="F967" t="b">
        <v>0</v>
      </c>
      <c r="H967" s="646"/>
      <c r="M967" s="646"/>
      <c r="R967" s="646"/>
    </row>
    <row r="968">
      <c r="A968" s="51" t="s">
        <v>2630</v>
      </c>
      <c r="B968" s="51" t="s">
        <v>615</v>
      </c>
      <c r="C968" s="51" t="s">
        <v>2634</v>
      </c>
      <c r="D968" s="51" t="s">
        <v>366</v>
      </c>
      <c r="E968" s="51" t="b">
        <v>0</v>
      </c>
      <c r="F968" t="b">
        <v>0</v>
      </c>
      <c r="H968" s="646"/>
      <c r="M968" s="646"/>
      <c r="R968" s="646"/>
    </row>
    <row r="969">
      <c r="A969" s="51" t="s">
        <v>1679</v>
      </c>
      <c r="B969" s="51" t="s">
        <v>2635</v>
      </c>
      <c r="C969" s="653" t="s">
        <v>2636</v>
      </c>
      <c r="D969" s="51" t="s">
        <v>366</v>
      </c>
      <c r="E969" s="51" t="b">
        <v>0</v>
      </c>
      <c r="F969" t="b">
        <v>0</v>
      </c>
      <c r="H969" s="646"/>
      <c r="M969" s="646"/>
      <c r="R969" s="646"/>
    </row>
    <row r="970">
      <c r="A970" s="51" t="s">
        <v>1679</v>
      </c>
      <c r="B970" s="51" t="s">
        <v>647</v>
      </c>
      <c r="C970" s="51" t="s">
        <v>2637</v>
      </c>
      <c r="D970" s="51" t="s">
        <v>366</v>
      </c>
      <c r="E970" s="51" t="b">
        <v>0</v>
      </c>
      <c r="F970" t="b">
        <v>0</v>
      </c>
      <c r="H970" s="646"/>
      <c r="M970" s="646"/>
      <c r="R970" s="646"/>
    </row>
    <row r="971">
      <c r="A971" s="51" t="s">
        <v>1679</v>
      </c>
      <c r="B971" s="51" t="s">
        <v>2638</v>
      </c>
      <c r="C971" s="51" t="s">
        <v>2639</v>
      </c>
      <c r="D971" s="51" t="s">
        <v>366</v>
      </c>
      <c r="E971" s="51" t="b">
        <v>0</v>
      </c>
      <c r="F971" t="b">
        <v>0</v>
      </c>
      <c r="H971" s="646"/>
      <c r="M971" s="646"/>
      <c r="R971" s="646"/>
    </row>
    <row r="972">
      <c r="A972" s="51" t="s">
        <v>2640</v>
      </c>
      <c r="B972" s="51" t="s">
        <v>2641</v>
      </c>
      <c r="C972" s="51" t="s">
        <v>2642</v>
      </c>
      <c r="D972" s="51" t="s">
        <v>366</v>
      </c>
      <c r="E972" s="51" t="b">
        <v>0</v>
      </c>
      <c r="F972" t="b">
        <v>0</v>
      </c>
      <c r="H972" s="646"/>
      <c r="M972" s="646"/>
      <c r="R972" s="646"/>
    </row>
    <row r="973">
      <c r="A973" s="51" t="s">
        <v>2643</v>
      </c>
      <c r="B973" s="51" t="s">
        <v>2644</v>
      </c>
      <c r="C973" s="51" t="s">
        <v>2645</v>
      </c>
      <c r="D973" s="51" t="s">
        <v>366</v>
      </c>
      <c r="E973" s="51" t="b">
        <v>0</v>
      </c>
      <c r="F973" t="b">
        <v>0</v>
      </c>
      <c r="H973" s="646"/>
      <c r="M973" s="646"/>
      <c r="R973" s="646"/>
    </row>
    <row r="974">
      <c r="A974" s="51" t="s">
        <v>2646</v>
      </c>
      <c r="B974" s="51" t="s">
        <v>1343</v>
      </c>
      <c r="C974" s="51" t="s">
        <v>2647</v>
      </c>
      <c r="D974" s="51" t="s">
        <v>366</v>
      </c>
      <c r="E974" s="51" t="b">
        <v>0</v>
      </c>
      <c r="F974" t="b">
        <v>0</v>
      </c>
      <c r="H974" s="646"/>
      <c r="M974" s="646"/>
      <c r="R974" s="646"/>
    </row>
    <row r="975">
      <c r="A975" s="51" t="s">
        <v>2648</v>
      </c>
      <c r="B975" s="51" t="s">
        <v>1410</v>
      </c>
      <c r="C975" s="51" t="s">
        <v>2649</v>
      </c>
      <c r="D975" s="51" t="s">
        <v>366</v>
      </c>
      <c r="E975" t="b">
        <v>0</v>
      </c>
      <c r="F975" t="b">
        <v>0</v>
      </c>
      <c r="H975" s="646"/>
      <c r="M975" s="646"/>
      <c r="R975" s="646"/>
    </row>
    <row r="976">
      <c r="A976" s="51" t="s">
        <v>911</v>
      </c>
      <c r="B976" s="51" t="s">
        <v>912</v>
      </c>
      <c r="C976" s="51" t="s">
        <v>2650</v>
      </c>
      <c r="D976" s="51" t="s">
        <v>366</v>
      </c>
      <c r="E976" s="51" t="b">
        <v>0</v>
      </c>
      <c r="F976" t="b">
        <v>0</v>
      </c>
      <c r="H976" s="646"/>
      <c r="M976" s="646"/>
      <c r="R976" s="646"/>
    </row>
    <row r="977">
      <c r="A977" s="51" t="s">
        <v>2651</v>
      </c>
      <c r="B977" s="51" t="s">
        <v>2652</v>
      </c>
      <c r="C977" s="51" t="s">
        <v>2653</v>
      </c>
      <c r="D977" s="51" t="s">
        <v>366</v>
      </c>
      <c r="E977" s="51" t="b">
        <v>0</v>
      </c>
      <c r="F977" t="b">
        <v>0</v>
      </c>
      <c r="H977" s="646"/>
      <c r="M977" s="646"/>
      <c r="R977" s="646"/>
    </row>
    <row r="978">
      <c r="A978" s="51" t="s">
        <v>2654</v>
      </c>
      <c r="B978" s="51" t="s">
        <v>455</v>
      </c>
      <c r="C978" s="51" t="s">
        <v>2655</v>
      </c>
      <c r="D978" s="51" t="s">
        <v>366</v>
      </c>
      <c r="E978" s="51" t="b">
        <v>0</v>
      </c>
      <c r="F978" t="b">
        <v>0</v>
      </c>
      <c r="H978" s="646"/>
      <c r="M978" s="646"/>
      <c r="R978" s="646"/>
    </row>
    <row r="979">
      <c r="A979" s="51" t="s">
        <v>2654</v>
      </c>
      <c r="B979" s="51" t="s">
        <v>455</v>
      </c>
      <c r="C979" s="51" t="s">
        <v>2656</v>
      </c>
      <c r="D979" s="51" t="s">
        <v>366</v>
      </c>
      <c r="E979" s="51" t="b">
        <v>0</v>
      </c>
      <c r="F979" t="b">
        <v>0</v>
      </c>
      <c r="H979" s="646"/>
      <c r="M979" s="646"/>
      <c r="R979" s="646"/>
    </row>
    <row r="980">
      <c r="A980" s="51" t="s">
        <v>2654</v>
      </c>
      <c r="B980" s="51" t="s">
        <v>455</v>
      </c>
      <c r="C980" s="51" t="s">
        <v>2657</v>
      </c>
      <c r="D980" s="51" t="s">
        <v>366</v>
      </c>
      <c r="E980" s="51" t="b">
        <v>0</v>
      </c>
      <c r="F980" t="b">
        <v>0</v>
      </c>
      <c r="H980" s="646"/>
      <c r="M980" s="646"/>
      <c r="R980" s="646"/>
    </row>
    <row r="981">
      <c r="A981" s="51" t="s">
        <v>2654</v>
      </c>
      <c r="B981" s="51" t="s">
        <v>455</v>
      </c>
      <c r="C981" s="51" t="s">
        <v>2658</v>
      </c>
      <c r="D981" s="51" t="s">
        <v>366</v>
      </c>
      <c r="E981" s="51" t="b">
        <v>0</v>
      </c>
      <c r="F981" t="b">
        <v>0</v>
      </c>
      <c r="H981" s="646"/>
      <c r="M981" s="646"/>
      <c r="R981" s="646"/>
    </row>
    <row r="982">
      <c r="A982" s="51" t="s">
        <v>2654</v>
      </c>
      <c r="B982" s="51" t="s">
        <v>455</v>
      </c>
      <c r="C982" s="51" t="s">
        <v>2659</v>
      </c>
      <c r="D982" s="51" t="s">
        <v>366</v>
      </c>
      <c r="E982" s="51" t="b">
        <v>0</v>
      </c>
      <c r="F982" t="b">
        <v>0</v>
      </c>
      <c r="H982" s="646"/>
      <c r="M982" s="646"/>
      <c r="R982" s="646"/>
    </row>
    <row r="983">
      <c r="A983" s="51" t="s">
        <v>2654</v>
      </c>
      <c r="B983" s="51" t="s">
        <v>455</v>
      </c>
      <c r="C983" s="51" t="s">
        <v>2660</v>
      </c>
      <c r="D983" s="51" t="s">
        <v>366</v>
      </c>
      <c r="E983" s="51" t="b">
        <v>0</v>
      </c>
      <c r="F983" t="b">
        <v>0</v>
      </c>
      <c r="H983" s="646"/>
      <c r="M983" s="646"/>
      <c r="R983" s="646"/>
    </row>
    <row r="984">
      <c r="A984" s="51" t="s">
        <v>2661</v>
      </c>
      <c r="B984" s="51" t="s">
        <v>2652</v>
      </c>
      <c r="C984" s="51" t="s">
        <v>2662</v>
      </c>
      <c r="D984" s="51" t="s">
        <v>366</v>
      </c>
      <c r="E984" s="51" t="b">
        <v>0</v>
      </c>
      <c r="F984" t="b">
        <v>0</v>
      </c>
      <c r="H984" s="646"/>
      <c r="M984" s="646"/>
      <c r="R984" s="646"/>
    </row>
    <row r="985">
      <c r="A985" s="51" t="s">
        <v>2663</v>
      </c>
      <c r="B985" s="51" t="s">
        <v>1123</v>
      </c>
      <c r="C985" s="51" t="s">
        <v>2664</v>
      </c>
      <c r="D985" s="51" t="s">
        <v>366</v>
      </c>
      <c r="E985" s="51" t="b">
        <v>0</v>
      </c>
      <c r="F985" t="b">
        <v>0</v>
      </c>
      <c r="H985" s="646"/>
      <c r="M985" s="646"/>
      <c r="R985" s="646"/>
    </row>
    <row r="986">
      <c r="A986" s="51" t="s">
        <v>2665</v>
      </c>
      <c r="B986" s="51" t="s">
        <v>2666</v>
      </c>
      <c r="C986" s="51" t="s">
        <v>2667</v>
      </c>
      <c r="D986" s="51" t="s">
        <v>370</v>
      </c>
      <c r="E986" s="51" t="b">
        <v>0</v>
      </c>
      <c r="F986" t="b">
        <v>0</v>
      </c>
      <c r="G986" s="51" t="s">
        <v>506</v>
      </c>
      <c r="H986" s="646"/>
      <c r="M986" s="646"/>
      <c r="R986" s="646"/>
    </row>
    <row r="987">
      <c r="A987" s="51" t="s">
        <v>2668</v>
      </c>
      <c r="C987" s="51" t="s">
        <v>2669</v>
      </c>
      <c r="D987" s="51" t="s">
        <v>366</v>
      </c>
      <c r="E987" s="51" t="b">
        <v>0</v>
      </c>
      <c r="F987" t="b">
        <v>0</v>
      </c>
      <c r="H987" s="646"/>
      <c r="M987" s="646"/>
      <c r="R987" s="646"/>
    </row>
    <row r="988">
      <c r="A988" s="51" t="s">
        <v>2668</v>
      </c>
      <c r="C988" s="51" t="s">
        <v>2670</v>
      </c>
      <c r="D988" s="51" t="s">
        <v>366</v>
      </c>
      <c r="E988" s="51" t="b">
        <v>0</v>
      </c>
      <c r="F988" t="b">
        <v>0</v>
      </c>
      <c r="H988" s="646"/>
      <c r="M988" s="646"/>
      <c r="R988" s="646"/>
    </row>
    <row r="989">
      <c r="A989" s="51" t="s">
        <v>2668</v>
      </c>
      <c r="C989" s="51" t="s">
        <v>2671</v>
      </c>
      <c r="D989" s="51" t="s">
        <v>366</v>
      </c>
      <c r="E989" s="51" t="b">
        <v>0</v>
      </c>
      <c r="F989" t="b">
        <v>0</v>
      </c>
      <c r="H989" s="646"/>
      <c r="M989" s="646"/>
      <c r="R989" s="646"/>
    </row>
    <row r="990">
      <c r="A990" s="51" t="s">
        <v>2668</v>
      </c>
      <c r="C990" s="51" t="s">
        <v>2672</v>
      </c>
      <c r="D990" s="51" t="s">
        <v>366</v>
      </c>
      <c r="E990" s="51" t="b">
        <v>0</v>
      </c>
      <c r="F990" t="b">
        <v>0</v>
      </c>
      <c r="G990" s="51" t="s">
        <v>1927</v>
      </c>
      <c r="H990" s="646"/>
      <c r="M990" s="646"/>
      <c r="R990" s="646"/>
    </row>
    <row r="991">
      <c r="A991" s="51" t="s">
        <v>2668</v>
      </c>
      <c r="C991" s="51" t="s">
        <v>2673</v>
      </c>
      <c r="D991" s="51" t="s">
        <v>366</v>
      </c>
      <c r="E991" s="51" t="b">
        <v>0</v>
      </c>
      <c r="F991" t="b">
        <v>0</v>
      </c>
      <c r="H991" s="646"/>
      <c r="M991" s="646"/>
      <c r="R991" s="646"/>
    </row>
    <row r="992">
      <c r="A992" s="51" t="s">
        <v>2668</v>
      </c>
      <c r="C992" s="51" t="s">
        <v>2674</v>
      </c>
      <c r="D992" s="51" t="s">
        <v>366</v>
      </c>
      <c r="E992" s="51" t="b">
        <v>0</v>
      </c>
      <c r="F992" t="b">
        <v>0</v>
      </c>
      <c r="H992" s="646"/>
      <c r="M992" s="646"/>
      <c r="R992" s="646"/>
    </row>
    <row r="993">
      <c r="A993" s="51" t="s">
        <v>2668</v>
      </c>
      <c r="C993" s="51" t="s">
        <v>2675</v>
      </c>
      <c r="D993" s="51" t="s">
        <v>366</v>
      </c>
      <c r="E993" s="51" t="b">
        <v>0</v>
      </c>
      <c r="F993" t="b">
        <v>0</v>
      </c>
      <c r="H993" s="646"/>
      <c r="M993" s="646"/>
      <c r="R993" s="646"/>
    </row>
    <row r="994">
      <c r="A994" s="51" t="s">
        <v>2668</v>
      </c>
      <c r="C994" s="51" t="s">
        <v>2676</v>
      </c>
      <c r="D994" s="51" t="s">
        <v>366</v>
      </c>
      <c r="E994" s="51" t="b">
        <v>0</v>
      </c>
      <c r="F994" t="b">
        <v>0</v>
      </c>
      <c r="G994" s="51" t="s">
        <v>1258</v>
      </c>
      <c r="H994" s="646"/>
      <c r="M994" s="646"/>
      <c r="R994" s="646"/>
    </row>
    <row r="995">
      <c r="A995" s="51" t="s">
        <v>2668</v>
      </c>
      <c r="C995" s="51" t="s">
        <v>2677</v>
      </c>
      <c r="D995" s="51" t="s">
        <v>366</v>
      </c>
      <c r="E995" s="51" t="b">
        <v>0</v>
      </c>
      <c r="F995" t="b">
        <v>0</v>
      </c>
      <c r="H995" s="646"/>
      <c r="M995" s="646"/>
      <c r="R995" s="646"/>
    </row>
    <row r="996">
      <c r="A996" s="51" t="s">
        <v>2668</v>
      </c>
      <c r="C996" s="51" t="s">
        <v>2678</v>
      </c>
      <c r="D996" s="51" t="s">
        <v>366</v>
      </c>
      <c r="E996" s="51" t="b">
        <v>0</v>
      </c>
      <c r="F996" t="b">
        <v>0</v>
      </c>
      <c r="H996" s="646"/>
      <c r="M996" s="646"/>
      <c r="R996" s="646"/>
    </row>
    <row r="997">
      <c r="A997" s="51" t="s">
        <v>2668</v>
      </c>
      <c r="C997" s="51" t="s">
        <v>2679</v>
      </c>
      <c r="D997" s="51" t="s">
        <v>366</v>
      </c>
      <c r="E997" s="51" t="b">
        <v>0</v>
      </c>
      <c r="F997" t="b">
        <v>0</v>
      </c>
      <c r="H997" s="646"/>
      <c r="M997" s="646"/>
      <c r="R997" s="646"/>
    </row>
    <row r="998">
      <c r="A998" s="51" t="s">
        <v>2668</v>
      </c>
      <c r="C998" s="51" t="s">
        <v>2680</v>
      </c>
      <c r="D998" s="51" t="s">
        <v>366</v>
      </c>
      <c r="E998" s="51" t="b">
        <v>0</v>
      </c>
      <c r="F998" t="b">
        <v>0</v>
      </c>
      <c r="H998" s="646"/>
      <c r="M998" s="646"/>
      <c r="R998" s="646"/>
    </row>
    <row r="999">
      <c r="A999" s="51" t="s">
        <v>2668</v>
      </c>
      <c r="C999" s="51" t="s">
        <v>2681</v>
      </c>
      <c r="D999" s="51" t="s">
        <v>366</v>
      </c>
      <c r="E999" s="51" t="b">
        <v>0</v>
      </c>
      <c r="F999" t="b">
        <v>0</v>
      </c>
      <c r="G999" s="51" t="s">
        <v>1927</v>
      </c>
      <c r="H999" s="646"/>
      <c r="M999" s="646"/>
      <c r="R999" s="646"/>
    </row>
    <row r="1000">
      <c r="A1000" s="51" t="s">
        <v>2668</v>
      </c>
      <c r="C1000" s="51" t="s">
        <v>2682</v>
      </c>
      <c r="D1000" s="51" t="s">
        <v>366</v>
      </c>
      <c r="E1000" s="51" t="b">
        <v>0</v>
      </c>
      <c r="F1000" t="b">
        <v>0</v>
      </c>
      <c r="G1000" s="51" t="s">
        <v>506</v>
      </c>
      <c r="H1000" s="646"/>
      <c r="M1000" s="646"/>
      <c r="R1000" s="646"/>
    </row>
    <row r="1001">
      <c r="A1001" s="51" t="s">
        <v>2683</v>
      </c>
      <c r="B1001" s="51" t="s">
        <v>2684</v>
      </c>
      <c r="C1001" s="51" t="s">
        <v>2685</v>
      </c>
      <c r="D1001" s="51" t="s">
        <v>366</v>
      </c>
      <c r="E1001" t="b">
        <v>0</v>
      </c>
      <c r="F1001" t="b">
        <v>0</v>
      </c>
      <c r="H1001" s="646"/>
      <c r="M1001" s="646"/>
      <c r="R1001" s="646"/>
    </row>
    <row r="1002">
      <c r="A1002" s="51" t="s">
        <v>2686</v>
      </c>
      <c r="B1002" s="51" t="s">
        <v>523</v>
      </c>
      <c r="C1002" s="51" t="s">
        <v>2687</v>
      </c>
      <c r="D1002" s="51" t="s">
        <v>366</v>
      </c>
      <c r="E1002" s="51" t="b">
        <v>0</v>
      </c>
      <c r="F1002" t="b">
        <v>0</v>
      </c>
      <c r="H1002" s="646"/>
      <c r="M1002" s="646"/>
      <c r="R1002" s="646"/>
    </row>
    <row r="1003">
      <c r="A1003" s="51" t="s">
        <v>2686</v>
      </c>
      <c r="B1003" s="51" t="s">
        <v>523</v>
      </c>
      <c r="C1003" s="51" t="s">
        <v>2688</v>
      </c>
      <c r="D1003" s="51" t="s">
        <v>366</v>
      </c>
      <c r="E1003" s="51" t="b">
        <v>0</v>
      </c>
      <c r="F1003" t="b">
        <v>0</v>
      </c>
      <c r="H1003" s="646"/>
      <c r="M1003" s="646"/>
      <c r="R1003" s="646"/>
    </row>
    <row r="1004">
      <c r="A1004" s="51" t="s">
        <v>2686</v>
      </c>
      <c r="B1004" s="51" t="s">
        <v>523</v>
      </c>
      <c r="C1004" s="51" t="s">
        <v>2689</v>
      </c>
      <c r="D1004" s="51" t="s">
        <v>366</v>
      </c>
      <c r="E1004" s="51" t="b">
        <v>0</v>
      </c>
      <c r="F1004" t="b">
        <v>0</v>
      </c>
      <c r="H1004" s="646"/>
      <c r="M1004" s="646"/>
      <c r="R1004" s="646"/>
    </row>
    <row r="1005">
      <c r="A1005" s="51" t="s">
        <v>2686</v>
      </c>
      <c r="B1005" s="51" t="s">
        <v>523</v>
      </c>
      <c r="C1005" s="51" t="s">
        <v>2690</v>
      </c>
      <c r="D1005" s="51" t="s">
        <v>366</v>
      </c>
      <c r="E1005" s="51" t="b">
        <v>0</v>
      </c>
      <c r="F1005" t="b">
        <v>0</v>
      </c>
      <c r="H1005" s="646"/>
      <c r="M1005" s="646"/>
      <c r="R1005" s="646"/>
    </row>
    <row r="1006">
      <c r="A1006" s="51" t="s">
        <v>2691</v>
      </c>
      <c r="B1006" s="51" t="s">
        <v>2692</v>
      </c>
      <c r="C1006" s="51" t="s">
        <v>2693</v>
      </c>
      <c r="D1006" s="51" t="s">
        <v>366</v>
      </c>
      <c r="E1006" s="51" t="b">
        <v>0</v>
      </c>
      <c r="F1006" t="b">
        <v>0</v>
      </c>
      <c r="G1006" s="51" t="s">
        <v>1049</v>
      </c>
      <c r="H1006" s="646"/>
      <c r="M1006" s="646"/>
      <c r="R1006" s="646"/>
    </row>
    <row r="1007">
      <c r="A1007" s="51" t="s">
        <v>2694</v>
      </c>
      <c r="B1007" s="51" t="s">
        <v>2695</v>
      </c>
      <c r="C1007" s="51" t="s">
        <v>2696</v>
      </c>
      <c r="D1007" s="51" t="s">
        <v>366</v>
      </c>
      <c r="E1007" s="51" t="b">
        <v>0</v>
      </c>
      <c r="F1007" t="b">
        <v>0</v>
      </c>
      <c r="H1007" s="646"/>
      <c r="M1007" s="646"/>
      <c r="R1007" s="646"/>
    </row>
    <row r="1008">
      <c r="A1008" s="51" t="s">
        <v>2697</v>
      </c>
      <c r="B1008" s="51" t="s">
        <v>2698</v>
      </c>
      <c r="C1008" s="51" t="s">
        <v>2699</v>
      </c>
      <c r="D1008" s="51" t="s">
        <v>366</v>
      </c>
      <c r="E1008" t="b">
        <v>0</v>
      </c>
      <c r="F1008" t="b">
        <v>0</v>
      </c>
      <c r="H1008" s="646"/>
      <c r="M1008" s="646"/>
      <c r="R1008" s="646"/>
    </row>
    <row r="1009">
      <c r="A1009" s="51" t="s">
        <v>2700</v>
      </c>
      <c r="B1009" s="51" t="s">
        <v>2701</v>
      </c>
      <c r="C1009" s="51" t="s">
        <v>2702</v>
      </c>
      <c r="D1009" s="51" t="s">
        <v>366</v>
      </c>
      <c r="E1009" s="51" t="b">
        <v>0</v>
      </c>
      <c r="F1009" t="b">
        <v>0</v>
      </c>
      <c r="H1009" s="646"/>
      <c r="M1009" s="646"/>
      <c r="R1009" s="646"/>
    </row>
    <row r="1010">
      <c r="A1010" s="51" t="s">
        <v>2703</v>
      </c>
      <c r="B1010" s="51" t="s">
        <v>2704</v>
      </c>
      <c r="C1010" s="51" t="s">
        <v>2705</v>
      </c>
      <c r="D1010" s="51" t="s">
        <v>366</v>
      </c>
      <c r="E1010" s="51" t="b">
        <v>0</v>
      </c>
      <c r="F1010" t="b">
        <v>0</v>
      </c>
      <c r="H1010" s="646"/>
      <c r="M1010" s="646"/>
      <c r="R1010" s="646"/>
    </row>
    <row r="1011">
      <c r="A1011" s="51" t="s">
        <v>942</v>
      </c>
      <c r="B1011" s="51" t="s">
        <v>943</v>
      </c>
      <c r="C1011" s="51" t="s">
        <v>2706</v>
      </c>
      <c r="D1011" s="51" t="s">
        <v>366</v>
      </c>
      <c r="E1011" s="51" t="b">
        <v>0</v>
      </c>
      <c r="F1011" t="b">
        <v>0</v>
      </c>
      <c r="H1011" s="646"/>
      <c r="M1011" s="646"/>
      <c r="R1011" s="646"/>
    </row>
    <row r="1012">
      <c r="A1012" s="51" t="s">
        <v>942</v>
      </c>
      <c r="B1012" s="51" t="s">
        <v>943</v>
      </c>
      <c r="C1012" s="51" t="s">
        <v>2707</v>
      </c>
      <c r="D1012" s="51" t="s">
        <v>366</v>
      </c>
      <c r="E1012" s="51" t="b">
        <v>0</v>
      </c>
      <c r="F1012" t="b">
        <v>0</v>
      </c>
      <c r="H1012" s="646"/>
      <c r="M1012" s="646"/>
      <c r="R1012" s="646"/>
    </row>
    <row r="1013">
      <c r="A1013" s="51" t="s">
        <v>942</v>
      </c>
      <c r="B1013" s="51" t="s">
        <v>943</v>
      </c>
      <c r="C1013" s="51" t="s">
        <v>2708</v>
      </c>
      <c r="D1013" s="51" t="s">
        <v>366</v>
      </c>
      <c r="E1013" s="51" t="b">
        <v>0</v>
      </c>
      <c r="F1013" t="b">
        <v>0</v>
      </c>
      <c r="H1013" s="646"/>
      <c r="M1013" s="646"/>
      <c r="R1013" s="646"/>
    </row>
    <row r="1014">
      <c r="A1014" s="51" t="s">
        <v>942</v>
      </c>
      <c r="B1014" s="51" t="s">
        <v>943</v>
      </c>
      <c r="C1014" s="51" t="s">
        <v>2709</v>
      </c>
      <c r="D1014" s="51" t="s">
        <v>366</v>
      </c>
      <c r="E1014" s="51" t="b">
        <v>0</v>
      </c>
      <c r="F1014" t="b">
        <v>0</v>
      </c>
      <c r="H1014" s="646"/>
      <c r="M1014" s="646"/>
      <c r="R1014" s="646"/>
    </row>
    <row r="1015">
      <c r="A1015" s="51" t="s">
        <v>942</v>
      </c>
      <c r="B1015" s="51" t="s">
        <v>943</v>
      </c>
      <c r="C1015" s="51" t="s">
        <v>2709</v>
      </c>
      <c r="D1015" s="51" t="s">
        <v>366</v>
      </c>
      <c r="E1015" s="51" t="b">
        <v>0</v>
      </c>
      <c r="F1015" t="b">
        <v>0</v>
      </c>
      <c r="G1015" s="51" t="s">
        <v>1258</v>
      </c>
      <c r="H1015" s="646"/>
      <c r="M1015" s="646"/>
      <c r="R1015" s="646"/>
    </row>
    <row r="1016">
      <c r="A1016" s="51" t="s">
        <v>942</v>
      </c>
      <c r="B1016" s="51" t="s">
        <v>943</v>
      </c>
      <c r="C1016" s="51" t="s">
        <v>2710</v>
      </c>
      <c r="D1016" s="51" t="s">
        <v>366</v>
      </c>
      <c r="E1016" s="51" t="b">
        <v>0</v>
      </c>
      <c r="F1016" t="b">
        <v>0</v>
      </c>
      <c r="H1016" s="646"/>
      <c r="M1016" s="646"/>
      <c r="R1016" s="646"/>
    </row>
    <row r="1017">
      <c r="A1017" s="51" t="s">
        <v>942</v>
      </c>
      <c r="B1017" s="51" t="s">
        <v>943</v>
      </c>
      <c r="C1017" s="51" t="s">
        <v>2711</v>
      </c>
      <c r="D1017" s="51" t="s">
        <v>366</v>
      </c>
      <c r="E1017" t="b">
        <v>0</v>
      </c>
      <c r="F1017" t="b">
        <v>0</v>
      </c>
      <c r="G1017" s="51" t="s">
        <v>2712</v>
      </c>
      <c r="H1017" s="646"/>
      <c r="M1017" s="646"/>
      <c r="R1017" s="646"/>
    </row>
    <row r="1018">
      <c r="A1018" s="51" t="s">
        <v>2713</v>
      </c>
      <c r="B1018" s="51" t="s">
        <v>390</v>
      </c>
      <c r="C1018" s="51" t="s">
        <v>2714</v>
      </c>
      <c r="D1018" s="51" t="s">
        <v>366</v>
      </c>
      <c r="E1018" s="51" t="b">
        <v>0</v>
      </c>
      <c r="F1018" t="b">
        <v>0</v>
      </c>
      <c r="H1018" s="646"/>
      <c r="M1018" s="646"/>
      <c r="R1018" s="646"/>
    </row>
    <row r="1019">
      <c r="A1019" s="51" t="s">
        <v>2715</v>
      </c>
      <c r="B1019" s="51" t="s">
        <v>2716</v>
      </c>
      <c r="C1019" s="51" t="s">
        <v>2717</v>
      </c>
      <c r="D1019" s="51" t="s">
        <v>366</v>
      </c>
      <c r="E1019" s="51" t="b">
        <v>0</v>
      </c>
      <c r="F1019" t="b">
        <v>0</v>
      </c>
      <c r="H1019" s="646"/>
      <c r="M1019" s="646"/>
      <c r="R1019" s="646"/>
    </row>
    <row r="1020">
      <c r="A1020" s="51" t="s">
        <v>2718</v>
      </c>
      <c r="B1020" s="51" t="s">
        <v>2627</v>
      </c>
      <c r="C1020" s="51" t="s">
        <v>2719</v>
      </c>
      <c r="D1020" s="51" t="s">
        <v>366</v>
      </c>
      <c r="E1020" s="51" t="b">
        <v>0</v>
      </c>
      <c r="F1020" t="b">
        <v>0</v>
      </c>
      <c r="H1020" s="646"/>
      <c r="M1020" s="646"/>
      <c r="R1020" s="646"/>
    </row>
    <row r="1021">
      <c r="A1021" s="51" t="s">
        <v>2718</v>
      </c>
      <c r="B1021" s="51" t="s">
        <v>2627</v>
      </c>
      <c r="C1021" s="51" t="s">
        <v>2720</v>
      </c>
      <c r="D1021" s="51" t="s">
        <v>366</v>
      </c>
      <c r="E1021" s="51" t="b">
        <v>0</v>
      </c>
      <c r="F1021" t="b">
        <v>0</v>
      </c>
      <c r="H1021" s="646"/>
      <c r="M1021" s="646"/>
      <c r="R1021" s="646"/>
    </row>
    <row r="1022">
      <c r="A1022" s="51" t="s">
        <v>2721</v>
      </c>
      <c r="B1022" s="51" t="s">
        <v>1306</v>
      </c>
      <c r="C1022" s="51" t="s">
        <v>2722</v>
      </c>
      <c r="D1022" s="51" t="s">
        <v>366</v>
      </c>
      <c r="E1022" t="b">
        <v>0</v>
      </c>
      <c r="F1022" t="b">
        <v>0</v>
      </c>
      <c r="H1022" s="646"/>
      <c r="M1022" s="646"/>
      <c r="R1022" s="646"/>
    </row>
    <row r="1023">
      <c r="A1023" s="51" t="s">
        <v>2723</v>
      </c>
      <c r="B1023" s="51" t="s">
        <v>2724</v>
      </c>
      <c r="C1023" s="51" t="s">
        <v>2725</v>
      </c>
      <c r="D1023" s="51" t="s">
        <v>366</v>
      </c>
      <c r="E1023" s="51" t="b">
        <v>0</v>
      </c>
      <c r="F1023" t="b">
        <v>0</v>
      </c>
      <c r="H1023" s="646"/>
      <c r="M1023" s="646"/>
      <c r="R1023" s="646"/>
    </row>
    <row r="1024">
      <c r="A1024" s="51" t="s">
        <v>2726</v>
      </c>
      <c r="B1024" s="51" t="s">
        <v>1634</v>
      </c>
      <c r="C1024" s="51" t="s">
        <v>2727</v>
      </c>
      <c r="D1024" s="51" t="s">
        <v>366</v>
      </c>
      <c r="E1024" s="51" t="b">
        <v>0</v>
      </c>
      <c r="F1024" t="b">
        <v>0</v>
      </c>
      <c r="G1024" s="51" t="s">
        <v>2728</v>
      </c>
      <c r="H1024" s="646"/>
      <c r="M1024" s="646"/>
      <c r="R1024" s="646"/>
    </row>
    <row r="1025">
      <c r="A1025" s="51" t="s">
        <v>2729</v>
      </c>
      <c r="C1025" s="51" t="s">
        <v>2730</v>
      </c>
      <c r="D1025" s="51" t="s">
        <v>366</v>
      </c>
      <c r="E1025" s="51" t="b">
        <v>0</v>
      </c>
      <c r="F1025" t="b">
        <v>0</v>
      </c>
      <c r="G1025" s="51" t="s">
        <v>2160</v>
      </c>
      <c r="H1025" s="646"/>
      <c r="M1025" s="646"/>
      <c r="R1025" s="646"/>
    </row>
    <row r="1026">
      <c r="A1026" s="51" t="s">
        <v>2731</v>
      </c>
      <c r="B1026" s="51" t="s">
        <v>2081</v>
      </c>
      <c r="C1026" s="51" t="s">
        <v>2732</v>
      </c>
      <c r="D1026" s="51" t="s">
        <v>366</v>
      </c>
      <c r="E1026" s="51" t="b">
        <v>0</v>
      </c>
      <c r="F1026" t="b">
        <v>0</v>
      </c>
      <c r="H1026" s="646"/>
      <c r="M1026" s="646"/>
      <c r="R1026" s="646"/>
    </row>
    <row r="1027">
      <c r="A1027" s="51" t="s">
        <v>2733</v>
      </c>
      <c r="B1027" s="51" t="s">
        <v>575</v>
      </c>
      <c r="C1027" s="51" t="s">
        <v>2734</v>
      </c>
      <c r="D1027" s="51" t="s">
        <v>366</v>
      </c>
      <c r="E1027" s="51" t="b">
        <v>0</v>
      </c>
      <c r="F1027" t="b">
        <v>0</v>
      </c>
      <c r="H1027" s="646"/>
      <c r="M1027" s="646"/>
      <c r="R1027" s="646"/>
    </row>
    <row r="1028">
      <c r="A1028" s="51" t="s">
        <v>2735</v>
      </c>
      <c r="B1028" s="51" t="s">
        <v>2736</v>
      </c>
      <c r="C1028" s="51" t="s">
        <v>2737</v>
      </c>
      <c r="D1028" s="51" t="s">
        <v>366</v>
      </c>
      <c r="E1028" s="51" t="b">
        <v>0</v>
      </c>
      <c r="F1028" t="b">
        <v>0</v>
      </c>
      <c r="H1028" s="646"/>
      <c r="M1028" s="646"/>
      <c r="R1028" s="646"/>
    </row>
    <row r="1029">
      <c r="A1029" s="51" t="s">
        <v>2738</v>
      </c>
      <c r="B1029" s="51" t="s">
        <v>2739</v>
      </c>
      <c r="C1029" s="51" t="s">
        <v>2740</v>
      </c>
      <c r="D1029" s="51" t="s">
        <v>366</v>
      </c>
      <c r="E1029" s="51" t="b">
        <v>0</v>
      </c>
      <c r="F1029" t="b">
        <v>0</v>
      </c>
      <c r="H1029" s="646"/>
      <c r="M1029" s="646"/>
      <c r="R1029" s="646"/>
    </row>
    <row r="1030">
      <c r="A1030" s="51" t="s">
        <v>2741</v>
      </c>
      <c r="B1030" s="51" t="s">
        <v>1992</v>
      </c>
      <c r="C1030" s="51" t="s">
        <v>2742</v>
      </c>
      <c r="D1030" s="51" t="s">
        <v>370</v>
      </c>
      <c r="E1030" t="b">
        <v>0</v>
      </c>
      <c r="F1030" t="b">
        <v>0</v>
      </c>
      <c r="H1030" s="646"/>
      <c r="M1030" s="646"/>
      <c r="R1030" s="646"/>
    </row>
    <row r="1031">
      <c r="A1031" s="51" t="s">
        <v>2743</v>
      </c>
      <c r="B1031" s="51" t="s">
        <v>2744</v>
      </c>
      <c r="C1031" s="51" t="s">
        <v>2745</v>
      </c>
      <c r="D1031" s="51" t="s">
        <v>366</v>
      </c>
      <c r="E1031" s="51" t="b">
        <v>0</v>
      </c>
      <c r="F1031" t="b">
        <v>0</v>
      </c>
      <c r="H1031" s="646"/>
      <c r="M1031" s="646"/>
      <c r="R1031" s="646"/>
    </row>
    <row r="1032">
      <c r="A1032" s="51" t="s">
        <v>2746</v>
      </c>
      <c r="B1032" s="51" t="s">
        <v>2747</v>
      </c>
      <c r="C1032" s="51" t="s">
        <v>2748</v>
      </c>
      <c r="D1032" s="51" t="s">
        <v>366</v>
      </c>
      <c r="E1032" s="51" t="b">
        <v>0</v>
      </c>
      <c r="F1032" t="b">
        <v>0</v>
      </c>
      <c r="H1032" s="646"/>
      <c r="M1032" s="646"/>
      <c r="R1032" s="646"/>
    </row>
    <row r="1033">
      <c r="A1033" s="51" t="s">
        <v>2749</v>
      </c>
      <c r="B1033" s="51" t="s">
        <v>2104</v>
      </c>
      <c r="C1033" s="51" t="s">
        <v>2750</v>
      </c>
      <c r="D1033" s="51" t="s">
        <v>370</v>
      </c>
      <c r="E1033" s="51" t="b">
        <v>0</v>
      </c>
      <c r="F1033" t="b">
        <v>0</v>
      </c>
      <c r="H1033" s="646"/>
      <c r="M1033" s="646"/>
      <c r="R1033" s="646"/>
    </row>
    <row r="1034">
      <c r="A1034" s="51" t="s">
        <v>2751</v>
      </c>
      <c r="B1034" s="51" t="s">
        <v>1165</v>
      </c>
      <c r="C1034" s="51" t="s">
        <v>2752</v>
      </c>
      <c r="D1034" s="51" t="s">
        <v>366</v>
      </c>
      <c r="E1034" s="51" t="b">
        <v>0</v>
      </c>
      <c r="F1034" t="b">
        <v>0</v>
      </c>
      <c r="H1034" s="646"/>
      <c r="M1034" s="646"/>
      <c r="R1034" s="646"/>
    </row>
    <row r="1035">
      <c r="A1035" s="51" t="s">
        <v>2753</v>
      </c>
      <c r="B1035" s="51" t="s">
        <v>714</v>
      </c>
      <c r="C1035" s="51" t="s">
        <v>2754</v>
      </c>
      <c r="D1035" s="51" t="s">
        <v>366</v>
      </c>
      <c r="E1035" s="51" t="b">
        <v>0</v>
      </c>
      <c r="F1035" t="b">
        <v>0</v>
      </c>
      <c r="H1035" s="646"/>
      <c r="M1035" s="646"/>
      <c r="R1035" s="646"/>
    </row>
    <row r="1036">
      <c r="A1036" s="51" t="s">
        <v>2753</v>
      </c>
      <c r="B1036" s="51" t="s">
        <v>714</v>
      </c>
      <c r="C1036" s="51" t="s">
        <v>2755</v>
      </c>
      <c r="D1036" s="51" t="s">
        <v>366</v>
      </c>
      <c r="E1036" s="51" t="b">
        <v>0</v>
      </c>
      <c r="F1036" t="b">
        <v>0</v>
      </c>
      <c r="H1036" s="646"/>
      <c r="M1036" s="646"/>
      <c r="R1036" s="646"/>
    </row>
    <row r="1037">
      <c r="A1037" s="51" t="s">
        <v>2753</v>
      </c>
      <c r="B1037" s="51" t="s">
        <v>714</v>
      </c>
      <c r="C1037" s="51" t="s">
        <v>2756</v>
      </c>
      <c r="D1037" s="51" t="s">
        <v>366</v>
      </c>
      <c r="E1037" s="51" t="b">
        <v>0</v>
      </c>
      <c r="F1037" t="b">
        <v>0</v>
      </c>
      <c r="H1037" s="646"/>
      <c r="M1037" s="646"/>
      <c r="R1037" s="646"/>
    </row>
    <row r="1038">
      <c r="A1038" s="51" t="s">
        <v>2757</v>
      </c>
      <c r="B1038" s="51" t="s">
        <v>2114</v>
      </c>
      <c r="C1038" s="51" t="s">
        <v>2758</v>
      </c>
      <c r="D1038" s="51" t="s">
        <v>370</v>
      </c>
      <c r="E1038" s="51" t="b">
        <v>0</v>
      </c>
      <c r="F1038" t="b">
        <v>0</v>
      </c>
      <c r="H1038" s="646"/>
      <c r="M1038" s="646"/>
      <c r="R1038" s="646"/>
    </row>
    <row r="1039">
      <c r="A1039" s="51" t="s">
        <v>2759</v>
      </c>
      <c r="B1039" s="51" t="s">
        <v>2760</v>
      </c>
      <c r="C1039" s="51" t="s">
        <v>2761</v>
      </c>
      <c r="D1039" s="51" t="s">
        <v>366</v>
      </c>
      <c r="E1039" s="51" t="b">
        <v>0</v>
      </c>
      <c r="F1039" t="b">
        <v>0</v>
      </c>
      <c r="H1039" s="646"/>
      <c r="M1039" s="646"/>
      <c r="R1039" s="646"/>
    </row>
    <row r="1040">
      <c r="A1040" s="51" t="s">
        <v>2762</v>
      </c>
      <c r="B1040" s="51" t="s">
        <v>2763</v>
      </c>
      <c r="C1040" s="51" t="s">
        <v>2764</v>
      </c>
      <c r="D1040" s="51" t="s">
        <v>366</v>
      </c>
      <c r="E1040" s="51" t="b">
        <v>0</v>
      </c>
      <c r="F1040" t="b">
        <v>0</v>
      </c>
      <c r="H1040" s="646"/>
      <c r="M1040" s="646"/>
      <c r="R1040" s="646"/>
    </row>
    <row r="1041">
      <c r="A1041" s="51" t="s">
        <v>1654</v>
      </c>
      <c r="B1041" s="51" t="s">
        <v>2765</v>
      </c>
      <c r="C1041" s="51" t="s">
        <v>2766</v>
      </c>
      <c r="D1041" s="51" t="s">
        <v>366</v>
      </c>
      <c r="E1041" s="51" t="b">
        <v>0</v>
      </c>
      <c r="F1041" t="b">
        <v>0</v>
      </c>
      <c r="H1041" s="646"/>
      <c r="M1041" s="646"/>
      <c r="R1041" s="646"/>
    </row>
    <row r="1042">
      <c r="A1042" s="51" t="s">
        <v>2767</v>
      </c>
      <c r="B1042" s="51" t="s">
        <v>2652</v>
      </c>
      <c r="C1042" s="51" t="s">
        <v>2768</v>
      </c>
      <c r="D1042" s="51" t="s">
        <v>366</v>
      </c>
      <c r="E1042" s="51" t="b">
        <v>0</v>
      </c>
      <c r="F1042" t="b">
        <v>0</v>
      </c>
      <c r="H1042" s="646"/>
      <c r="M1042" s="646"/>
      <c r="R1042" s="646"/>
    </row>
    <row r="1043">
      <c r="A1043" s="51" t="s">
        <v>2769</v>
      </c>
      <c r="B1043" s="51" t="s">
        <v>2770</v>
      </c>
      <c r="C1043" s="51" t="s">
        <v>2771</v>
      </c>
      <c r="D1043" s="51" t="s">
        <v>366</v>
      </c>
      <c r="E1043" t="b">
        <v>0</v>
      </c>
      <c r="F1043" t="b">
        <v>0</v>
      </c>
      <c r="H1043" s="646"/>
      <c r="M1043" s="646"/>
      <c r="R1043" s="646"/>
    </row>
    <row r="1044">
      <c r="A1044" s="51" t="s">
        <v>2772</v>
      </c>
      <c r="B1044" s="51" t="s">
        <v>2773</v>
      </c>
      <c r="C1044" s="51" t="s">
        <v>2774</v>
      </c>
      <c r="D1044" s="51" t="s">
        <v>366</v>
      </c>
      <c r="E1044" s="51" t="b">
        <v>1</v>
      </c>
      <c r="F1044" t="b">
        <v>0</v>
      </c>
      <c r="H1044" s="646"/>
      <c r="M1044" s="646"/>
      <c r="R1044" s="646"/>
    </row>
    <row r="1045">
      <c r="A1045" s="51" t="s">
        <v>2772</v>
      </c>
      <c r="B1045" s="51" t="s">
        <v>1622</v>
      </c>
      <c r="C1045" s="51" t="s">
        <v>2775</v>
      </c>
      <c r="D1045" s="51" t="s">
        <v>366</v>
      </c>
      <c r="E1045" s="51" t="b">
        <v>0</v>
      </c>
      <c r="F1045" t="b">
        <v>0</v>
      </c>
      <c r="H1045" s="646"/>
      <c r="M1045" s="646"/>
      <c r="R1045" s="646"/>
    </row>
    <row r="1046">
      <c r="A1046" s="51" t="s">
        <v>2776</v>
      </c>
      <c r="B1046" s="51" t="s">
        <v>2777</v>
      </c>
      <c r="C1046" s="51" t="s">
        <v>2778</v>
      </c>
      <c r="D1046" s="51" t="s">
        <v>366</v>
      </c>
      <c r="E1046" s="51" t="b">
        <v>0</v>
      </c>
      <c r="F1046" t="b">
        <v>0</v>
      </c>
      <c r="H1046" s="646"/>
      <c r="M1046" s="646"/>
      <c r="R1046" s="646"/>
    </row>
    <row r="1047">
      <c r="A1047" s="51" t="s">
        <v>2779</v>
      </c>
      <c r="C1047" s="51" t="s">
        <v>2780</v>
      </c>
      <c r="D1047" s="51" t="s">
        <v>366</v>
      </c>
      <c r="E1047" s="51" t="b">
        <v>0</v>
      </c>
      <c r="F1047" t="b">
        <v>0</v>
      </c>
      <c r="H1047" s="646"/>
      <c r="M1047" s="646"/>
      <c r="R1047" s="646"/>
    </row>
    <row r="1048">
      <c r="A1048" s="51" t="s">
        <v>2781</v>
      </c>
      <c r="B1048" s="51" t="s">
        <v>2782</v>
      </c>
      <c r="C1048" s="51" t="s">
        <v>2783</v>
      </c>
      <c r="D1048" s="51" t="s">
        <v>366</v>
      </c>
      <c r="E1048" s="51" t="b">
        <v>0</v>
      </c>
      <c r="F1048" t="b">
        <v>0</v>
      </c>
      <c r="H1048" s="646"/>
      <c r="M1048" s="646"/>
      <c r="R1048" s="646"/>
    </row>
    <row r="1049">
      <c r="A1049" s="51" t="s">
        <v>2784</v>
      </c>
      <c r="C1049" s="51" t="s">
        <v>2785</v>
      </c>
      <c r="D1049" s="51" t="s">
        <v>370</v>
      </c>
      <c r="E1049" t="b">
        <v>0</v>
      </c>
      <c r="F1049" t="b">
        <v>0</v>
      </c>
      <c r="H1049" s="646"/>
      <c r="M1049" s="646"/>
      <c r="R1049" s="646"/>
    </row>
    <row r="1050">
      <c r="A1050" s="51" t="s">
        <v>2784</v>
      </c>
      <c r="C1050" s="51" t="s">
        <v>2786</v>
      </c>
      <c r="D1050" s="51" t="s">
        <v>370</v>
      </c>
      <c r="E1050" s="51" t="b">
        <v>0</v>
      </c>
      <c r="F1050" t="b">
        <v>0</v>
      </c>
      <c r="H1050" s="646"/>
      <c r="M1050" s="646"/>
      <c r="R1050" s="646"/>
    </row>
    <row r="1051">
      <c r="A1051" s="51" t="s">
        <v>2787</v>
      </c>
      <c r="B1051" s="51" t="s">
        <v>2081</v>
      </c>
      <c r="C1051" s="51" t="s">
        <v>2788</v>
      </c>
      <c r="D1051" s="51" t="s">
        <v>366</v>
      </c>
      <c r="E1051" s="51" t="b">
        <v>0</v>
      </c>
      <c r="F1051" t="b">
        <v>0</v>
      </c>
      <c r="H1051" s="646"/>
      <c r="M1051" s="646"/>
      <c r="R1051" s="646"/>
    </row>
    <row r="1052">
      <c r="A1052" s="51" t="s">
        <v>2789</v>
      </c>
      <c r="B1052" s="51" t="s">
        <v>2790</v>
      </c>
      <c r="C1052" s="51" t="s">
        <v>2791</v>
      </c>
      <c r="D1052" s="51" t="s">
        <v>366</v>
      </c>
      <c r="E1052" s="51" t="b">
        <v>0</v>
      </c>
      <c r="F1052" t="b">
        <v>0</v>
      </c>
      <c r="H1052" s="646"/>
      <c r="M1052" s="646"/>
      <c r="R1052" s="646"/>
    </row>
    <row r="1053">
      <c r="A1053" s="51" t="s">
        <v>2789</v>
      </c>
      <c r="B1053" s="51" t="s">
        <v>2790</v>
      </c>
      <c r="C1053" s="51" t="s">
        <v>2792</v>
      </c>
      <c r="D1053" s="51" t="s">
        <v>366</v>
      </c>
      <c r="E1053" s="51" t="b">
        <v>0</v>
      </c>
      <c r="F1053" t="b">
        <v>0</v>
      </c>
      <c r="H1053" s="646"/>
      <c r="M1053" s="646"/>
      <c r="R1053" s="646"/>
    </row>
    <row r="1054">
      <c r="A1054" s="51" t="s">
        <v>2789</v>
      </c>
      <c r="B1054" s="51" t="s">
        <v>2790</v>
      </c>
      <c r="C1054" s="51" t="s">
        <v>2793</v>
      </c>
      <c r="D1054" s="51" t="s">
        <v>366</v>
      </c>
      <c r="E1054" s="51" t="b">
        <v>0</v>
      </c>
      <c r="F1054" t="b">
        <v>0</v>
      </c>
      <c r="H1054" s="646"/>
      <c r="M1054" s="646"/>
      <c r="R1054" s="646"/>
    </row>
    <row r="1055">
      <c r="A1055" s="51" t="s">
        <v>2789</v>
      </c>
      <c r="B1055" s="51" t="s">
        <v>2790</v>
      </c>
      <c r="C1055" s="51" t="s">
        <v>2794</v>
      </c>
      <c r="D1055" s="51" t="s">
        <v>366</v>
      </c>
      <c r="E1055" s="51" t="b">
        <v>0</v>
      </c>
      <c r="F1055" t="b">
        <v>0</v>
      </c>
      <c r="H1055" s="646"/>
      <c r="M1055" s="646"/>
      <c r="R1055" s="646"/>
    </row>
    <row r="1056">
      <c r="A1056" s="51" t="s">
        <v>2789</v>
      </c>
      <c r="B1056" s="51" t="s">
        <v>2790</v>
      </c>
      <c r="C1056" s="51" t="s">
        <v>2795</v>
      </c>
      <c r="D1056" s="51" t="s">
        <v>366</v>
      </c>
      <c r="E1056" s="51" t="b">
        <v>0</v>
      </c>
      <c r="F1056" t="b">
        <v>0</v>
      </c>
      <c r="H1056" s="646"/>
      <c r="M1056" s="646"/>
      <c r="R1056" s="646"/>
    </row>
    <row r="1057">
      <c r="D1057" s="51" t="s">
        <v>366</v>
      </c>
      <c r="E1057" s="51" t="b">
        <v>0</v>
      </c>
      <c r="F1057" t="b">
        <v>0</v>
      </c>
      <c r="H1057" s="646"/>
      <c r="M1057" s="646"/>
      <c r="R1057" s="646"/>
    </row>
    <row r="1058">
      <c r="D1058" s="51" t="s">
        <v>366</v>
      </c>
      <c r="E1058" s="51" t="b">
        <v>0</v>
      </c>
      <c r="F1058" t="b">
        <v>0</v>
      </c>
      <c r="H1058" s="646"/>
      <c r="M1058" s="646"/>
      <c r="R1058" s="646"/>
    </row>
    <row r="1059">
      <c r="D1059" s="51" t="s">
        <v>366</v>
      </c>
      <c r="E1059" s="51" t="b">
        <v>0</v>
      </c>
      <c r="F1059" t="b">
        <v>0</v>
      </c>
      <c r="H1059" s="646"/>
      <c r="M1059" s="646"/>
      <c r="R1059" s="646"/>
    </row>
    <row r="1060">
      <c r="D1060" s="51" t="s">
        <v>366</v>
      </c>
      <c r="E1060" s="51" t="b">
        <v>0</v>
      </c>
      <c r="F1060" t="b">
        <v>0</v>
      </c>
      <c r="H1060" s="646"/>
      <c r="M1060" s="646"/>
      <c r="R1060" s="646"/>
    </row>
    <row r="1061">
      <c r="D1061" s="51" t="s">
        <v>366</v>
      </c>
      <c r="E1061" s="51" t="b">
        <v>0</v>
      </c>
      <c r="F1061" t="b">
        <v>0</v>
      </c>
      <c r="H1061" s="646"/>
      <c r="M1061" s="646"/>
      <c r="R1061" s="646"/>
    </row>
    <row r="1062">
      <c r="D1062" s="51" t="s">
        <v>366</v>
      </c>
      <c r="E1062" s="51" t="b">
        <v>0</v>
      </c>
      <c r="F1062" t="b">
        <v>0</v>
      </c>
      <c r="H1062" s="646"/>
      <c r="M1062" s="646"/>
      <c r="R1062" s="646"/>
    </row>
    <row r="1063">
      <c r="D1063" s="51" t="s">
        <v>366</v>
      </c>
      <c r="E1063" s="51" t="b">
        <v>0</v>
      </c>
      <c r="F1063" t="b">
        <v>0</v>
      </c>
      <c r="H1063" s="646"/>
      <c r="M1063" s="646"/>
      <c r="R1063" s="646"/>
    </row>
    <row r="1064">
      <c r="D1064" s="51" t="s">
        <v>366</v>
      </c>
      <c r="E1064" s="51" t="b">
        <v>0</v>
      </c>
      <c r="F1064" t="b">
        <v>0</v>
      </c>
      <c r="H1064" s="646"/>
      <c r="M1064" s="646"/>
      <c r="R1064" s="646"/>
    </row>
    <row r="1065">
      <c r="D1065" s="51" t="s">
        <v>366</v>
      </c>
      <c r="E1065" s="51" t="b">
        <v>0</v>
      </c>
      <c r="F1065" t="b">
        <v>0</v>
      </c>
      <c r="H1065" s="646"/>
      <c r="M1065" s="646"/>
      <c r="R1065" s="646"/>
    </row>
    <row r="1066">
      <c r="D1066" s="51" t="s">
        <v>366</v>
      </c>
      <c r="E1066" s="51" t="b">
        <v>0</v>
      </c>
      <c r="F1066" t="b">
        <v>0</v>
      </c>
      <c r="H1066" s="646"/>
      <c r="M1066" s="646"/>
      <c r="R1066" s="646"/>
    </row>
    <row r="1067">
      <c r="D1067" s="51" t="s">
        <v>366</v>
      </c>
      <c r="E1067" s="51" t="b">
        <v>0</v>
      </c>
      <c r="F1067" t="b">
        <v>0</v>
      </c>
      <c r="H1067" s="646"/>
      <c r="M1067" s="646"/>
      <c r="R1067" s="646"/>
    </row>
    <row r="1068">
      <c r="D1068" s="51" t="s">
        <v>366</v>
      </c>
      <c r="E1068" s="51" t="b">
        <v>0</v>
      </c>
      <c r="F1068" t="b">
        <v>0</v>
      </c>
      <c r="H1068" s="646"/>
      <c r="M1068" s="646"/>
      <c r="R1068" s="646"/>
    </row>
    <row r="1069">
      <c r="D1069" s="51" t="s">
        <v>366</v>
      </c>
      <c r="E1069" s="51" t="b">
        <v>0</v>
      </c>
      <c r="F1069" t="b">
        <v>0</v>
      </c>
      <c r="H1069" s="646"/>
      <c r="M1069" s="646"/>
      <c r="R1069" s="646"/>
    </row>
    <row r="1070">
      <c r="D1070" s="51" t="s">
        <v>366</v>
      </c>
      <c r="E1070" s="51" t="b">
        <v>0</v>
      </c>
      <c r="F1070" t="b">
        <v>0</v>
      </c>
      <c r="H1070" s="646"/>
      <c r="M1070" s="646"/>
      <c r="R1070" s="646"/>
    </row>
    <row r="1071">
      <c r="D1071" s="51" t="s">
        <v>366</v>
      </c>
      <c r="E1071" s="51" t="b">
        <v>0</v>
      </c>
      <c r="F1071" t="b">
        <v>0</v>
      </c>
      <c r="H1071" s="646"/>
      <c r="M1071" s="646"/>
      <c r="R1071" s="646"/>
    </row>
    <row r="1072">
      <c r="D1072" s="51" t="s">
        <v>366</v>
      </c>
      <c r="E1072" s="51" t="b">
        <v>0</v>
      </c>
      <c r="F1072" t="b">
        <v>0</v>
      </c>
      <c r="H1072" s="646"/>
      <c r="M1072" s="646"/>
      <c r="R1072" s="646"/>
    </row>
    <row r="1073">
      <c r="D1073" s="51" t="s">
        <v>366</v>
      </c>
      <c r="E1073" s="51" t="b">
        <v>0</v>
      </c>
      <c r="F1073" t="b">
        <v>0</v>
      </c>
      <c r="H1073" s="646"/>
      <c r="M1073" s="646"/>
      <c r="R1073" s="646"/>
    </row>
    <row r="1074">
      <c r="D1074" s="51" t="s">
        <v>366</v>
      </c>
      <c r="E1074" s="51" t="b">
        <v>0</v>
      </c>
      <c r="F1074" t="b">
        <v>0</v>
      </c>
      <c r="H1074" s="646"/>
      <c r="M1074" s="646"/>
      <c r="R1074" s="646"/>
    </row>
    <row r="1075">
      <c r="D1075" s="51" t="s">
        <v>366</v>
      </c>
      <c r="E1075" s="51" t="b">
        <v>0</v>
      </c>
      <c r="F1075" t="b">
        <v>0</v>
      </c>
      <c r="H1075" s="646"/>
      <c r="M1075" s="646"/>
      <c r="R1075" s="646"/>
    </row>
    <row r="1076">
      <c r="D1076" s="51" t="s">
        <v>366</v>
      </c>
      <c r="E1076" s="51" t="b">
        <v>0</v>
      </c>
      <c r="F1076" t="b">
        <v>0</v>
      </c>
      <c r="H1076" s="646"/>
      <c r="M1076" s="646"/>
      <c r="R1076" s="646"/>
    </row>
    <row r="1077">
      <c r="D1077" s="51" t="s">
        <v>366</v>
      </c>
      <c r="E1077" s="51" t="b">
        <v>0</v>
      </c>
      <c r="F1077" t="b">
        <v>0</v>
      </c>
      <c r="H1077" s="646"/>
      <c r="M1077" s="646"/>
      <c r="R1077" s="646"/>
    </row>
    <row r="1078">
      <c r="D1078" s="51" t="s">
        <v>366</v>
      </c>
      <c r="E1078" s="51" t="b">
        <v>0</v>
      </c>
      <c r="F1078" t="b">
        <v>0</v>
      </c>
      <c r="H1078" s="646"/>
      <c r="M1078" s="646"/>
      <c r="R1078" s="646"/>
    </row>
    <row r="1079">
      <c r="D1079" s="51" t="s">
        <v>366</v>
      </c>
      <c r="E1079" s="51" t="b">
        <v>0</v>
      </c>
      <c r="F1079" t="b">
        <v>0</v>
      </c>
      <c r="H1079" s="646"/>
      <c r="M1079" s="646"/>
      <c r="R1079" s="646"/>
    </row>
    <row r="1080">
      <c r="D1080" s="51" t="s">
        <v>366</v>
      </c>
      <c r="E1080" s="51" t="b">
        <v>0</v>
      </c>
      <c r="F1080" t="b">
        <v>0</v>
      </c>
      <c r="H1080" s="646"/>
      <c r="M1080" s="646"/>
      <c r="R1080" s="646"/>
    </row>
    <row r="1081">
      <c r="D1081" s="51" t="s">
        <v>366</v>
      </c>
      <c r="E1081" s="51" t="b">
        <v>0</v>
      </c>
      <c r="F1081" t="b">
        <v>0</v>
      </c>
      <c r="H1081" s="646"/>
      <c r="M1081" s="646"/>
      <c r="R1081" s="646"/>
    </row>
    <row r="1082">
      <c r="D1082" s="51" t="s">
        <v>366</v>
      </c>
      <c r="E1082" s="51" t="b">
        <v>0</v>
      </c>
      <c r="F1082" t="b">
        <v>0</v>
      </c>
      <c r="H1082" s="646"/>
      <c r="M1082" s="646"/>
      <c r="R1082" s="646"/>
    </row>
    <row r="1083">
      <c r="D1083" s="51" t="s">
        <v>366</v>
      </c>
      <c r="E1083" s="51" t="b">
        <v>0</v>
      </c>
      <c r="F1083" t="b">
        <v>0</v>
      </c>
      <c r="H1083" s="646"/>
      <c r="M1083" s="646"/>
      <c r="R1083" s="646"/>
    </row>
    <row r="1084">
      <c r="D1084" s="51" t="s">
        <v>366</v>
      </c>
      <c r="E1084" s="51" t="b">
        <v>0</v>
      </c>
      <c r="F1084" t="b">
        <v>0</v>
      </c>
      <c r="H1084" s="646"/>
      <c r="M1084" s="646"/>
      <c r="R1084" s="646"/>
    </row>
    <row r="1085">
      <c r="D1085" s="51" t="s">
        <v>366</v>
      </c>
      <c r="E1085" s="51" t="b">
        <v>0</v>
      </c>
      <c r="F1085" t="b">
        <v>0</v>
      </c>
      <c r="H1085" s="646"/>
      <c r="M1085" s="646"/>
      <c r="R1085" s="646"/>
    </row>
    <row r="1086">
      <c r="D1086" s="51" t="s">
        <v>366</v>
      </c>
      <c r="E1086" s="51" t="b">
        <v>0</v>
      </c>
      <c r="F1086" t="b">
        <v>0</v>
      </c>
      <c r="H1086" s="646"/>
      <c r="M1086" s="646"/>
      <c r="R1086" s="646"/>
    </row>
    <row r="1087">
      <c r="D1087" s="51" t="s">
        <v>366</v>
      </c>
      <c r="E1087" s="51" t="b">
        <v>0</v>
      </c>
      <c r="F1087" t="b">
        <v>0</v>
      </c>
      <c r="H1087" s="646"/>
      <c r="M1087" s="646"/>
      <c r="R1087" s="646"/>
    </row>
    <row r="1088">
      <c r="D1088" s="51" t="s">
        <v>366</v>
      </c>
      <c r="E1088" s="51" t="b">
        <v>0</v>
      </c>
      <c r="F1088" t="b">
        <v>0</v>
      </c>
      <c r="H1088" s="646"/>
      <c r="M1088" s="646"/>
      <c r="R1088" s="646"/>
    </row>
    <row r="1089">
      <c r="D1089" s="51" t="s">
        <v>366</v>
      </c>
      <c r="E1089" s="51" t="b">
        <v>0</v>
      </c>
      <c r="F1089" t="b">
        <v>0</v>
      </c>
      <c r="H1089" s="646"/>
      <c r="M1089" s="646"/>
      <c r="R1089" s="646"/>
    </row>
    <row r="1090">
      <c r="D1090" s="51" t="s">
        <v>366</v>
      </c>
      <c r="E1090" s="51" t="b">
        <v>0</v>
      </c>
      <c r="F1090" t="b">
        <v>0</v>
      </c>
      <c r="H1090" s="646"/>
      <c r="M1090" s="646"/>
      <c r="R1090" s="646"/>
    </row>
    <row r="1091">
      <c r="D1091" s="51" t="s">
        <v>366</v>
      </c>
      <c r="E1091" s="51" t="b">
        <v>0</v>
      </c>
      <c r="F1091" t="b">
        <v>0</v>
      </c>
      <c r="H1091" s="646"/>
      <c r="M1091" s="646"/>
      <c r="R1091" s="646"/>
    </row>
    <row r="1092">
      <c r="D1092" s="51" t="s">
        <v>366</v>
      </c>
      <c r="E1092" s="51" t="b">
        <v>0</v>
      </c>
      <c r="F1092" t="b">
        <v>0</v>
      </c>
      <c r="H1092" s="646"/>
      <c r="M1092" s="646"/>
      <c r="R1092" s="646"/>
    </row>
    <row r="1093">
      <c r="D1093" s="51" t="s">
        <v>366</v>
      </c>
      <c r="E1093" s="51" t="b">
        <v>0</v>
      </c>
      <c r="F1093" t="b">
        <v>0</v>
      </c>
      <c r="H1093" s="646"/>
      <c r="M1093" s="646"/>
      <c r="R1093" s="646"/>
    </row>
    <row r="1094">
      <c r="D1094" s="51" t="s">
        <v>366</v>
      </c>
      <c r="E1094" s="51" t="b">
        <v>0</v>
      </c>
      <c r="F1094" t="b">
        <v>0</v>
      </c>
      <c r="H1094" s="646"/>
      <c r="M1094" s="646"/>
      <c r="R1094" s="646"/>
    </row>
    <row r="1095">
      <c r="D1095" s="51" t="s">
        <v>366</v>
      </c>
      <c r="E1095" s="51" t="b">
        <v>0</v>
      </c>
      <c r="F1095" t="b">
        <v>0</v>
      </c>
      <c r="H1095" s="646"/>
      <c r="M1095" s="646"/>
      <c r="R1095" s="646"/>
    </row>
    <row r="1096">
      <c r="D1096" s="51" t="s">
        <v>366</v>
      </c>
      <c r="E1096" s="51" t="b">
        <v>0</v>
      </c>
      <c r="F1096" t="b">
        <v>0</v>
      </c>
      <c r="H1096" s="646"/>
      <c r="M1096" s="646"/>
      <c r="R1096" s="646"/>
    </row>
    <row r="1097">
      <c r="D1097" s="51" t="s">
        <v>366</v>
      </c>
      <c r="E1097" s="51" t="b">
        <v>0</v>
      </c>
      <c r="F1097" t="b">
        <v>0</v>
      </c>
      <c r="H1097" s="646"/>
      <c r="M1097" s="646"/>
      <c r="R1097" s="646"/>
    </row>
    <row r="1098">
      <c r="D1098" s="51" t="s">
        <v>366</v>
      </c>
      <c r="E1098" s="51" t="b">
        <v>0</v>
      </c>
      <c r="F1098" t="b">
        <v>0</v>
      </c>
      <c r="H1098" s="646"/>
      <c r="M1098" s="646"/>
      <c r="R1098" s="646"/>
    </row>
    <row r="1099">
      <c r="D1099" s="51" t="s">
        <v>366</v>
      </c>
      <c r="E1099" s="51" t="b">
        <v>0</v>
      </c>
      <c r="F1099" t="b">
        <v>0</v>
      </c>
      <c r="H1099" s="646"/>
      <c r="M1099" s="646"/>
      <c r="R1099" s="646"/>
    </row>
    <row r="1100">
      <c r="D1100" s="51" t="s">
        <v>366</v>
      </c>
      <c r="E1100" s="51" t="b">
        <v>0</v>
      </c>
      <c r="F1100" t="b">
        <v>0</v>
      </c>
      <c r="H1100" s="646"/>
      <c r="M1100" s="646"/>
      <c r="R1100" s="646"/>
    </row>
    <row r="1101">
      <c r="D1101" s="51" t="s">
        <v>366</v>
      </c>
      <c r="E1101" s="51" t="b">
        <v>0</v>
      </c>
      <c r="F1101" t="b">
        <v>0</v>
      </c>
      <c r="H1101" s="646"/>
      <c r="M1101" s="646"/>
      <c r="R1101" s="646"/>
    </row>
    <row r="1102">
      <c r="D1102" s="51" t="s">
        <v>366</v>
      </c>
      <c r="E1102" s="51" t="b">
        <v>0</v>
      </c>
      <c r="F1102" t="b">
        <v>0</v>
      </c>
      <c r="H1102" s="646"/>
      <c r="M1102" s="646"/>
      <c r="R1102" s="646"/>
    </row>
    <row r="1103">
      <c r="D1103" s="51" t="s">
        <v>366</v>
      </c>
      <c r="E1103" s="51" t="b">
        <v>0</v>
      </c>
      <c r="F1103" t="b">
        <v>0</v>
      </c>
      <c r="H1103" s="646"/>
      <c r="M1103" s="646"/>
      <c r="R1103" s="646"/>
    </row>
    <row r="1104">
      <c r="D1104" s="51" t="s">
        <v>366</v>
      </c>
      <c r="E1104" s="51" t="b">
        <v>0</v>
      </c>
      <c r="F1104" t="b">
        <v>0</v>
      </c>
      <c r="H1104" s="646"/>
      <c r="M1104" s="646"/>
      <c r="R1104" s="646"/>
    </row>
    <row r="1105">
      <c r="D1105" s="51" t="s">
        <v>366</v>
      </c>
      <c r="E1105" s="51" t="b">
        <v>0</v>
      </c>
      <c r="F1105" t="b">
        <v>0</v>
      </c>
      <c r="H1105" s="646"/>
      <c r="M1105" s="646"/>
      <c r="R1105" s="646"/>
    </row>
    <row r="1106">
      <c r="D1106" s="51" t="s">
        <v>366</v>
      </c>
      <c r="E1106" s="51" t="b">
        <v>0</v>
      </c>
      <c r="F1106" t="b">
        <v>0</v>
      </c>
      <c r="H1106" s="646"/>
      <c r="M1106" s="646"/>
      <c r="R1106" s="646"/>
    </row>
    <row r="1107">
      <c r="D1107" s="51" t="s">
        <v>366</v>
      </c>
      <c r="E1107" s="51" t="b">
        <v>0</v>
      </c>
      <c r="F1107" t="b">
        <v>0</v>
      </c>
      <c r="H1107" s="646"/>
      <c r="M1107" s="646"/>
      <c r="R1107" s="646"/>
    </row>
    <row r="1108">
      <c r="D1108" s="51" t="s">
        <v>366</v>
      </c>
      <c r="E1108" s="51" t="b">
        <v>0</v>
      </c>
      <c r="F1108" t="b">
        <v>0</v>
      </c>
      <c r="H1108" s="646"/>
      <c r="M1108" s="646"/>
      <c r="R1108" s="646"/>
    </row>
    <row r="1109">
      <c r="D1109" s="51" t="s">
        <v>366</v>
      </c>
      <c r="E1109" s="51" t="b">
        <v>0</v>
      </c>
      <c r="F1109" t="b">
        <v>0</v>
      </c>
      <c r="H1109" s="646"/>
      <c r="M1109" s="646"/>
      <c r="R1109" s="646"/>
    </row>
    <row r="1110">
      <c r="D1110" s="51" t="s">
        <v>366</v>
      </c>
      <c r="E1110" s="51" t="b">
        <v>0</v>
      </c>
      <c r="F1110" t="b">
        <v>0</v>
      </c>
      <c r="H1110" s="646"/>
      <c r="M1110" s="646"/>
      <c r="R1110" s="646"/>
    </row>
    <row r="1111">
      <c r="D1111" s="51" t="s">
        <v>366</v>
      </c>
      <c r="E1111" s="51" t="b">
        <v>0</v>
      </c>
      <c r="F1111" t="b">
        <v>0</v>
      </c>
      <c r="H1111" s="646"/>
      <c r="M1111" s="646"/>
      <c r="R1111" s="646"/>
    </row>
    <row r="1112">
      <c r="D1112" s="51" t="s">
        <v>366</v>
      </c>
      <c r="E1112" s="51" t="b">
        <v>0</v>
      </c>
      <c r="F1112" t="b">
        <v>0</v>
      </c>
      <c r="H1112" s="646"/>
      <c r="M1112" s="646"/>
      <c r="R1112" s="646"/>
    </row>
    <row r="1113">
      <c r="D1113" s="51" t="s">
        <v>366</v>
      </c>
      <c r="E1113" s="51" t="b">
        <v>0</v>
      </c>
      <c r="F1113" t="b">
        <v>0</v>
      </c>
      <c r="H1113" s="646"/>
      <c r="M1113" s="646"/>
      <c r="R1113" s="646"/>
    </row>
    <row r="1114">
      <c r="D1114" s="51" t="s">
        <v>366</v>
      </c>
      <c r="E1114" s="51" t="b">
        <v>0</v>
      </c>
      <c r="F1114" t="b">
        <v>0</v>
      </c>
      <c r="H1114" s="646"/>
      <c r="M1114" s="646"/>
      <c r="R1114" s="646"/>
    </row>
    <row r="1115">
      <c r="D1115" s="51" t="s">
        <v>366</v>
      </c>
      <c r="E1115" s="51" t="b">
        <v>0</v>
      </c>
      <c r="F1115" t="b">
        <v>0</v>
      </c>
      <c r="H1115" s="646"/>
      <c r="M1115" s="646"/>
      <c r="R1115" s="646"/>
    </row>
    <row r="1116">
      <c r="D1116" s="51" t="s">
        <v>366</v>
      </c>
      <c r="E1116" s="51" t="b">
        <v>0</v>
      </c>
      <c r="F1116" t="b">
        <v>0</v>
      </c>
      <c r="H1116" s="646"/>
      <c r="M1116" s="646"/>
      <c r="R1116" s="646"/>
    </row>
    <row r="1117">
      <c r="D1117" s="51" t="s">
        <v>366</v>
      </c>
      <c r="E1117" s="51" t="b">
        <v>0</v>
      </c>
      <c r="F1117" t="b">
        <v>0</v>
      </c>
      <c r="H1117" s="646"/>
      <c r="M1117" s="646"/>
      <c r="R1117" s="646"/>
    </row>
    <row r="1118">
      <c r="D1118" s="51" t="s">
        <v>366</v>
      </c>
      <c r="E1118" s="51" t="b">
        <v>0</v>
      </c>
      <c r="F1118" t="b">
        <v>0</v>
      </c>
      <c r="H1118" s="646"/>
      <c r="M1118" s="646"/>
      <c r="R1118" s="646"/>
    </row>
    <row r="1119">
      <c r="D1119" s="51" t="s">
        <v>366</v>
      </c>
      <c r="E1119" s="51" t="b">
        <v>0</v>
      </c>
      <c r="F1119" t="b">
        <v>0</v>
      </c>
      <c r="H1119" s="646"/>
      <c r="M1119" s="646"/>
      <c r="R1119" s="646"/>
    </row>
    <row r="1120">
      <c r="D1120" s="51" t="s">
        <v>366</v>
      </c>
      <c r="E1120" s="51" t="b">
        <v>0</v>
      </c>
      <c r="F1120" t="b">
        <v>0</v>
      </c>
      <c r="H1120" s="646"/>
      <c r="M1120" s="646"/>
      <c r="R1120" s="646"/>
    </row>
    <row r="1121">
      <c r="D1121" s="51" t="s">
        <v>366</v>
      </c>
      <c r="E1121" s="51" t="b">
        <v>0</v>
      </c>
      <c r="F1121" t="b">
        <v>0</v>
      </c>
      <c r="H1121" s="646"/>
      <c r="M1121" s="646"/>
      <c r="R1121" s="646"/>
    </row>
    <row r="1122">
      <c r="D1122" s="51" t="s">
        <v>366</v>
      </c>
      <c r="E1122" s="51" t="b">
        <v>0</v>
      </c>
      <c r="F1122" t="b">
        <v>0</v>
      </c>
      <c r="H1122" s="646"/>
      <c r="M1122" s="646"/>
      <c r="R1122" s="646"/>
    </row>
    <row r="1123">
      <c r="D1123" s="51" t="s">
        <v>366</v>
      </c>
      <c r="E1123" s="51" t="b">
        <v>0</v>
      </c>
      <c r="F1123" t="b">
        <v>0</v>
      </c>
      <c r="H1123" s="646"/>
      <c r="M1123" s="646"/>
      <c r="R1123" s="646"/>
    </row>
    <row r="1124">
      <c r="D1124" s="51" t="s">
        <v>366</v>
      </c>
      <c r="E1124" s="51" t="b">
        <v>0</v>
      </c>
      <c r="F1124" t="b">
        <v>0</v>
      </c>
      <c r="H1124" s="646"/>
      <c r="M1124" s="646"/>
      <c r="R1124" s="646"/>
    </row>
    <row r="1125">
      <c r="D1125" s="51" t="s">
        <v>366</v>
      </c>
      <c r="E1125" s="51" t="b">
        <v>0</v>
      </c>
      <c r="F1125" t="b">
        <v>0</v>
      </c>
      <c r="H1125" s="646"/>
      <c r="M1125" s="646"/>
      <c r="R1125" s="646"/>
    </row>
    <row r="1126">
      <c r="D1126" s="51" t="s">
        <v>366</v>
      </c>
      <c r="E1126" s="51" t="b">
        <v>0</v>
      </c>
      <c r="F1126" t="b">
        <v>0</v>
      </c>
      <c r="H1126" s="646"/>
      <c r="M1126" s="646"/>
      <c r="R1126" s="646"/>
    </row>
    <row r="1127">
      <c r="D1127" s="51" t="s">
        <v>366</v>
      </c>
      <c r="E1127" s="51" t="b">
        <v>0</v>
      </c>
      <c r="F1127" t="b">
        <v>0</v>
      </c>
      <c r="H1127" s="646"/>
      <c r="M1127" s="646"/>
      <c r="R1127" s="646"/>
    </row>
    <row r="1128">
      <c r="D1128" s="51" t="s">
        <v>366</v>
      </c>
      <c r="E1128" s="51" t="b">
        <v>0</v>
      </c>
      <c r="F1128" t="b">
        <v>0</v>
      </c>
      <c r="H1128" s="646"/>
      <c r="M1128" s="646"/>
      <c r="R1128" s="646"/>
    </row>
    <row r="1129">
      <c r="D1129" s="51" t="s">
        <v>366</v>
      </c>
      <c r="E1129" s="51" t="b">
        <v>0</v>
      </c>
      <c r="F1129" t="b">
        <v>0</v>
      </c>
      <c r="H1129" s="646"/>
      <c r="M1129" s="646"/>
      <c r="R1129" s="646"/>
    </row>
    <row r="1130">
      <c r="D1130" s="51" t="s">
        <v>366</v>
      </c>
      <c r="E1130" s="51" t="b">
        <v>0</v>
      </c>
      <c r="F1130" t="b">
        <v>0</v>
      </c>
      <c r="H1130" s="646"/>
      <c r="M1130" s="646"/>
      <c r="R1130" s="646"/>
    </row>
    <row r="1131">
      <c r="D1131" s="51" t="s">
        <v>366</v>
      </c>
      <c r="E1131" s="51" t="b">
        <v>0</v>
      </c>
      <c r="F1131" t="b">
        <v>0</v>
      </c>
      <c r="H1131" s="646"/>
      <c r="M1131" s="646"/>
      <c r="R1131" s="646"/>
    </row>
    <row r="1132">
      <c r="D1132" s="51" t="s">
        <v>366</v>
      </c>
      <c r="E1132" s="51" t="b">
        <v>0</v>
      </c>
      <c r="F1132" t="b">
        <v>0</v>
      </c>
      <c r="H1132" s="646"/>
      <c r="M1132" s="646"/>
      <c r="R1132" s="646"/>
    </row>
    <row r="1133">
      <c r="D1133" s="51" t="s">
        <v>366</v>
      </c>
      <c r="E1133" s="51" t="b">
        <v>0</v>
      </c>
      <c r="F1133" t="b">
        <v>0</v>
      </c>
      <c r="H1133" s="646"/>
      <c r="M1133" s="646"/>
      <c r="R1133" s="646"/>
    </row>
    <row r="1134">
      <c r="D1134" s="51" t="s">
        <v>366</v>
      </c>
      <c r="E1134" s="51" t="b">
        <v>0</v>
      </c>
      <c r="F1134" t="b">
        <v>0</v>
      </c>
      <c r="H1134" s="646"/>
      <c r="M1134" s="646"/>
      <c r="R1134" s="646"/>
    </row>
    <row r="1135">
      <c r="D1135" s="51" t="s">
        <v>366</v>
      </c>
      <c r="E1135" s="51" t="b">
        <v>0</v>
      </c>
      <c r="F1135" t="b">
        <v>0</v>
      </c>
      <c r="H1135" s="646"/>
      <c r="M1135" s="646"/>
      <c r="R1135" s="646"/>
    </row>
    <row r="1136">
      <c r="D1136" s="51" t="s">
        <v>366</v>
      </c>
      <c r="E1136" s="51" t="b">
        <v>0</v>
      </c>
      <c r="F1136" t="b">
        <v>0</v>
      </c>
      <c r="H1136" s="646"/>
      <c r="M1136" s="646"/>
      <c r="R1136" s="646"/>
    </row>
    <row r="1137">
      <c r="D1137" s="51" t="s">
        <v>366</v>
      </c>
      <c r="E1137" s="51" t="b">
        <v>0</v>
      </c>
      <c r="F1137" t="b">
        <v>0</v>
      </c>
      <c r="H1137" s="646"/>
      <c r="M1137" s="646"/>
      <c r="R1137" s="646"/>
    </row>
    <row r="1138">
      <c r="D1138" s="51" t="s">
        <v>366</v>
      </c>
      <c r="E1138" s="51" t="b">
        <v>0</v>
      </c>
      <c r="F1138" t="b">
        <v>0</v>
      </c>
      <c r="H1138" s="646"/>
      <c r="M1138" s="646"/>
      <c r="R1138" s="646"/>
    </row>
    <row r="1139">
      <c r="D1139" s="51" t="s">
        <v>366</v>
      </c>
      <c r="E1139" s="51" t="b">
        <v>0</v>
      </c>
      <c r="F1139" t="b">
        <v>0</v>
      </c>
      <c r="H1139" s="646"/>
      <c r="M1139" s="646"/>
      <c r="R1139" s="646"/>
    </row>
    <row r="1140">
      <c r="D1140" s="51" t="s">
        <v>366</v>
      </c>
      <c r="E1140" s="51" t="b">
        <v>0</v>
      </c>
      <c r="F1140" t="b">
        <v>0</v>
      </c>
      <c r="H1140" s="646"/>
      <c r="M1140" s="646"/>
      <c r="R1140" s="646"/>
    </row>
    <row r="1141">
      <c r="D1141" s="51" t="s">
        <v>366</v>
      </c>
      <c r="E1141" s="51" t="b">
        <v>0</v>
      </c>
      <c r="F1141" t="b">
        <v>0</v>
      </c>
      <c r="H1141" s="646"/>
      <c r="M1141" s="646"/>
      <c r="R1141" s="646"/>
    </row>
    <row r="1142">
      <c r="D1142" s="51" t="s">
        <v>366</v>
      </c>
      <c r="E1142" s="51" t="b">
        <v>0</v>
      </c>
      <c r="F1142" t="b">
        <v>0</v>
      </c>
      <c r="H1142" s="646"/>
      <c r="M1142" s="646"/>
      <c r="R1142" s="646"/>
    </row>
    <row r="1143">
      <c r="D1143" s="51" t="s">
        <v>366</v>
      </c>
      <c r="E1143" s="51" t="b">
        <v>0</v>
      </c>
      <c r="F1143" t="b">
        <v>0</v>
      </c>
      <c r="H1143" s="646"/>
      <c r="M1143" s="646"/>
      <c r="R1143" s="646"/>
    </row>
    <row r="1144">
      <c r="D1144" s="51" t="s">
        <v>366</v>
      </c>
      <c r="E1144" s="51" t="b">
        <v>0</v>
      </c>
      <c r="F1144" t="b">
        <v>0</v>
      </c>
      <c r="H1144" s="646"/>
      <c r="M1144" s="646"/>
      <c r="R1144" s="646"/>
    </row>
    <row r="1145">
      <c r="D1145" s="51" t="s">
        <v>366</v>
      </c>
      <c r="E1145" s="51" t="b">
        <v>0</v>
      </c>
      <c r="F1145" t="b">
        <v>0</v>
      </c>
      <c r="H1145" s="646"/>
      <c r="M1145" s="646"/>
      <c r="R1145" s="646"/>
    </row>
    <row r="1146">
      <c r="D1146" s="51" t="s">
        <v>366</v>
      </c>
      <c r="E1146" s="51" t="b">
        <v>0</v>
      </c>
      <c r="F1146" t="b">
        <v>0</v>
      </c>
      <c r="H1146" s="646"/>
      <c r="M1146" s="646"/>
      <c r="R1146" s="646"/>
    </row>
    <row r="1147">
      <c r="D1147" s="51" t="s">
        <v>366</v>
      </c>
      <c r="E1147" s="51" t="b">
        <v>0</v>
      </c>
      <c r="F1147" t="b">
        <v>0</v>
      </c>
      <c r="H1147" s="646"/>
      <c r="M1147" s="646"/>
      <c r="R1147" s="646"/>
    </row>
    <row r="1148">
      <c r="D1148" s="51" t="s">
        <v>366</v>
      </c>
      <c r="E1148" s="51" t="b">
        <v>0</v>
      </c>
      <c r="F1148" t="b">
        <v>0</v>
      </c>
      <c r="H1148" s="646"/>
      <c r="M1148" s="646"/>
      <c r="R1148" s="646"/>
    </row>
    <row r="1149">
      <c r="D1149" s="51" t="s">
        <v>366</v>
      </c>
      <c r="E1149" s="51" t="b">
        <v>0</v>
      </c>
      <c r="F1149" t="b">
        <v>0</v>
      </c>
      <c r="H1149" s="646"/>
      <c r="M1149" s="646"/>
      <c r="R1149" s="646"/>
    </row>
    <row r="1150">
      <c r="D1150" s="51" t="s">
        <v>366</v>
      </c>
      <c r="E1150" s="51" t="b">
        <v>0</v>
      </c>
      <c r="F1150" t="b">
        <v>0</v>
      </c>
      <c r="H1150" s="646"/>
      <c r="M1150" s="646"/>
      <c r="R1150" s="646"/>
    </row>
    <row r="1151">
      <c r="D1151" s="51" t="s">
        <v>366</v>
      </c>
      <c r="E1151" s="51" t="b">
        <v>0</v>
      </c>
      <c r="F1151" t="b">
        <v>0</v>
      </c>
      <c r="H1151" s="646"/>
      <c r="M1151" s="646"/>
      <c r="R1151" s="646"/>
    </row>
    <row r="1152">
      <c r="D1152" s="51" t="s">
        <v>366</v>
      </c>
      <c r="E1152" s="51" t="b">
        <v>0</v>
      </c>
      <c r="F1152" t="b">
        <v>0</v>
      </c>
      <c r="H1152" s="646"/>
      <c r="M1152" s="646"/>
      <c r="R1152" s="646"/>
    </row>
    <row r="1153">
      <c r="D1153" s="51" t="s">
        <v>366</v>
      </c>
      <c r="E1153" s="51" t="b">
        <v>0</v>
      </c>
      <c r="F1153" t="b">
        <v>0</v>
      </c>
      <c r="H1153" s="646"/>
      <c r="M1153" s="646"/>
      <c r="R1153" s="646"/>
    </row>
    <row r="1154">
      <c r="D1154" s="51" t="s">
        <v>366</v>
      </c>
      <c r="E1154" s="51" t="b">
        <v>0</v>
      </c>
      <c r="F1154" t="b">
        <v>0</v>
      </c>
      <c r="H1154" s="646"/>
      <c r="M1154" s="646"/>
      <c r="R1154" s="646"/>
    </row>
    <row r="1155">
      <c r="D1155" s="51" t="s">
        <v>366</v>
      </c>
      <c r="E1155" s="51" t="b">
        <v>0</v>
      </c>
      <c r="F1155" t="b">
        <v>0</v>
      </c>
      <c r="H1155" s="646"/>
      <c r="M1155" s="646"/>
      <c r="R1155" s="646"/>
    </row>
    <row r="1156">
      <c r="D1156" s="51" t="s">
        <v>366</v>
      </c>
      <c r="E1156" s="51" t="b">
        <v>0</v>
      </c>
      <c r="F1156" t="b">
        <v>0</v>
      </c>
      <c r="H1156" s="646"/>
      <c r="M1156" s="646"/>
      <c r="R1156" s="646"/>
    </row>
    <row r="1157">
      <c r="D1157" s="51" t="s">
        <v>366</v>
      </c>
      <c r="E1157" s="51" t="b">
        <v>0</v>
      </c>
      <c r="F1157" t="b">
        <v>0</v>
      </c>
      <c r="H1157" s="646"/>
      <c r="M1157" s="646"/>
      <c r="R1157" s="646"/>
    </row>
    <row r="1158">
      <c r="D1158" s="51" t="s">
        <v>366</v>
      </c>
      <c r="E1158" s="51" t="b">
        <v>0</v>
      </c>
      <c r="F1158" t="b">
        <v>0</v>
      </c>
      <c r="H1158" s="646"/>
      <c r="M1158" s="646"/>
      <c r="R1158" s="646"/>
    </row>
    <row r="1159">
      <c r="D1159" s="51" t="s">
        <v>366</v>
      </c>
      <c r="E1159" s="51" t="b">
        <v>0</v>
      </c>
      <c r="F1159" t="b">
        <v>0</v>
      </c>
      <c r="H1159" s="646"/>
      <c r="M1159" s="646"/>
      <c r="R1159" s="646"/>
    </row>
    <row r="1160">
      <c r="D1160" s="51" t="s">
        <v>366</v>
      </c>
      <c r="E1160" s="51" t="b">
        <v>0</v>
      </c>
      <c r="F1160" t="b">
        <v>0</v>
      </c>
      <c r="H1160" s="646"/>
      <c r="M1160" s="646"/>
      <c r="R1160" s="646"/>
    </row>
    <row r="1161">
      <c r="D1161" s="51" t="s">
        <v>366</v>
      </c>
      <c r="E1161" s="51" t="b">
        <v>0</v>
      </c>
      <c r="F1161" t="b">
        <v>0</v>
      </c>
      <c r="H1161" s="646"/>
      <c r="M1161" s="646"/>
      <c r="R1161" s="646"/>
    </row>
    <row r="1162">
      <c r="D1162" s="51" t="s">
        <v>366</v>
      </c>
      <c r="E1162" s="51" t="b">
        <v>0</v>
      </c>
      <c r="F1162" t="b">
        <v>0</v>
      </c>
      <c r="H1162" s="646"/>
      <c r="M1162" s="646"/>
      <c r="R1162" s="646"/>
    </row>
    <row r="1163">
      <c r="D1163" s="51" t="s">
        <v>366</v>
      </c>
      <c r="E1163" s="51" t="b">
        <v>0</v>
      </c>
      <c r="F1163" t="b">
        <v>0</v>
      </c>
      <c r="H1163" s="646"/>
      <c r="M1163" s="646"/>
      <c r="R1163" s="646"/>
    </row>
    <row r="1164">
      <c r="D1164" s="51" t="s">
        <v>366</v>
      </c>
      <c r="E1164" s="51" t="b">
        <v>0</v>
      </c>
      <c r="F1164" t="b">
        <v>0</v>
      </c>
      <c r="H1164" s="646"/>
      <c r="M1164" s="646"/>
      <c r="R1164" s="646"/>
    </row>
    <row r="1165">
      <c r="D1165" s="51" t="s">
        <v>366</v>
      </c>
      <c r="E1165" s="51" t="b">
        <v>0</v>
      </c>
      <c r="F1165" t="b">
        <v>0</v>
      </c>
      <c r="H1165" s="646"/>
      <c r="M1165" s="646"/>
      <c r="R1165" s="646"/>
    </row>
    <row r="1166">
      <c r="D1166" s="51" t="s">
        <v>366</v>
      </c>
      <c r="E1166" s="51" t="b">
        <v>0</v>
      </c>
      <c r="F1166" t="b">
        <v>0</v>
      </c>
      <c r="H1166" s="646"/>
      <c r="M1166" s="646"/>
      <c r="R1166" s="646"/>
    </row>
    <row r="1167">
      <c r="D1167" s="51" t="s">
        <v>366</v>
      </c>
      <c r="E1167" s="51" t="b">
        <v>0</v>
      </c>
      <c r="F1167" t="b">
        <v>0</v>
      </c>
      <c r="H1167" s="646"/>
      <c r="M1167" s="646"/>
      <c r="R1167" s="646"/>
    </row>
    <row r="1168">
      <c r="D1168" s="51" t="s">
        <v>366</v>
      </c>
      <c r="E1168" s="51" t="b">
        <v>0</v>
      </c>
      <c r="F1168" t="b">
        <v>0</v>
      </c>
      <c r="H1168" s="646"/>
      <c r="M1168" s="646"/>
      <c r="R1168" s="646"/>
    </row>
    <row r="1169">
      <c r="D1169" s="51" t="s">
        <v>366</v>
      </c>
      <c r="E1169" s="51" t="b">
        <v>0</v>
      </c>
      <c r="F1169" t="b">
        <v>0</v>
      </c>
      <c r="H1169" s="646"/>
      <c r="M1169" s="646"/>
      <c r="R1169" s="646"/>
    </row>
    <row r="1170">
      <c r="D1170" s="51" t="s">
        <v>366</v>
      </c>
      <c r="E1170" s="51" t="b">
        <v>0</v>
      </c>
      <c r="F1170" t="b">
        <v>0</v>
      </c>
      <c r="H1170" s="646"/>
      <c r="M1170" s="646"/>
      <c r="R1170" s="646"/>
    </row>
    <row r="1171">
      <c r="D1171" s="51" t="s">
        <v>366</v>
      </c>
      <c r="E1171" s="51" t="b">
        <v>0</v>
      </c>
      <c r="F1171" t="b">
        <v>0</v>
      </c>
      <c r="H1171" s="646"/>
      <c r="M1171" s="646"/>
      <c r="R1171" s="646"/>
    </row>
    <row r="1172">
      <c r="D1172" s="51" t="s">
        <v>366</v>
      </c>
      <c r="E1172" s="51" t="b">
        <v>0</v>
      </c>
      <c r="F1172" t="b">
        <v>0</v>
      </c>
      <c r="H1172" s="646"/>
      <c r="M1172" s="646"/>
      <c r="R1172" s="646"/>
    </row>
    <row r="1173">
      <c r="D1173" s="51" t="s">
        <v>366</v>
      </c>
      <c r="E1173" s="51" t="b">
        <v>0</v>
      </c>
      <c r="F1173" t="b">
        <v>0</v>
      </c>
      <c r="H1173" s="646"/>
      <c r="M1173" s="646"/>
      <c r="R1173" s="646"/>
    </row>
    <row r="1174">
      <c r="D1174" s="51" t="s">
        <v>366</v>
      </c>
      <c r="E1174" s="51" t="b">
        <v>0</v>
      </c>
      <c r="F1174" t="b">
        <v>0</v>
      </c>
      <c r="H1174" s="646"/>
      <c r="M1174" s="646"/>
      <c r="R1174" s="646"/>
    </row>
    <row r="1175">
      <c r="D1175" s="51" t="s">
        <v>366</v>
      </c>
      <c r="E1175" s="51" t="b">
        <v>0</v>
      </c>
      <c r="F1175" t="b">
        <v>0</v>
      </c>
      <c r="H1175" s="646"/>
      <c r="M1175" s="646"/>
      <c r="R1175" s="646"/>
    </row>
    <row r="1176">
      <c r="D1176" s="51" t="s">
        <v>366</v>
      </c>
      <c r="E1176" s="51" t="b">
        <v>0</v>
      </c>
      <c r="F1176" t="b">
        <v>0</v>
      </c>
      <c r="H1176" s="646"/>
      <c r="M1176" s="646"/>
      <c r="R1176" s="646"/>
    </row>
    <row r="1177">
      <c r="D1177" s="51" t="s">
        <v>366</v>
      </c>
      <c r="E1177" s="51" t="b">
        <v>0</v>
      </c>
      <c r="F1177" t="b">
        <v>0</v>
      </c>
      <c r="H1177" s="646"/>
      <c r="M1177" s="646"/>
      <c r="R1177" s="646"/>
    </row>
    <row r="1178">
      <c r="D1178" s="51" t="s">
        <v>366</v>
      </c>
      <c r="E1178" s="51" t="b">
        <v>0</v>
      </c>
      <c r="F1178" t="b">
        <v>0</v>
      </c>
      <c r="H1178" s="646"/>
      <c r="M1178" s="646"/>
      <c r="R1178" s="646"/>
    </row>
    <row r="1179">
      <c r="D1179" s="51" t="s">
        <v>366</v>
      </c>
      <c r="E1179" s="51" t="b">
        <v>0</v>
      </c>
      <c r="F1179" t="b">
        <v>0</v>
      </c>
      <c r="H1179" s="646"/>
      <c r="M1179" s="646"/>
      <c r="R1179" s="646"/>
    </row>
    <row r="1180">
      <c r="D1180" s="51" t="s">
        <v>366</v>
      </c>
      <c r="E1180" s="51" t="b">
        <v>0</v>
      </c>
      <c r="F1180" t="b">
        <v>0</v>
      </c>
      <c r="H1180" s="646"/>
      <c r="M1180" s="646"/>
      <c r="R1180" s="646"/>
    </row>
    <row r="1181">
      <c r="D1181" s="51" t="s">
        <v>366</v>
      </c>
      <c r="E1181" s="51" t="b">
        <v>0</v>
      </c>
      <c r="F1181" t="b">
        <v>0</v>
      </c>
      <c r="H1181" s="646"/>
      <c r="M1181" s="646"/>
      <c r="R1181" s="646"/>
    </row>
    <row r="1182">
      <c r="D1182" s="51" t="s">
        <v>366</v>
      </c>
      <c r="E1182" s="51" t="b">
        <v>0</v>
      </c>
      <c r="F1182" t="b">
        <v>0</v>
      </c>
      <c r="H1182" s="646"/>
      <c r="M1182" s="646"/>
      <c r="R1182" s="646"/>
    </row>
    <row r="1183">
      <c r="D1183" s="51" t="s">
        <v>366</v>
      </c>
      <c r="E1183" s="51" t="b">
        <v>0</v>
      </c>
      <c r="F1183" t="b">
        <v>0</v>
      </c>
      <c r="H1183" s="646"/>
      <c r="M1183" s="646"/>
      <c r="R1183" s="646"/>
    </row>
    <row r="1184">
      <c r="D1184" s="51" t="s">
        <v>366</v>
      </c>
      <c r="E1184" s="51" t="b">
        <v>0</v>
      </c>
      <c r="F1184" t="b">
        <v>0</v>
      </c>
      <c r="H1184" s="646"/>
      <c r="M1184" s="646"/>
      <c r="R1184" s="646"/>
    </row>
    <row r="1185">
      <c r="D1185" s="51" t="s">
        <v>366</v>
      </c>
      <c r="E1185" s="51" t="b">
        <v>0</v>
      </c>
      <c r="F1185" t="b">
        <v>0</v>
      </c>
      <c r="H1185" s="646"/>
      <c r="M1185" s="646"/>
      <c r="R1185" s="646"/>
    </row>
    <row r="1186">
      <c r="D1186" s="51" t="s">
        <v>366</v>
      </c>
      <c r="E1186" s="51" t="b">
        <v>0</v>
      </c>
      <c r="F1186" t="b">
        <v>0</v>
      </c>
      <c r="H1186" s="646"/>
      <c r="M1186" s="646"/>
      <c r="R1186" s="646"/>
    </row>
    <row r="1187">
      <c r="D1187" s="51" t="s">
        <v>366</v>
      </c>
      <c r="E1187" s="51" t="b">
        <v>0</v>
      </c>
      <c r="F1187" t="b">
        <v>0</v>
      </c>
      <c r="H1187" s="646"/>
      <c r="M1187" s="646"/>
      <c r="R1187" s="646"/>
    </row>
    <row r="1188">
      <c r="D1188" s="51" t="s">
        <v>366</v>
      </c>
      <c r="E1188" s="51" t="b">
        <v>0</v>
      </c>
      <c r="F1188" t="b">
        <v>0</v>
      </c>
      <c r="H1188" s="646"/>
      <c r="M1188" s="646"/>
      <c r="R1188" s="646"/>
    </row>
    <row r="1189">
      <c r="D1189" s="51" t="s">
        <v>366</v>
      </c>
      <c r="E1189" s="51" t="b">
        <v>0</v>
      </c>
      <c r="F1189" t="b">
        <v>0</v>
      </c>
      <c r="H1189" s="646"/>
      <c r="M1189" s="646"/>
      <c r="R1189" s="646"/>
    </row>
    <row r="1190">
      <c r="D1190" s="51" t="s">
        <v>366</v>
      </c>
      <c r="E1190" s="51" t="b">
        <v>0</v>
      </c>
      <c r="F1190" t="b">
        <v>0</v>
      </c>
      <c r="H1190" s="646"/>
      <c r="M1190" s="646"/>
      <c r="R1190" s="646"/>
    </row>
    <row r="1191">
      <c r="D1191" s="51" t="s">
        <v>366</v>
      </c>
      <c r="E1191" s="51" t="b">
        <v>0</v>
      </c>
      <c r="F1191" t="b">
        <v>0</v>
      </c>
      <c r="H1191" s="646"/>
      <c r="M1191" s="646"/>
      <c r="R1191" s="646"/>
    </row>
    <row r="1192">
      <c r="D1192" s="51" t="s">
        <v>366</v>
      </c>
      <c r="E1192" s="51" t="b">
        <v>0</v>
      </c>
      <c r="F1192" t="b">
        <v>0</v>
      </c>
      <c r="H1192" s="646"/>
      <c r="M1192" s="646"/>
      <c r="R1192" s="646"/>
    </row>
    <row r="1193">
      <c r="D1193" s="51" t="s">
        <v>366</v>
      </c>
      <c r="E1193" s="51" t="b">
        <v>0</v>
      </c>
      <c r="F1193" t="b">
        <v>0</v>
      </c>
      <c r="H1193" s="646"/>
      <c r="M1193" s="646"/>
      <c r="R1193" s="646"/>
    </row>
    <row r="1194">
      <c r="D1194" s="51" t="s">
        <v>366</v>
      </c>
      <c r="E1194" s="51" t="b">
        <v>0</v>
      </c>
      <c r="F1194" t="b">
        <v>0</v>
      </c>
      <c r="H1194" s="646"/>
      <c r="M1194" s="646"/>
      <c r="R1194" s="646"/>
    </row>
    <row r="1195">
      <c r="D1195" s="51" t="s">
        <v>366</v>
      </c>
      <c r="E1195" s="51" t="b">
        <v>0</v>
      </c>
      <c r="F1195" t="b">
        <v>0</v>
      </c>
      <c r="H1195" s="646"/>
      <c r="M1195" s="646"/>
      <c r="R1195" s="646"/>
    </row>
    <row r="1196">
      <c r="D1196" s="51"/>
      <c r="E1196" s="51" t="b">
        <v>0</v>
      </c>
      <c r="F1196" t="b">
        <v>0</v>
      </c>
      <c r="H1196" s="646"/>
      <c r="M1196" s="646"/>
      <c r="R1196" s="646"/>
    </row>
    <row r="1197">
      <c r="D1197" s="51"/>
      <c r="E1197" s="51" t="b">
        <v>0</v>
      </c>
      <c r="F1197" t="b">
        <v>0</v>
      </c>
      <c r="H1197" s="646"/>
      <c r="M1197" s="646"/>
      <c r="R1197" s="646"/>
    </row>
    <row r="1198">
      <c r="D1198" s="51"/>
      <c r="E1198" s="51" t="b">
        <v>0</v>
      </c>
      <c r="F1198" t="b">
        <v>0</v>
      </c>
      <c r="H1198" s="646"/>
      <c r="M1198" s="646"/>
      <c r="R1198" s="646"/>
    </row>
    <row r="1199">
      <c r="D1199" s="51"/>
      <c r="E1199" s="51" t="b">
        <v>0</v>
      </c>
      <c r="F1199" t="b">
        <v>0</v>
      </c>
      <c r="H1199" s="646"/>
      <c r="M1199" s="646"/>
      <c r="R1199" s="646"/>
    </row>
    <row r="1200">
      <c r="D1200" s="51"/>
      <c r="E1200" s="51" t="b">
        <v>0</v>
      </c>
      <c r="F1200" t="b">
        <v>0</v>
      </c>
      <c r="H1200" s="646"/>
      <c r="M1200" s="646"/>
      <c r="R1200" s="646"/>
    </row>
    <row r="1201">
      <c r="D1201" s="51"/>
      <c r="E1201" s="51" t="b">
        <v>0</v>
      </c>
      <c r="F1201" t="b">
        <v>0</v>
      </c>
      <c r="H1201" s="646"/>
      <c r="M1201" s="646"/>
      <c r="R1201" s="646"/>
    </row>
    <row r="1202">
      <c r="D1202" s="51"/>
      <c r="E1202" s="51" t="b">
        <v>0</v>
      </c>
      <c r="F1202" t="b">
        <v>0</v>
      </c>
      <c r="H1202" s="646"/>
      <c r="M1202" s="646"/>
      <c r="R1202" s="646"/>
    </row>
    <row r="1203">
      <c r="D1203" s="51"/>
      <c r="E1203" s="51" t="b">
        <v>0</v>
      </c>
      <c r="F1203" t="b">
        <v>0</v>
      </c>
      <c r="H1203" s="646"/>
      <c r="M1203" s="646"/>
      <c r="R1203" s="646"/>
    </row>
    <row r="1204">
      <c r="D1204" s="51"/>
      <c r="E1204" s="51" t="b">
        <v>0</v>
      </c>
      <c r="F1204" t="b">
        <v>0</v>
      </c>
      <c r="H1204" s="646"/>
      <c r="M1204" s="646"/>
      <c r="R1204" s="646"/>
    </row>
    <row r="1205">
      <c r="D1205" s="51"/>
      <c r="E1205" s="51" t="b">
        <v>0</v>
      </c>
      <c r="F1205" t="b">
        <v>0</v>
      </c>
      <c r="H1205" s="646"/>
      <c r="M1205" s="646"/>
      <c r="R1205" s="646"/>
    </row>
    <row r="1206">
      <c r="D1206" s="51"/>
      <c r="E1206" s="51" t="b">
        <v>0</v>
      </c>
      <c r="F1206" t="b">
        <v>0</v>
      </c>
      <c r="H1206" s="646"/>
      <c r="M1206" s="646"/>
      <c r="R1206" s="646"/>
    </row>
    <row r="1207">
      <c r="D1207" s="51"/>
      <c r="E1207" s="51" t="b">
        <v>0</v>
      </c>
      <c r="F1207" t="b">
        <v>0</v>
      </c>
      <c r="H1207" s="646"/>
      <c r="M1207" s="646"/>
      <c r="R1207" s="646"/>
    </row>
    <row r="1208">
      <c r="D1208" s="51"/>
      <c r="E1208" s="51" t="b">
        <v>0</v>
      </c>
      <c r="F1208" t="b">
        <v>0</v>
      </c>
      <c r="H1208" s="646"/>
      <c r="M1208" s="646"/>
      <c r="R1208" s="646"/>
    </row>
    <row r="1209">
      <c r="D1209" s="51"/>
      <c r="E1209" s="51" t="b">
        <v>0</v>
      </c>
      <c r="F1209" t="b">
        <v>0</v>
      </c>
      <c r="H1209" s="646"/>
      <c r="M1209" s="646"/>
      <c r="R1209" s="646"/>
    </row>
    <row r="1210">
      <c r="D1210" s="51"/>
      <c r="E1210" s="51" t="b">
        <v>0</v>
      </c>
      <c r="F1210" t="b">
        <v>0</v>
      </c>
      <c r="H1210" s="646"/>
      <c r="M1210" s="646"/>
      <c r="R1210" s="646"/>
    </row>
    <row r="1211">
      <c r="D1211" s="51"/>
      <c r="E1211" s="51" t="b">
        <v>0</v>
      </c>
      <c r="F1211" t="b">
        <v>0</v>
      </c>
      <c r="H1211" s="646"/>
      <c r="M1211" s="646"/>
      <c r="R1211" s="646"/>
    </row>
    <row r="1212">
      <c r="D1212" s="51"/>
      <c r="E1212" s="51" t="b">
        <v>0</v>
      </c>
      <c r="F1212" t="b">
        <v>0</v>
      </c>
      <c r="H1212" s="646"/>
      <c r="M1212" s="646"/>
      <c r="R1212" s="646"/>
    </row>
    <row r="1213">
      <c r="D1213" s="51"/>
      <c r="E1213" s="51" t="b">
        <v>0</v>
      </c>
      <c r="F1213" t="b">
        <v>0</v>
      </c>
      <c r="H1213" s="646"/>
      <c r="M1213" s="646"/>
      <c r="R1213" s="646"/>
    </row>
    <row r="1214">
      <c r="D1214" s="51"/>
      <c r="E1214" s="51" t="b">
        <v>0</v>
      </c>
      <c r="F1214" t="b">
        <v>0</v>
      </c>
      <c r="H1214" s="646"/>
      <c r="M1214" s="646"/>
      <c r="R1214" s="646"/>
    </row>
    <row r="1215">
      <c r="D1215" s="51"/>
      <c r="E1215" s="51" t="b">
        <v>0</v>
      </c>
      <c r="F1215" t="b">
        <v>0</v>
      </c>
      <c r="H1215" s="646"/>
      <c r="M1215" s="646"/>
      <c r="R1215" s="646"/>
    </row>
    <row r="1216">
      <c r="D1216" s="51"/>
      <c r="E1216" s="51" t="b">
        <v>0</v>
      </c>
      <c r="F1216" t="b">
        <v>0</v>
      </c>
      <c r="H1216" s="646"/>
      <c r="M1216" s="646"/>
      <c r="R1216" s="646"/>
    </row>
    <row r="1217">
      <c r="D1217" s="51"/>
      <c r="E1217" s="51" t="b">
        <v>0</v>
      </c>
      <c r="F1217" t="b">
        <v>0</v>
      </c>
      <c r="H1217" s="646"/>
      <c r="M1217" s="646"/>
      <c r="R1217" s="646"/>
    </row>
    <row r="1218">
      <c r="D1218" s="51"/>
      <c r="E1218" s="51" t="b">
        <v>0</v>
      </c>
      <c r="F1218" t="b">
        <v>0</v>
      </c>
      <c r="H1218" s="646"/>
      <c r="M1218" s="646"/>
      <c r="R1218" s="646"/>
    </row>
    <row r="1219">
      <c r="D1219" s="51"/>
      <c r="E1219" s="51" t="b">
        <v>0</v>
      </c>
      <c r="F1219" t="b">
        <v>0</v>
      </c>
      <c r="H1219" s="646"/>
      <c r="M1219" s="646"/>
      <c r="R1219" s="646"/>
    </row>
    <row r="1220">
      <c r="D1220" s="51"/>
      <c r="E1220" s="51" t="b">
        <v>0</v>
      </c>
      <c r="F1220" t="b">
        <v>0</v>
      </c>
      <c r="H1220" s="646"/>
      <c r="M1220" s="646"/>
      <c r="R1220" s="646"/>
    </row>
    <row r="1221">
      <c r="D1221" s="51"/>
      <c r="E1221" s="51" t="b">
        <v>0</v>
      </c>
      <c r="F1221" t="b">
        <v>0</v>
      </c>
      <c r="H1221" s="646"/>
      <c r="M1221" s="646"/>
      <c r="R1221" s="646"/>
    </row>
    <row r="1222">
      <c r="D1222" s="51"/>
      <c r="E1222" s="51" t="b">
        <v>0</v>
      </c>
      <c r="F1222" t="b">
        <v>0</v>
      </c>
      <c r="H1222" s="646"/>
      <c r="M1222" s="646"/>
      <c r="R1222" s="646"/>
    </row>
    <row r="1223">
      <c r="D1223" s="51"/>
      <c r="E1223" s="51" t="b">
        <v>0</v>
      </c>
      <c r="F1223" t="b">
        <v>0</v>
      </c>
      <c r="H1223" s="646"/>
      <c r="M1223" s="646"/>
      <c r="R1223" s="646"/>
    </row>
    <row r="1224">
      <c r="D1224" s="51"/>
      <c r="E1224" s="51" t="b">
        <v>0</v>
      </c>
      <c r="F1224" t="b">
        <v>0</v>
      </c>
      <c r="H1224" s="646"/>
      <c r="M1224" s="646"/>
      <c r="R1224" s="646"/>
    </row>
    <row r="1225">
      <c r="D1225" s="51"/>
      <c r="E1225" s="51" t="b">
        <v>0</v>
      </c>
      <c r="F1225" t="b">
        <v>0</v>
      </c>
      <c r="H1225" s="646"/>
      <c r="M1225" s="646"/>
      <c r="R1225" s="646"/>
    </row>
    <row r="1226">
      <c r="D1226" s="51"/>
      <c r="E1226" s="51" t="b">
        <v>0</v>
      </c>
      <c r="F1226" t="b">
        <v>0</v>
      </c>
      <c r="H1226" s="646"/>
      <c r="M1226" s="646"/>
      <c r="R1226" s="646"/>
    </row>
    <row r="1227">
      <c r="D1227" s="51"/>
      <c r="E1227" s="51" t="b">
        <v>0</v>
      </c>
      <c r="F1227" t="b">
        <v>0</v>
      </c>
      <c r="H1227" s="646"/>
      <c r="M1227" s="646"/>
      <c r="R1227" s="646"/>
    </row>
    <row r="1228">
      <c r="D1228" s="51"/>
      <c r="E1228" s="51" t="b">
        <v>0</v>
      </c>
      <c r="F1228" t="b">
        <v>0</v>
      </c>
      <c r="H1228" s="646"/>
      <c r="M1228" s="646"/>
      <c r="R1228" s="646"/>
    </row>
    <row r="1229">
      <c r="D1229" s="51"/>
      <c r="E1229" s="51" t="b">
        <v>0</v>
      </c>
      <c r="F1229" t="b">
        <v>0</v>
      </c>
      <c r="H1229" s="646"/>
      <c r="M1229" s="646"/>
      <c r="R1229" s="646"/>
    </row>
    <row r="1230">
      <c r="D1230" s="51"/>
      <c r="E1230" s="51" t="b">
        <v>0</v>
      </c>
      <c r="F1230" t="b">
        <v>0</v>
      </c>
      <c r="H1230" s="646"/>
      <c r="M1230" s="646"/>
      <c r="R1230" s="646"/>
    </row>
    <row r="1231">
      <c r="D1231" s="51"/>
      <c r="E1231" s="51" t="b">
        <v>0</v>
      </c>
      <c r="F1231" t="b">
        <v>0</v>
      </c>
      <c r="H1231" s="646"/>
      <c r="M1231" s="646"/>
      <c r="R1231" s="646"/>
    </row>
    <row r="1232">
      <c r="D1232" s="51"/>
      <c r="E1232" s="51" t="b">
        <v>0</v>
      </c>
      <c r="F1232" t="b">
        <v>0</v>
      </c>
      <c r="H1232" s="646"/>
      <c r="M1232" s="646"/>
      <c r="R1232" s="646"/>
    </row>
    <row r="1233">
      <c r="D1233" s="51"/>
      <c r="E1233" s="51" t="b">
        <v>0</v>
      </c>
      <c r="F1233" t="b">
        <v>0</v>
      </c>
      <c r="H1233" s="646"/>
      <c r="M1233" s="646"/>
      <c r="R1233" s="646"/>
    </row>
    <row r="1234">
      <c r="D1234" s="51"/>
      <c r="E1234" s="51" t="b">
        <v>0</v>
      </c>
      <c r="F1234" t="b">
        <v>0</v>
      </c>
      <c r="H1234" s="646"/>
      <c r="M1234" s="646"/>
      <c r="R1234" s="646"/>
    </row>
    <row r="1235">
      <c r="D1235" s="51"/>
      <c r="E1235" s="51" t="b">
        <v>0</v>
      </c>
      <c r="F1235" t="b">
        <v>0</v>
      </c>
      <c r="H1235" s="646"/>
      <c r="M1235" s="646"/>
      <c r="R1235" s="646"/>
    </row>
    <row r="1236">
      <c r="D1236" s="51"/>
      <c r="E1236" s="51" t="b">
        <v>0</v>
      </c>
      <c r="F1236" t="b">
        <v>0</v>
      </c>
      <c r="H1236" s="646"/>
      <c r="M1236" s="646"/>
      <c r="R1236" s="646"/>
    </row>
    <row r="1237">
      <c r="D1237" s="51"/>
      <c r="E1237" s="51" t="b">
        <v>0</v>
      </c>
      <c r="F1237" t="b">
        <v>0</v>
      </c>
      <c r="H1237" s="646"/>
      <c r="M1237" s="646"/>
      <c r="R1237" s="646"/>
    </row>
    <row r="1238">
      <c r="D1238" s="51"/>
      <c r="E1238" s="51" t="b">
        <v>0</v>
      </c>
      <c r="F1238" t="b">
        <v>0</v>
      </c>
      <c r="H1238" s="646"/>
      <c r="M1238" s="646"/>
      <c r="R1238" s="646"/>
    </row>
    <row r="1239">
      <c r="D1239" s="51"/>
      <c r="E1239" s="51" t="b">
        <v>0</v>
      </c>
      <c r="F1239" t="b">
        <v>0</v>
      </c>
      <c r="H1239" s="646"/>
      <c r="M1239" s="646"/>
      <c r="R1239" s="646"/>
    </row>
    <row r="1240">
      <c r="D1240" s="51"/>
      <c r="E1240" s="51" t="b">
        <v>0</v>
      </c>
      <c r="F1240" t="b">
        <v>0</v>
      </c>
      <c r="H1240" s="646"/>
      <c r="M1240" s="646"/>
      <c r="R1240" s="646"/>
    </row>
    <row r="1241">
      <c r="D1241" s="51"/>
      <c r="E1241" s="51" t="b">
        <v>0</v>
      </c>
      <c r="F1241" t="b">
        <v>0</v>
      </c>
      <c r="H1241" s="646"/>
      <c r="M1241" s="646"/>
      <c r="R1241" s="646"/>
    </row>
    <row r="1242">
      <c r="D1242" s="51"/>
      <c r="E1242" s="51" t="b">
        <v>0</v>
      </c>
      <c r="F1242" t="b">
        <v>0</v>
      </c>
      <c r="H1242" s="646"/>
      <c r="M1242" s="646"/>
      <c r="R1242" s="646"/>
    </row>
    <row r="1243">
      <c r="D1243" s="51"/>
      <c r="E1243" s="51" t="b">
        <v>0</v>
      </c>
      <c r="F1243" t="b">
        <v>0</v>
      </c>
      <c r="H1243" s="646"/>
      <c r="M1243" s="646"/>
      <c r="R1243" s="646"/>
    </row>
    <row r="1244">
      <c r="D1244" s="51"/>
      <c r="E1244" s="51" t="b">
        <v>0</v>
      </c>
      <c r="F1244" t="b">
        <v>0</v>
      </c>
      <c r="H1244" s="646"/>
      <c r="M1244" s="646"/>
      <c r="R1244" s="646"/>
    </row>
    <row r="1245">
      <c r="D1245" s="51"/>
      <c r="E1245" s="51" t="b">
        <v>0</v>
      </c>
      <c r="F1245" t="b">
        <v>0</v>
      </c>
      <c r="H1245" s="646"/>
      <c r="M1245" s="646"/>
      <c r="R1245" s="646"/>
    </row>
    <row r="1246">
      <c r="D1246" s="51"/>
      <c r="E1246" s="51" t="b">
        <v>0</v>
      </c>
      <c r="F1246" t="b">
        <v>0</v>
      </c>
      <c r="H1246" s="646"/>
      <c r="M1246" s="646"/>
      <c r="R1246" s="646"/>
    </row>
    <row r="1247">
      <c r="D1247" s="51"/>
      <c r="E1247" s="51" t="b">
        <v>0</v>
      </c>
      <c r="F1247" t="b">
        <v>0</v>
      </c>
      <c r="H1247" s="646"/>
      <c r="M1247" s="646"/>
      <c r="R1247" s="646"/>
    </row>
    <row r="1248">
      <c r="D1248" s="51"/>
      <c r="E1248" s="51" t="b">
        <v>0</v>
      </c>
      <c r="F1248" t="b">
        <v>0</v>
      </c>
      <c r="H1248" s="646"/>
      <c r="M1248" s="646"/>
      <c r="R1248" s="646"/>
    </row>
    <row r="1249">
      <c r="D1249" s="51"/>
      <c r="E1249" s="51" t="b">
        <v>0</v>
      </c>
      <c r="F1249" t="b">
        <v>0</v>
      </c>
      <c r="H1249" s="646"/>
      <c r="M1249" s="646"/>
      <c r="R1249" s="646"/>
    </row>
    <row r="1250">
      <c r="D1250" s="51"/>
      <c r="E1250" s="51" t="b">
        <v>0</v>
      </c>
      <c r="F1250" t="b">
        <v>0</v>
      </c>
      <c r="H1250" s="646"/>
      <c r="M1250" s="646"/>
      <c r="R1250" s="646"/>
    </row>
    <row r="1251">
      <c r="D1251" s="51"/>
      <c r="E1251" s="51" t="b">
        <v>0</v>
      </c>
      <c r="F1251" t="b">
        <v>0</v>
      </c>
      <c r="H1251" s="646"/>
      <c r="M1251" s="646"/>
      <c r="R1251" s="646"/>
    </row>
    <row r="1252">
      <c r="D1252" s="51"/>
      <c r="E1252" s="51" t="b">
        <v>0</v>
      </c>
      <c r="F1252" t="b">
        <v>0</v>
      </c>
      <c r="H1252" s="646"/>
      <c r="M1252" s="646"/>
      <c r="R1252" s="646"/>
    </row>
    <row r="1253">
      <c r="D1253" s="51"/>
      <c r="E1253" s="51" t="b">
        <v>0</v>
      </c>
      <c r="F1253" t="b">
        <v>0</v>
      </c>
      <c r="H1253" s="646"/>
      <c r="M1253" s="646"/>
      <c r="R1253" s="646"/>
    </row>
    <row r="1254">
      <c r="D1254" s="51"/>
      <c r="E1254" s="51" t="b">
        <v>0</v>
      </c>
      <c r="F1254" t="b">
        <v>0</v>
      </c>
      <c r="H1254" s="646"/>
      <c r="M1254" s="646"/>
      <c r="R1254" s="646"/>
    </row>
    <row r="1255">
      <c r="D1255" s="51"/>
      <c r="E1255" s="51" t="b">
        <v>0</v>
      </c>
      <c r="F1255" t="b">
        <v>0</v>
      </c>
      <c r="H1255" s="646"/>
      <c r="M1255" s="646"/>
      <c r="R1255" s="646"/>
    </row>
    <row r="1256">
      <c r="D1256" s="51"/>
      <c r="E1256" s="51" t="b">
        <v>0</v>
      </c>
      <c r="F1256" t="b">
        <v>0</v>
      </c>
      <c r="H1256" s="646"/>
      <c r="M1256" s="646"/>
      <c r="R1256" s="646"/>
    </row>
    <row r="1257">
      <c r="D1257" s="51"/>
      <c r="E1257" s="51" t="b">
        <v>0</v>
      </c>
      <c r="F1257" t="b">
        <v>0</v>
      </c>
      <c r="H1257" s="646"/>
      <c r="M1257" s="646"/>
      <c r="R1257" s="646"/>
    </row>
    <row r="1258">
      <c r="D1258" s="51"/>
      <c r="E1258" s="51" t="b">
        <v>0</v>
      </c>
      <c r="F1258" t="b">
        <v>0</v>
      </c>
      <c r="H1258" s="646"/>
      <c r="M1258" s="646"/>
      <c r="R1258" s="646"/>
    </row>
    <row r="1259">
      <c r="D1259" s="51"/>
      <c r="E1259" s="51" t="b">
        <v>0</v>
      </c>
      <c r="F1259" t="b">
        <v>0</v>
      </c>
      <c r="H1259" s="646"/>
      <c r="M1259" s="646"/>
      <c r="R1259" s="646"/>
    </row>
    <row r="1260">
      <c r="D1260" s="51"/>
      <c r="E1260" s="51" t="b">
        <v>0</v>
      </c>
      <c r="F1260" t="b">
        <v>0</v>
      </c>
      <c r="H1260" s="646"/>
      <c r="M1260" s="646"/>
      <c r="R1260" s="646"/>
    </row>
    <row r="1261">
      <c r="D1261" s="51"/>
      <c r="E1261" s="51" t="b">
        <v>0</v>
      </c>
      <c r="F1261" t="b">
        <v>0</v>
      </c>
      <c r="H1261" s="646"/>
      <c r="M1261" s="646"/>
      <c r="R1261" s="646"/>
    </row>
    <row r="1262">
      <c r="D1262" s="51"/>
      <c r="E1262" s="51" t="b">
        <v>0</v>
      </c>
      <c r="F1262" t="b">
        <v>0</v>
      </c>
      <c r="H1262" s="646"/>
      <c r="M1262" s="646"/>
      <c r="R1262" s="646"/>
    </row>
    <row r="1263">
      <c r="D1263" s="51"/>
      <c r="E1263" s="51" t="b">
        <v>0</v>
      </c>
      <c r="F1263" t="b">
        <v>0</v>
      </c>
      <c r="H1263" s="646"/>
      <c r="M1263" s="646"/>
      <c r="R1263" s="646"/>
    </row>
    <row r="1264">
      <c r="D1264" s="51"/>
      <c r="E1264" s="51" t="b">
        <v>0</v>
      </c>
      <c r="F1264" t="b">
        <v>0</v>
      </c>
      <c r="H1264" s="646"/>
      <c r="M1264" s="646"/>
      <c r="R1264" s="646"/>
    </row>
    <row r="1265">
      <c r="D1265" s="51"/>
      <c r="E1265" s="51" t="b">
        <v>0</v>
      </c>
      <c r="F1265" t="b">
        <v>0</v>
      </c>
      <c r="H1265" s="646"/>
      <c r="M1265" s="646"/>
      <c r="R1265" s="646"/>
    </row>
    <row r="1266">
      <c r="D1266" s="51"/>
      <c r="E1266" s="51" t="b">
        <v>0</v>
      </c>
      <c r="F1266" t="b">
        <v>0</v>
      </c>
      <c r="H1266" s="646"/>
      <c r="M1266" s="646"/>
      <c r="R1266" s="646"/>
    </row>
    <row r="1267">
      <c r="D1267" s="51"/>
      <c r="E1267" s="51" t="b">
        <v>0</v>
      </c>
      <c r="F1267" t="b">
        <v>0</v>
      </c>
      <c r="H1267" s="646"/>
      <c r="M1267" s="646"/>
      <c r="R1267" s="646"/>
    </row>
    <row r="1268">
      <c r="D1268" s="51"/>
      <c r="E1268" s="51" t="b">
        <v>0</v>
      </c>
      <c r="F1268" t="b">
        <v>0</v>
      </c>
      <c r="H1268" s="646"/>
      <c r="M1268" s="646"/>
      <c r="R1268" s="646"/>
    </row>
    <row r="1269">
      <c r="D1269" s="51"/>
      <c r="E1269" s="51" t="b">
        <v>0</v>
      </c>
      <c r="F1269" t="b">
        <v>0</v>
      </c>
      <c r="H1269" s="646"/>
      <c r="M1269" s="646"/>
      <c r="R1269" s="646"/>
    </row>
    <row r="1270">
      <c r="D1270" s="51"/>
      <c r="E1270" s="51" t="b">
        <v>0</v>
      </c>
      <c r="F1270" t="b">
        <v>0</v>
      </c>
      <c r="H1270" s="646"/>
      <c r="M1270" s="646"/>
      <c r="R1270" s="646"/>
    </row>
    <row r="1271">
      <c r="D1271" s="51"/>
      <c r="E1271" s="51" t="b">
        <v>0</v>
      </c>
      <c r="F1271" t="b">
        <v>0</v>
      </c>
      <c r="H1271" s="646"/>
      <c r="M1271" s="646"/>
      <c r="R1271" s="646"/>
    </row>
    <row r="1272">
      <c r="D1272" s="51"/>
      <c r="E1272" s="51" t="b">
        <v>0</v>
      </c>
      <c r="F1272" t="b">
        <v>0</v>
      </c>
      <c r="H1272" s="646"/>
      <c r="M1272" s="646"/>
      <c r="R1272" s="646"/>
    </row>
    <row r="1273">
      <c r="D1273" s="51"/>
      <c r="E1273" s="51" t="b">
        <v>0</v>
      </c>
      <c r="F1273" t="b">
        <v>0</v>
      </c>
      <c r="H1273" s="646"/>
      <c r="M1273" s="646"/>
      <c r="R1273" s="646"/>
    </row>
    <row r="1274">
      <c r="D1274" s="51"/>
      <c r="E1274" s="51" t="b">
        <v>0</v>
      </c>
      <c r="F1274" t="b">
        <v>0</v>
      </c>
      <c r="H1274" s="646"/>
      <c r="M1274" s="646"/>
      <c r="R1274" s="646"/>
    </row>
    <row r="1275">
      <c r="D1275" s="51"/>
      <c r="E1275" s="51" t="b">
        <v>0</v>
      </c>
      <c r="F1275" t="b">
        <v>0</v>
      </c>
      <c r="H1275" s="646"/>
      <c r="M1275" s="646"/>
      <c r="R1275" s="646"/>
    </row>
    <row r="1276">
      <c r="D1276" s="51"/>
      <c r="E1276" s="51" t="b">
        <v>0</v>
      </c>
      <c r="F1276" t="b">
        <v>0</v>
      </c>
      <c r="H1276" s="646"/>
      <c r="M1276" s="646"/>
      <c r="R1276" s="646"/>
    </row>
    <row r="1277">
      <c r="D1277" s="51"/>
      <c r="E1277" s="51" t="b">
        <v>0</v>
      </c>
      <c r="F1277" t="b">
        <v>0</v>
      </c>
      <c r="H1277" s="646"/>
      <c r="M1277" s="646"/>
      <c r="R1277" s="646"/>
    </row>
    <row r="1278">
      <c r="D1278" s="51"/>
      <c r="E1278" s="51" t="b">
        <v>0</v>
      </c>
      <c r="F1278" t="b">
        <v>0</v>
      </c>
      <c r="H1278" s="646"/>
      <c r="M1278" s="646"/>
      <c r="R1278" s="646"/>
    </row>
    <row r="1279">
      <c r="D1279" s="51"/>
      <c r="E1279" s="51" t="b">
        <v>0</v>
      </c>
      <c r="F1279" t="b">
        <v>0</v>
      </c>
      <c r="H1279" s="646"/>
      <c r="M1279" s="646"/>
      <c r="R1279" s="646"/>
    </row>
    <row r="1280">
      <c r="D1280" s="51"/>
      <c r="E1280" s="51" t="b">
        <v>0</v>
      </c>
      <c r="F1280" t="b">
        <v>0</v>
      </c>
      <c r="H1280" s="646"/>
      <c r="M1280" s="646"/>
      <c r="R1280" s="646"/>
    </row>
    <row r="1281">
      <c r="D1281" s="51"/>
      <c r="E1281" s="51" t="b">
        <v>0</v>
      </c>
      <c r="F1281" t="b">
        <v>0</v>
      </c>
      <c r="H1281" s="646"/>
      <c r="M1281" s="646"/>
      <c r="R1281" s="646"/>
    </row>
    <row r="1282">
      <c r="D1282" s="51"/>
      <c r="E1282" s="51" t="b">
        <v>0</v>
      </c>
      <c r="F1282" t="b">
        <v>0</v>
      </c>
      <c r="H1282" s="646"/>
      <c r="M1282" s="646"/>
      <c r="R1282" s="646"/>
    </row>
    <row r="1283">
      <c r="D1283" s="51"/>
      <c r="E1283" s="51" t="b">
        <v>0</v>
      </c>
      <c r="F1283" t="b">
        <v>0</v>
      </c>
      <c r="H1283" s="646"/>
      <c r="M1283" s="646"/>
      <c r="R1283" s="646"/>
    </row>
    <row r="1284">
      <c r="D1284" s="51"/>
      <c r="E1284" s="51" t="b">
        <v>0</v>
      </c>
      <c r="F1284" t="b">
        <v>0</v>
      </c>
      <c r="H1284" s="646"/>
      <c r="M1284" s="646"/>
      <c r="R1284" s="646"/>
    </row>
    <row r="1285">
      <c r="D1285" s="51"/>
      <c r="E1285" s="51" t="b">
        <v>0</v>
      </c>
      <c r="F1285" t="b">
        <v>0</v>
      </c>
      <c r="H1285" s="646"/>
      <c r="M1285" s="646"/>
      <c r="R1285" s="646"/>
    </row>
    <row r="1286">
      <c r="D1286" s="51"/>
      <c r="E1286" s="51" t="b">
        <v>0</v>
      </c>
      <c r="F1286" t="b">
        <v>0</v>
      </c>
      <c r="H1286" s="646"/>
      <c r="M1286" s="646"/>
      <c r="R1286" s="646"/>
    </row>
    <row r="1287">
      <c r="D1287" s="51"/>
      <c r="E1287" s="51" t="b">
        <v>0</v>
      </c>
      <c r="F1287" t="b">
        <v>0</v>
      </c>
      <c r="H1287" s="646"/>
      <c r="M1287" s="646"/>
      <c r="R1287" s="646"/>
    </row>
    <row r="1288">
      <c r="D1288" s="51"/>
      <c r="E1288" s="51" t="b">
        <v>0</v>
      </c>
      <c r="F1288" t="b">
        <v>0</v>
      </c>
      <c r="H1288" s="646"/>
      <c r="M1288" s="646"/>
      <c r="R1288" s="646"/>
    </row>
    <row r="1289">
      <c r="D1289" s="51"/>
      <c r="E1289" s="51" t="b">
        <v>0</v>
      </c>
      <c r="F1289" t="b">
        <v>0</v>
      </c>
      <c r="H1289" s="646"/>
      <c r="M1289" s="646"/>
      <c r="R1289" s="646"/>
    </row>
    <row r="1290">
      <c r="D1290" s="51"/>
      <c r="E1290" s="51" t="b">
        <v>0</v>
      </c>
      <c r="F1290" t="b">
        <v>0</v>
      </c>
      <c r="H1290" s="646"/>
      <c r="M1290" s="646"/>
      <c r="R1290" s="646"/>
    </row>
    <row r="1291">
      <c r="D1291" s="51"/>
      <c r="E1291" s="51" t="b">
        <v>0</v>
      </c>
      <c r="F1291" t="b">
        <v>0</v>
      </c>
      <c r="H1291" s="646"/>
      <c r="M1291" s="646"/>
      <c r="R1291" s="646"/>
    </row>
    <row r="1292">
      <c r="D1292" s="51"/>
      <c r="E1292" s="51" t="b">
        <v>0</v>
      </c>
      <c r="F1292" t="b">
        <v>0</v>
      </c>
      <c r="H1292" s="646"/>
      <c r="M1292" s="646"/>
      <c r="R1292" s="646"/>
    </row>
    <row r="1293">
      <c r="D1293" s="51"/>
      <c r="E1293" s="51" t="b">
        <v>0</v>
      </c>
      <c r="F1293" t="b">
        <v>0</v>
      </c>
      <c r="H1293" s="646"/>
      <c r="M1293" s="646"/>
      <c r="R1293" s="646"/>
    </row>
    <row r="1294">
      <c r="D1294" s="51"/>
      <c r="E1294" s="51" t="b">
        <v>0</v>
      </c>
      <c r="F1294" t="b">
        <v>0</v>
      </c>
      <c r="H1294" s="646"/>
      <c r="M1294" s="646"/>
      <c r="R1294" s="646"/>
    </row>
    <row r="1295">
      <c r="D1295" s="51"/>
      <c r="E1295" s="51" t="b">
        <v>0</v>
      </c>
      <c r="F1295" t="b">
        <v>0</v>
      </c>
      <c r="H1295" s="646"/>
      <c r="M1295" s="646"/>
      <c r="R1295" s="646"/>
    </row>
    <row r="1296">
      <c r="D1296" s="51"/>
      <c r="E1296" s="51" t="b">
        <v>0</v>
      </c>
      <c r="F1296" t="b">
        <v>0</v>
      </c>
      <c r="H1296" s="646"/>
      <c r="M1296" s="646"/>
      <c r="R1296" s="646"/>
    </row>
    <row r="1297">
      <c r="D1297" s="51"/>
      <c r="E1297" s="51" t="b">
        <v>0</v>
      </c>
      <c r="F1297" t="b">
        <v>0</v>
      </c>
      <c r="H1297" s="646"/>
      <c r="M1297" s="646"/>
      <c r="R1297" s="646"/>
    </row>
    <row r="1298">
      <c r="D1298" s="51"/>
      <c r="E1298" s="51" t="b">
        <v>0</v>
      </c>
      <c r="F1298" t="b">
        <v>0</v>
      </c>
      <c r="H1298" s="646"/>
      <c r="M1298" s="646"/>
      <c r="R1298" s="646"/>
    </row>
    <row r="1299">
      <c r="D1299" s="51"/>
      <c r="E1299" s="51" t="b">
        <v>0</v>
      </c>
      <c r="F1299" t="b">
        <v>0</v>
      </c>
      <c r="H1299" s="646"/>
      <c r="M1299" s="646"/>
      <c r="R1299" s="646"/>
    </row>
    <row r="1300">
      <c r="D1300" s="51"/>
      <c r="E1300" s="51" t="b">
        <v>0</v>
      </c>
      <c r="F1300" t="b">
        <v>0</v>
      </c>
      <c r="H1300" s="646"/>
      <c r="M1300" s="646"/>
      <c r="R1300" s="646"/>
    </row>
    <row r="1301">
      <c r="D1301" s="51"/>
      <c r="E1301" s="51" t="b">
        <v>0</v>
      </c>
      <c r="F1301" t="b">
        <v>0</v>
      </c>
      <c r="H1301" s="646"/>
      <c r="M1301" s="646"/>
      <c r="R1301" s="646"/>
    </row>
    <row r="1302">
      <c r="D1302" s="51"/>
      <c r="E1302" s="51" t="b">
        <v>0</v>
      </c>
      <c r="F1302" t="b">
        <v>0</v>
      </c>
      <c r="H1302" s="646"/>
      <c r="M1302" s="646"/>
      <c r="R1302" s="646"/>
    </row>
    <row r="1303">
      <c r="D1303" s="51"/>
      <c r="E1303" s="51" t="b">
        <v>0</v>
      </c>
      <c r="F1303" t="b">
        <v>0</v>
      </c>
      <c r="H1303" s="646"/>
      <c r="M1303" s="646"/>
      <c r="R1303" s="646"/>
    </row>
    <row r="1304">
      <c r="D1304" s="51"/>
      <c r="E1304" s="51" t="b">
        <v>0</v>
      </c>
      <c r="F1304" t="b">
        <v>0</v>
      </c>
      <c r="H1304" s="646"/>
      <c r="M1304" s="646"/>
      <c r="R1304" s="646"/>
    </row>
    <row r="1305">
      <c r="D1305" s="51"/>
      <c r="E1305" s="51" t="b">
        <v>0</v>
      </c>
      <c r="F1305" t="b">
        <v>0</v>
      </c>
      <c r="H1305" s="646"/>
      <c r="M1305" s="646"/>
      <c r="R1305" s="646"/>
    </row>
    <row r="1306">
      <c r="D1306" s="51"/>
      <c r="E1306" s="51" t="b">
        <v>0</v>
      </c>
      <c r="F1306" t="b">
        <v>0</v>
      </c>
      <c r="H1306" s="646"/>
      <c r="M1306" s="646"/>
      <c r="R1306" s="646"/>
    </row>
    <row r="1307">
      <c r="D1307" s="51"/>
      <c r="E1307" s="51" t="b">
        <v>0</v>
      </c>
      <c r="F1307" t="b">
        <v>0</v>
      </c>
      <c r="H1307" s="646"/>
      <c r="M1307" s="646"/>
      <c r="R1307" s="646"/>
    </row>
    <row r="1308">
      <c r="D1308" s="51"/>
      <c r="E1308" s="51" t="b">
        <v>0</v>
      </c>
      <c r="F1308" t="b">
        <v>0</v>
      </c>
      <c r="H1308" s="646"/>
      <c r="M1308" s="646"/>
      <c r="R1308" s="646"/>
    </row>
    <row r="1309">
      <c r="D1309" s="51"/>
      <c r="E1309" s="51" t="b">
        <v>0</v>
      </c>
      <c r="F1309" t="b">
        <v>0</v>
      </c>
      <c r="H1309" s="646"/>
      <c r="M1309" s="646"/>
      <c r="R1309" s="646"/>
    </row>
    <row r="1310">
      <c r="D1310" s="51"/>
      <c r="E1310" s="51" t="b">
        <v>0</v>
      </c>
      <c r="F1310" t="b">
        <v>0</v>
      </c>
      <c r="H1310" s="646"/>
      <c r="M1310" s="646"/>
      <c r="R1310" s="646"/>
    </row>
    <row r="1311">
      <c r="D1311" s="51"/>
      <c r="E1311" s="51" t="b">
        <v>0</v>
      </c>
      <c r="F1311" t="b">
        <v>0</v>
      </c>
      <c r="H1311" s="646"/>
      <c r="M1311" s="646"/>
      <c r="R1311" s="646"/>
    </row>
    <row r="1312">
      <c r="D1312" s="51"/>
      <c r="E1312" s="51" t="b">
        <v>0</v>
      </c>
      <c r="F1312" t="b">
        <v>0</v>
      </c>
      <c r="H1312" s="646"/>
      <c r="M1312" s="646"/>
      <c r="R1312" s="646"/>
    </row>
    <row r="1313">
      <c r="D1313" s="51"/>
      <c r="E1313" s="51" t="b">
        <v>0</v>
      </c>
      <c r="F1313" t="b">
        <v>0</v>
      </c>
      <c r="H1313" s="646"/>
      <c r="M1313" s="646"/>
      <c r="R1313" s="646"/>
    </row>
    <row r="1314">
      <c r="D1314" s="51"/>
      <c r="E1314" s="51" t="b">
        <v>0</v>
      </c>
      <c r="F1314" t="b">
        <v>0</v>
      </c>
      <c r="H1314" s="646"/>
      <c r="M1314" s="646"/>
      <c r="R1314" s="646"/>
    </row>
    <row r="1315">
      <c r="D1315" s="51"/>
      <c r="E1315" s="51" t="b">
        <v>0</v>
      </c>
      <c r="F1315" t="b">
        <v>0</v>
      </c>
      <c r="H1315" s="646"/>
      <c r="M1315" s="646"/>
      <c r="R1315" s="646"/>
    </row>
    <row r="1316">
      <c r="D1316" s="51"/>
      <c r="E1316" s="51" t="b">
        <v>0</v>
      </c>
      <c r="F1316" t="b">
        <v>0</v>
      </c>
      <c r="H1316" s="646"/>
      <c r="M1316" s="646"/>
      <c r="R1316" s="646"/>
    </row>
    <row r="1317">
      <c r="D1317" s="51"/>
      <c r="E1317" s="51" t="b">
        <v>0</v>
      </c>
      <c r="F1317" t="b">
        <v>0</v>
      </c>
      <c r="H1317" s="646"/>
      <c r="M1317" s="646"/>
      <c r="R1317" s="646"/>
    </row>
    <row r="1318">
      <c r="D1318" s="51"/>
      <c r="E1318" s="51" t="b">
        <v>0</v>
      </c>
      <c r="F1318" t="b">
        <v>0</v>
      </c>
      <c r="H1318" s="646"/>
      <c r="M1318" s="646"/>
      <c r="R1318" s="646"/>
    </row>
    <row r="1319">
      <c r="D1319" s="51"/>
      <c r="E1319" s="51" t="b">
        <v>0</v>
      </c>
      <c r="F1319" t="b">
        <v>0</v>
      </c>
      <c r="H1319" s="646"/>
      <c r="M1319" s="646"/>
      <c r="R1319" s="646"/>
    </row>
    <row r="1320">
      <c r="D1320" s="51"/>
      <c r="E1320" s="51" t="b">
        <v>0</v>
      </c>
      <c r="F1320" t="b">
        <v>0</v>
      </c>
      <c r="H1320" s="646"/>
      <c r="M1320" s="646"/>
      <c r="R1320" s="646"/>
    </row>
    <row r="1321">
      <c r="D1321" s="51"/>
      <c r="E1321" s="51" t="b">
        <v>0</v>
      </c>
      <c r="F1321" t="b">
        <v>0</v>
      </c>
      <c r="H1321" s="646"/>
      <c r="M1321" s="646"/>
      <c r="R1321" s="646"/>
    </row>
    <row r="1322">
      <c r="D1322" s="51"/>
      <c r="E1322" s="51" t="b">
        <v>0</v>
      </c>
      <c r="F1322" t="b">
        <v>0</v>
      </c>
      <c r="H1322" s="646"/>
      <c r="M1322" s="646"/>
      <c r="R1322" s="646"/>
    </row>
    <row r="1323">
      <c r="D1323" s="51"/>
      <c r="E1323" s="51" t="b">
        <v>0</v>
      </c>
      <c r="F1323" t="b">
        <v>0</v>
      </c>
      <c r="H1323" s="646"/>
      <c r="M1323" s="646"/>
      <c r="R1323" s="646"/>
    </row>
    <row r="1324">
      <c r="D1324" s="51"/>
      <c r="E1324" s="51" t="b">
        <v>0</v>
      </c>
      <c r="F1324" t="b">
        <v>0</v>
      </c>
      <c r="H1324" s="646"/>
      <c r="M1324" s="646"/>
      <c r="R1324" s="646"/>
    </row>
    <row r="1325">
      <c r="D1325" s="51"/>
      <c r="E1325" s="51" t="b">
        <v>0</v>
      </c>
      <c r="F1325" t="b">
        <v>0</v>
      </c>
      <c r="H1325" s="646"/>
      <c r="M1325" s="646"/>
      <c r="R1325" s="646"/>
    </row>
    <row r="1326">
      <c r="D1326" s="51"/>
      <c r="E1326" s="51" t="b">
        <v>0</v>
      </c>
      <c r="F1326" t="b">
        <v>0</v>
      </c>
      <c r="H1326" s="646"/>
      <c r="M1326" s="646"/>
      <c r="R1326" s="646"/>
    </row>
    <row r="1327">
      <c r="D1327" s="51"/>
      <c r="E1327" s="51" t="b">
        <v>0</v>
      </c>
      <c r="F1327" t="b">
        <v>0</v>
      </c>
      <c r="H1327" s="646"/>
      <c r="M1327" s="646"/>
      <c r="R1327" s="646"/>
    </row>
    <row r="1328">
      <c r="D1328" s="51"/>
      <c r="E1328" s="51" t="b">
        <v>0</v>
      </c>
      <c r="F1328" t="b">
        <v>0</v>
      </c>
      <c r="H1328" s="646"/>
      <c r="M1328" s="646"/>
      <c r="R1328" s="646"/>
    </row>
    <row r="1329">
      <c r="D1329" s="51"/>
      <c r="E1329" s="51" t="b">
        <v>0</v>
      </c>
      <c r="F1329" t="b">
        <v>0</v>
      </c>
      <c r="H1329" s="646"/>
      <c r="M1329" s="646"/>
      <c r="R1329" s="646"/>
    </row>
    <row r="1330">
      <c r="D1330" s="51"/>
      <c r="E1330" s="51" t="b">
        <v>0</v>
      </c>
      <c r="F1330" t="b">
        <v>0</v>
      </c>
      <c r="H1330" s="646"/>
      <c r="M1330" s="646"/>
      <c r="R1330" s="646"/>
    </row>
    <row r="1331">
      <c r="D1331" s="51"/>
      <c r="E1331" s="51" t="b">
        <v>0</v>
      </c>
      <c r="F1331" t="b">
        <v>0</v>
      </c>
      <c r="H1331" s="646"/>
      <c r="M1331" s="646"/>
      <c r="R1331" s="646"/>
    </row>
    <row r="1332">
      <c r="D1332" s="51"/>
      <c r="E1332" s="51" t="b">
        <v>0</v>
      </c>
      <c r="F1332" t="b">
        <v>0</v>
      </c>
      <c r="H1332" s="646"/>
      <c r="M1332" s="646"/>
      <c r="R1332" s="646"/>
    </row>
    <row r="1333">
      <c r="D1333" s="51"/>
      <c r="E1333" s="51" t="b">
        <v>0</v>
      </c>
      <c r="F1333" t="b">
        <v>0</v>
      </c>
      <c r="H1333" s="646"/>
      <c r="M1333" s="646"/>
      <c r="R1333" s="646"/>
    </row>
    <row r="1334">
      <c r="D1334" s="51"/>
      <c r="E1334" s="51" t="b">
        <v>0</v>
      </c>
      <c r="F1334" t="b">
        <v>0</v>
      </c>
      <c r="H1334" s="646"/>
      <c r="M1334" s="646"/>
      <c r="R1334" s="646"/>
    </row>
    <row r="1335">
      <c r="D1335" s="51"/>
      <c r="E1335" s="51" t="b">
        <v>0</v>
      </c>
      <c r="F1335" t="b">
        <v>0</v>
      </c>
      <c r="H1335" s="646"/>
      <c r="M1335" s="646"/>
      <c r="R1335" s="646"/>
    </row>
    <row r="1336">
      <c r="D1336" s="51"/>
      <c r="E1336" s="51" t="b">
        <v>0</v>
      </c>
      <c r="F1336" t="b">
        <v>0</v>
      </c>
      <c r="H1336" s="646"/>
      <c r="M1336" s="646"/>
      <c r="R1336" s="646"/>
    </row>
    <row r="1337">
      <c r="D1337" s="51"/>
      <c r="E1337" s="51" t="b">
        <v>0</v>
      </c>
      <c r="F1337" t="b">
        <v>0</v>
      </c>
      <c r="H1337" s="646"/>
      <c r="M1337" s="646"/>
      <c r="R1337" s="646"/>
    </row>
    <row r="1338">
      <c r="D1338" s="51"/>
      <c r="E1338" s="51" t="b">
        <v>0</v>
      </c>
      <c r="F1338" t="b">
        <v>0</v>
      </c>
      <c r="H1338" s="646"/>
      <c r="M1338" s="646"/>
      <c r="R1338" s="646"/>
    </row>
    <row r="1339">
      <c r="D1339" s="51"/>
      <c r="E1339" s="51" t="b">
        <v>0</v>
      </c>
      <c r="F1339" t="b">
        <v>0</v>
      </c>
      <c r="H1339" s="646"/>
      <c r="M1339" s="646"/>
      <c r="R1339" s="646"/>
    </row>
    <row r="1340">
      <c r="D1340" s="51"/>
      <c r="E1340" s="51" t="b">
        <v>0</v>
      </c>
      <c r="F1340" t="b">
        <v>0</v>
      </c>
      <c r="H1340" s="646"/>
      <c r="M1340" s="646"/>
      <c r="R1340" s="646"/>
    </row>
    <row r="1341">
      <c r="D1341" s="51"/>
      <c r="E1341" s="51" t="b">
        <v>0</v>
      </c>
      <c r="F1341" t="b">
        <v>0</v>
      </c>
      <c r="H1341" s="646"/>
      <c r="M1341" s="646"/>
      <c r="R1341" s="646"/>
    </row>
    <row r="1342">
      <c r="D1342" s="51"/>
      <c r="E1342" s="51" t="b">
        <v>0</v>
      </c>
      <c r="F1342" t="b">
        <v>0</v>
      </c>
      <c r="H1342" s="646"/>
      <c r="M1342" s="646"/>
      <c r="R1342" s="646"/>
    </row>
    <row r="1343">
      <c r="D1343" s="51"/>
      <c r="E1343" s="51" t="b">
        <v>0</v>
      </c>
      <c r="F1343" t="b">
        <v>0</v>
      </c>
      <c r="H1343" s="646"/>
      <c r="M1343" s="646"/>
      <c r="R1343" s="646"/>
    </row>
    <row r="1344">
      <c r="D1344" s="51"/>
      <c r="E1344" s="51" t="b">
        <v>0</v>
      </c>
      <c r="F1344" t="b">
        <v>0</v>
      </c>
      <c r="H1344" s="646"/>
      <c r="M1344" s="646"/>
      <c r="R1344" s="646"/>
    </row>
    <row r="1345">
      <c r="D1345" s="51"/>
      <c r="E1345" s="51" t="b">
        <v>0</v>
      </c>
      <c r="F1345" t="b">
        <v>0</v>
      </c>
      <c r="H1345" s="646"/>
      <c r="M1345" s="646"/>
      <c r="R1345" s="646"/>
    </row>
    <row r="1346">
      <c r="D1346" s="51"/>
      <c r="E1346" s="51" t="b">
        <v>0</v>
      </c>
      <c r="F1346" t="b">
        <v>0</v>
      </c>
      <c r="H1346" s="646"/>
      <c r="M1346" s="646"/>
      <c r="R1346" s="646"/>
    </row>
    <row r="1347">
      <c r="D1347" s="51"/>
      <c r="E1347" s="51" t="b">
        <v>0</v>
      </c>
      <c r="F1347" t="b">
        <v>0</v>
      </c>
      <c r="H1347" s="646"/>
      <c r="M1347" s="646"/>
      <c r="R1347" s="646"/>
    </row>
    <row r="1348">
      <c r="D1348" s="51"/>
      <c r="E1348" s="51" t="b">
        <v>0</v>
      </c>
      <c r="F1348" t="b">
        <v>0</v>
      </c>
      <c r="H1348" s="646"/>
      <c r="M1348" s="646"/>
      <c r="R1348" s="646"/>
    </row>
    <row r="1349">
      <c r="D1349" s="51"/>
      <c r="E1349" s="51" t="b">
        <v>0</v>
      </c>
      <c r="F1349" t="b">
        <v>0</v>
      </c>
      <c r="H1349" s="646"/>
      <c r="M1349" s="646"/>
      <c r="R1349" s="646"/>
    </row>
    <row r="1350">
      <c r="D1350" s="51"/>
      <c r="E1350" s="51" t="b">
        <v>0</v>
      </c>
      <c r="F1350" t="b">
        <v>0</v>
      </c>
      <c r="H1350" s="646"/>
      <c r="M1350" s="646"/>
      <c r="R1350" s="646"/>
    </row>
    <row r="1351">
      <c r="D1351" s="51"/>
      <c r="E1351" s="51" t="b">
        <v>0</v>
      </c>
      <c r="F1351" t="b">
        <v>0</v>
      </c>
      <c r="H1351" s="646"/>
      <c r="M1351" s="646"/>
      <c r="R1351" s="646"/>
    </row>
    <row r="1352">
      <c r="D1352" s="51"/>
      <c r="E1352" s="51" t="b">
        <v>0</v>
      </c>
      <c r="F1352" t="b">
        <v>0</v>
      </c>
      <c r="H1352" s="646"/>
      <c r="M1352" s="646"/>
      <c r="R1352" s="646"/>
    </row>
    <row r="1353">
      <c r="D1353" s="51"/>
      <c r="E1353" s="51" t="b">
        <v>0</v>
      </c>
      <c r="F1353" t="b">
        <v>0</v>
      </c>
      <c r="H1353" s="646"/>
      <c r="M1353" s="646"/>
      <c r="R1353" s="646"/>
    </row>
    <row r="1354">
      <c r="D1354" s="51"/>
      <c r="E1354" s="51" t="b">
        <v>0</v>
      </c>
      <c r="F1354" t="b">
        <v>0</v>
      </c>
      <c r="H1354" s="646"/>
      <c r="M1354" s="646"/>
      <c r="R1354" s="646"/>
    </row>
    <row r="1355">
      <c r="D1355" s="51"/>
      <c r="E1355" s="51" t="b">
        <v>0</v>
      </c>
      <c r="F1355" t="b">
        <v>0</v>
      </c>
      <c r="H1355" s="646"/>
      <c r="M1355" s="646"/>
      <c r="R1355" s="646"/>
    </row>
    <row r="1356">
      <c r="D1356" s="51"/>
      <c r="E1356" s="51" t="b">
        <v>0</v>
      </c>
      <c r="F1356" t="b">
        <v>0</v>
      </c>
      <c r="H1356" s="646"/>
      <c r="M1356" s="646"/>
      <c r="R1356" s="646"/>
    </row>
    <row r="1357">
      <c r="D1357" s="51"/>
      <c r="E1357" s="51" t="b">
        <v>0</v>
      </c>
      <c r="F1357" t="b">
        <v>0</v>
      </c>
      <c r="H1357" s="646"/>
      <c r="M1357" s="646"/>
      <c r="R1357" s="646"/>
    </row>
    <row r="1358">
      <c r="D1358" s="51"/>
      <c r="E1358" s="51" t="b">
        <v>0</v>
      </c>
      <c r="F1358" t="b">
        <v>0</v>
      </c>
      <c r="H1358" s="646"/>
      <c r="M1358" s="646"/>
      <c r="R1358" s="646"/>
    </row>
    <row r="1359">
      <c r="D1359" s="51"/>
      <c r="E1359" s="51" t="b">
        <v>0</v>
      </c>
      <c r="F1359" t="b">
        <v>0</v>
      </c>
      <c r="H1359" s="646"/>
      <c r="M1359" s="646"/>
      <c r="R1359" s="646"/>
    </row>
    <row r="1360">
      <c r="D1360" s="51"/>
      <c r="E1360" s="51" t="b">
        <v>0</v>
      </c>
      <c r="F1360" t="b">
        <v>0</v>
      </c>
      <c r="H1360" s="646"/>
      <c r="M1360" s="646"/>
      <c r="R1360" s="646"/>
    </row>
    <row r="1361">
      <c r="D1361" s="51"/>
      <c r="E1361" s="51" t="b">
        <v>0</v>
      </c>
      <c r="F1361" t="b">
        <v>0</v>
      </c>
      <c r="H1361" s="646"/>
      <c r="M1361" s="646"/>
      <c r="R1361" s="646"/>
    </row>
    <row r="1362">
      <c r="D1362" s="51"/>
      <c r="E1362" s="51" t="b">
        <v>0</v>
      </c>
      <c r="F1362" t="b">
        <v>0</v>
      </c>
      <c r="H1362" s="646"/>
      <c r="M1362" s="646"/>
      <c r="R1362" s="646"/>
    </row>
    <row r="1363">
      <c r="D1363" s="51"/>
      <c r="E1363" s="51" t="b">
        <v>0</v>
      </c>
      <c r="F1363" t="b">
        <v>0</v>
      </c>
      <c r="H1363" s="646"/>
      <c r="M1363" s="646"/>
      <c r="R1363" s="646"/>
    </row>
    <row r="1364">
      <c r="D1364" s="51"/>
      <c r="E1364" s="51" t="b">
        <v>0</v>
      </c>
      <c r="F1364" t="b">
        <v>0</v>
      </c>
      <c r="H1364" s="646"/>
      <c r="M1364" s="646"/>
      <c r="R1364" s="646"/>
    </row>
    <row r="1365">
      <c r="D1365" s="51"/>
      <c r="E1365" s="51" t="b">
        <v>0</v>
      </c>
      <c r="F1365" t="b">
        <v>0</v>
      </c>
      <c r="H1365" s="646"/>
      <c r="M1365" s="646"/>
      <c r="R1365" s="646"/>
    </row>
    <row r="1366">
      <c r="D1366" s="51"/>
      <c r="E1366" s="51" t="b">
        <v>0</v>
      </c>
      <c r="F1366" t="b">
        <v>0</v>
      </c>
      <c r="H1366" s="646"/>
      <c r="M1366" s="646"/>
      <c r="R1366" s="646"/>
    </row>
    <row r="1367">
      <c r="D1367" s="51"/>
      <c r="E1367" s="51" t="b">
        <v>0</v>
      </c>
      <c r="F1367" t="b">
        <v>0</v>
      </c>
      <c r="H1367" s="646"/>
      <c r="M1367" s="646"/>
      <c r="R1367" s="646"/>
    </row>
    <row r="1368">
      <c r="D1368" s="51"/>
      <c r="E1368" s="51" t="b">
        <v>0</v>
      </c>
      <c r="F1368" t="b">
        <v>0</v>
      </c>
      <c r="H1368" s="646"/>
      <c r="M1368" s="646"/>
      <c r="R1368" s="646"/>
    </row>
    <row r="1369">
      <c r="D1369" s="51"/>
      <c r="E1369" s="51" t="b">
        <v>0</v>
      </c>
      <c r="F1369" t="b">
        <v>0</v>
      </c>
      <c r="H1369" s="646"/>
      <c r="M1369" s="646"/>
      <c r="R1369" s="646"/>
    </row>
    <row r="1370">
      <c r="D1370" s="51"/>
      <c r="E1370" s="51" t="b">
        <v>0</v>
      </c>
      <c r="F1370" t="b">
        <v>0</v>
      </c>
      <c r="H1370" s="646"/>
      <c r="M1370" s="646"/>
      <c r="R1370" s="646"/>
    </row>
    <row r="1371">
      <c r="D1371" s="51"/>
      <c r="E1371" s="51" t="b">
        <v>0</v>
      </c>
      <c r="F1371" t="b">
        <v>0</v>
      </c>
      <c r="H1371" s="646"/>
      <c r="M1371" s="646"/>
      <c r="R1371" s="646"/>
    </row>
    <row r="1372">
      <c r="D1372" s="51"/>
      <c r="E1372" s="51" t="b">
        <v>0</v>
      </c>
      <c r="F1372" t="b">
        <v>0</v>
      </c>
      <c r="H1372" s="646"/>
      <c r="M1372" s="646"/>
      <c r="R1372" s="646"/>
    </row>
    <row r="1373">
      <c r="D1373" s="51"/>
      <c r="E1373" s="51" t="b">
        <v>0</v>
      </c>
      <c r="F1373" t="b">
        <v>0</v>
      </c>
      <c r="H1373" s="646"/>
      <c r="M1373" s="646"/>
      <c r="R1373" s="646"/>
    </row>
    <row r="1374">
      <c r="D1374" s="51"/>
      <c r="E1374" s="51" t="b">
        <v>0</v>
      </c>
      <c r="F1374" t="b">
        <v>0</v>
      </c>
      <c r="H1374" s="646"/>
      <c r="M1374" s="646"/>
      <c r="R1374" s="646"/>
    </row>
    <row r="1375">
      <c r="D1375" s="51"/>
      <c r="E1375" s="51" t="b">
        <v>0</v>
      </c>
      <c r="F1375" t="b">
        <v>0</v>
      </c>
      <c r="H1375" s="646"/>
      <c r="M1375" s="646"/>
      <c r="R1375" s="646"/>
    </row>
    <row r="1376">
      <c r="D1376" s="51"/>
      <c r="E1376" s="51" t="b">
        <v>0</v>
      </c>
      <c r="F1376" t="b">
        <v>0</v>
      </c>
      <c r="H1376" s="646"/>
      <c r="M1376" s="646"/>
      <c r="R1376" s="646"/>
    </row>
    <row r="1377">
      <c r="D1377" s="51"/>
      <c r="E1377" s="51" t="b">
        <v>0</v>
      </c>
      <c r="F1377" t="b">
        <v>0</v>
      </c>
      <c r="H1377" s="646"/>
      <c r="M1377" s="646"/>
      <c r="R1377" s="646"/>
    </row>
    <row r="1378">
      <c r="D1378" s="51"/>
      <c r="E1378" s="51" t="b">
        <v>0</v>
      </c>
      <c r="F1378" t="b">
        <v>0</v>
      </c>
      <c r="H1378" s="646"/>
      <c r="M1378" s="646"/>
      <c r="R1378" s="646"/>
    </row>
    <row r="1379">
      <c r="D1379" s="51"/>
      <c r="E1379" s="51" t="b">
        <v>0</v>
      </c>
      <c r="F1379" t="b">
        <v>0</v>
      </c>
      <c r="H1379" s="646"/>
      <c r="M1379" s="646"/>
      <c r="R1379" s="646"/>
    </row>
    <row r="1380">
      <c r="D1380" s="51"/>
      <c r="E1380" s="51" t="b">
        <v>0</v>
      </c>
      <c r="F1380" t="b">
        <v>0</v>
      </c>
      <c r="H1380" s="646"/>
      <c r="M1380" s="646"/>
      <c r="R1380" s="646"/>
    </row>
    <row r="1381">
      <c r="D1381" s="51"/>
      <c r="E1381" s="51" t="b">
        <v>0</v>
      </c>
      <c r="F1381" t="b">
        <v>0</v>
      </c>
      <c r="H1381" s="646"/>
      <c r="M1381" s="646"/>
      <c r="R1381" s="646"/>
    </row>
    <row r="1382">
      <c r="D1382" s="51"/>
      <c r="E1382" s="51" t="b">
        <v>0</v>
      </c>
      <c r="F1382" t="b">
        <v>0</v>
      </c>
      <c r="H1382" s="646"/>
      <c r="M1382" s="646"/>
      <c r="R1382" s="646"/>
    </row>
    <row r="1383">
      <c r="D1383" s="51"/>
      <c r="E1383" s="51" t="b">
        <v>0</v>
      </c>
      <c r="F1383" t="b">
        <v>0</v>
      </c>
      <c r="H1383" s="646"/>
      <c r="M1383" s="646"/>
      <c r="R1383" s="646"/>
    </row>
    <row r="1384">
      <c r="D1384" s="51"/>
      <c r="E1384" s="51" t="b">
        <v>0</v>
      </c>
      <c r="F1384" t="b">
        <v>0</v>
      </c>
      <c r="H1384" s="646"/>
      <c r="M1384" s="646"/>
      <c r="R1384" s="646"/>
    </row>
    <row r="1385">
      <c r="D1385" s="51"/>
      <c r="E1385" s="51" t="b">
        <v>0</v>
      </c>
      <c r="F1385" t="b">
        <v>0</v>
      </c>
      <c r="H1385" s="646"/>
      <c r="M1385" s="646"/>
      <c r="R1385" s="646"/>
    </row>
    <row r="1386">
      <c r="D1386" s="51"/>
      <c r="E1386" s="51" t="b">
        <v>0</v>
      </c>
      <c r="F1386" t="b">
        <v>0</v>
      </c>
      <c r="H1386" s="646"/>
      <c r="M1386" s="646"/>
      <c r="R1386" s="646"/>
    </row>
    <row r="1387">
      <c r="D1387" s="51"/>
      <c r="E1387" s="51" t="b">
        <v>0</v>
      </c>
      <c r="F1387" t="b">
        <v>0</v>
      </c>
      <c r="H1387" s="646"/>
      <c r="M1387" s="646"/>
      <c r="R1387" s="646"/>
    </row>
    <row r="1388">
      <c r="D1388" s="51"/>
      <c r="E1388" s="51" t="b">
        <v>0</v>
      </c>
      <c r="F1388" t="b">
        <v>0</v>
      </c>
      <c r="H1388" s="646"/>
      <c r="M1388" s="646"/>
      <c r="R1388" s="646"/>
    </row>
    <row r="1389">
      <c r="D1389" s="51"/>
      <c r="E1389" s="51" t="b">
        <v>0</v>
      </c>
      <c r="F1389" t="b">
        <v>0</v>
      </c>
      <c r="H1389" s="646"/>
      <c r="M1389" s="646"/>
      <c r="R1389" s="646"/>
    </row>
    <row r="1390">
      <c r="D1390" s="51"/>
      <c r="E1390" s="51" t="b">
        <v>0</v>
      </c>
      <c r="F1390" t="b">
        <v>0</v>
      </c>
      <c r="H1390" s="646"/>
      <c r="M1390" s="646"/>
      <c r="R1390" s="646"/>
    </row>
    <row r="1391">
      <c r="D1391" s="51"/>
      <c r="E1391" s="51" t="b">
        <v>0</v>
      </c>
      <c r="F1391" t="b">
        <v>0</v>
      </c>
      <c r="H1391" s="646"/>
      <c r="M1391" s="646"/>
      <c r="R1391" s="646"/>
    </row>
    <row r="1392">
      <c r="D1392" s="51"/>
      <c r="E1392" s="51" t="b">
        <v>0</v>
      </c>
      <c r="F1392" t="b">
        <v>0</v>
      </c>
      <c r="H1392" s="646"/>
      <c r="M1392" s="646"/>
      <c r="R1392" s="646"/>
    </row>
    <row r="1393">
      <c r="D1393" s="51"/>
      <c r="E1393" s="51" t="b">
        <v>0</v>
      </c>
      <c r="F1393" t="b">
        <v>0</v>
      </c>
      <c r="H1393" s="646"/>
      <c r="M1393" s="646"/>
      <c r="R1393" s="646"/>
    </row>
    <row r="1394">
      <c r="D1394" s="51"/>
      <c r="E1394" s="51" t="b">
        <v>0</v>
      </c>
      <c r="F1394" t="b">
        <v>0</v>
      </c>
      <c r="H1394" s="646"/>
      <c r="M1394" s="646"/>
      <c r="R1394" s="646"/>
    </row>
    <row r="1395">
      <c r="D1395" s="51"/>
      <c r="E1395" s="51" t="b">
        <v>0</v>
      </c>
      <c r="F1395" t="b">
        <v>0</v>
      </c>
      <c r="H1395" s="646"/>
      <c r="M1395" s="646"/>
      <c r="R1395" s="646"/>
    </row>
    <row r="1396">
      <c r="D1396" s="51"/>
      <c r="E1396" s="51" t="b">
        <v>0</v>
      </c>
      <c r="F1396" t="b">
        <v>0</v>
      </c>
      <c r="H1396" s="646"/>
      <c r="M1396" s="646"/>
      <c r="R1396" s="646"/>
    </row>
    <row r="1397">
      <c r="D1397" s="51"/>
      <c r="E1397" s="51" t="b">
        <v>0</v>
      </c>
      <c r="F1397" t="b">
        <v>0</v>
      </c>
      <c r="H1397" s="646"/>
      <c r="M1397" s="646"/>
      <c r="R1397" s="646"/>
    </row>
    <row r="1398">
      <c r="D1398" s="51"/>
      <c r="E1398" s="51" t="b">
        <v>0</v>
      </c>
      <c r="F1398" t="b">
        <v>0</v>
      </c>
      <c r="H1398" s="646"/>
      <c r="M1398" s="646"/>
      <c r="R1398" s="646"/>
    </row>
    <row r="1399">
      <c r="D1399" s="51"/>
      <c r="E1399" s="51" t="b">
        <v>0</v>
      </c>
      <c r="F1399" t="b">
        <v>0</v>
      </c>
      <c r="H1399" s="646"/>
      <c r="M1399" s="646"/>
      <c r="R1399" s="646"/>
    </row>
    <row r="1400">
      <c r="D1400" s="51"/>
      <c r="E1400" s="51" t="b">
        <v>0</v>
      </c>
      <c r="F1400" t="b">
        <v>0</v>
      </c>
      <c r="H1400" s="646"/>
      <c r="M1400" s="646"/>
      <c r="R1400" s="646"/>
    </row>
    <row r="1401">
      <c r="D1401" s="51"/>
      <c r="E1401" s="51" t="b">
        <v>0</v>
      </c>
      <c r="F1401" t="b">
        <v>0</v>
      </c>
      <c r="H1401" s="646"/>
      <c r="M1401" s="646"/>
      <c r="R1401" s="646"/>
    </row>
    <row r="1402">
      <c r="D1402" s="51"/>
      <c r="E1402" s="51" t="b">
        <v>0</v>
      </c>
      <c r="F1402" t="b">
        <v>0</v>
      </c>
      <c r="H1402" s="646"/>
      <c r="M1402" s="646"/>
      <c r="R1402" s="646"/>
    </row>
    <row r="1403">
      <c r="D1403" s="51"/>
      <c r="E1403" s="51" t="b">
        <v>0</v>
      </c>
      <c r="F1403" t="b">
        <v>0</v>
      </c>
      <c r="H1403" s="646"/>
      <c r="M1403" s="646"/>
      <c r="R1403" s="646"/>
    </row>
    <row r="1404">
      <c r="D1404" s="51"/>
      <c r="E1404" s="51" t="b">
        <v>0</v>
      </c>
      <c r="F1404" t="b">
        <v>0</v>
      </c>
      <c r="H1404" s="646"/>
      <c r="M1404" s="646"/>
      <c r="R1404" s="646"/>
    </row>
    <row r="1405">
      <c r="D1405" s="51"/>
      <c r="E1405" s="51" t="b">
        <v>0</v>
      </c>
      <c r="F1405" t="b">
        <v>0</v>
      </c>
      <c r="H1405" s="646"/>
      <c r="M1405" s="646"/>
      <c r="R1405" s="646"/>
    </row>
    <row r="1406">
      <c r="D1406" s="51"/>
      <c r="E1406" s="51" t="b">
        <v>0</v>
      </c>
      <c r="F1406" t="b">
        <v>0</v>
      </c>
      <c r="H1406" s="646"/>
      <c r="M1406" s="646"/>
      <c r="R1406" s="646"/>
    </row>
    <row r="1407">
      <c r="D1407" s="51"/>
      <c r="E1407" s="51" t="b">
        <v>0</v>
      </c>
      <c r="F1407" t="b">
        <v>0</v>
      </c>
      <c r="H1407" s="646"/>
      <c r="M1407" s="646"/>
      <c r="R1407" s="646"/>
    </row>
    <row r="1408">
      <c r="D1408" s="51"/>
      <c r="E1408" s="51" t="b">
        <v>0</v>
      </c>
      <c r="F1408" t="b">
        <v>0</v>
      </c>
      <c r="H1408" s="646"/>
      <c r="M1408" s="646"/>
      <c r="R1408" s="646"/>
    </row>
    <row r="1409">
      <c r="D1409" s="51"/>
      <c r="E1409" s="51" t="b">
        <v>0</v>
      </c>
      <c r="F1409" t="b">
        <v>0</v>
      </c>
      <c r="H1409" s="646"/>
      <c r="M1409" s="646"/>
      <c r="R1409" s="646"/>
    </row>
    <row r="1410">
      <c r="D1410" s="51"/>
      <c r="E1410" s="51" t="b">
        <v>0</v>
      </c>
      <c r="F1410" t="b">
        <v>0</v>
      </c>
      <c r="H1410" s="646"/>
      <c r="M1410" s="646"/>
      <c r="R1410" s="646"/>
    </row>
    <row r="1411">
      <c r="D1411" s="51"/>
      <c r="E1411" s="51" t="b">
        <v>0</v>
      </c>
      <c r="F1411" t="b">
        <v>0</v>
      </c>
      <c r="H1411" s="646"/>
      <c r="M1411" s="646"/>
      <c r="R1411" s="646"/>
    </row>
    <row r="1412">
      <c r="D1412" s="51"/>
      <c r="E1412" s="51" t="b">
        <v>0</v>
      </c>
      <c r="F1412" t="b">
        <v>0</v>
      </c>
      <c r="H1412" s="646"/>
      <c r="M1412" s="646"/>
      <c r="R1412" s="646"/>
    </row>
    <row r="1413">
      <c r="D1413" s="51"/>
      <c r="E1413" s="51" t="b">
        <v>0</v>
      </c>
      <c r="F1413" t="b">
        <v>0</v>
      </c>
      <c r="H1413" s="646"/>
      <c r="M1413" s="646"/>
      <c r="R1413" s="646"/>
    </row>
    <row r="1414">
      <c r="D1414" s="51"/>
      <c r="E1414" s="51" t="b">
        <v>0</v>
      </c>
      <c r="F1414" t="b">
        <v>0</v>
      </c>
      <c r="H1414" s="646"/>
      <c r="M1414" s="646"/>
      <c r="R1414" s="646"/>
    </row>
    <row r="1415">
      <c r="D1415" s="51"/>
      <c r="E1415" s="51" t="b">
        <v>0</v>
      </c>
      <c r="F1415" t="b">
        <v>0</v>
      </c>
      <c r="H1415" s="646"/>
      <c r="M1415" s="646"/>
      <c r="R1415" s="646"/>
    </row>
    <row r="1416">
      <c r="D1416" s="51"/>
      <c r="E1416" s="51" t="b">
        <v>0</v>
      </c>
      <c r="F1416" t="b">
        <v>0</v>
      </c>
      <c r="H1416" s="646"/>
      <c r="M1416" s="646"/>
      <c r="R1416" s="646"/>
    </row>
    <row r="1417">
      <c r="D1417" s="51"/>
      <c r="E1417" s="51" t="b">
        <v>0</v>
      </c>
      <c r="F1417" t="b">
        <v>0</v>
      </c>
      <c r="H1417" s="646"/>
      <c r="M1417" s="646"/>
      <c r="R1417" s="646"/>
    </row>
    <row r="1418">
      <c r="D1418" s="51"/>
      <c r="E1418" s="51" t="b">
        <v>0</v>
      </c>
      <c r="F1418" t="b">
        <v>0</v>
      </c>
      <c r="H1418" s="646"/>
      <c r="M1418" s="646"/>
      <c r="R1418" s="646"/>
    </row>
    <row r="1419">
      <c r="D1419" s="51"/>
      <c r="E1419" s="51" t="b">
        <v>0</v>
      </c>
      <c r="F1419" t="b">
        <v>0</v>
      </c>
      <c r="H1419" s="646"/>
      <c r="M1419" s="646"/>
      <c r="R1419" s="646"/>
    </row>
    <row r="1420">
      <c r="D1420" s="51"/>
      <c r="E1420" s="51" t="b">
        <v>0</v>
      </c>
      <c r="F1420" t="b">
        <v>0</v>
      </c>
      <c r="H1420" s="646"/>
      <c r="M1420" s="646"/>
      <c r="R1420" s="646"/>
    </row>
    <row r="1421">
      <c r="D1421" s="51"/>
      <c r="E1421" s="51" t="b">
        <v>0</v>
      </c>
      <c r="F1421" t="b">
        <v>0</v>
      </c>
      <c r="H1421" s="646"/>
      <c r="M1421" s="646"/>
      <c r="R1421" s="646"/>
    </row>
    <row r="1422">
      <c r="D1422" s="51"/>
      <c r="E1422" s="51" t="b">
        <v>0</v>
      </c>
      <c r="F1422" t="b">
        <v>0</v>
      </c>
      <c r="H1422" s="646"/>
      <c r="M1422" s="646"/>
      <c r="R1422" s="646"/>
    </row>
    <row r="1423">
      <c r="D1423" s="51"/>
      <c r="E1423" s="51" t="b">
        <v>0</v>
      </c>
      <c r="F1423" t="b">
        <v>0</v>
      </c>
      <c r="H1423" s="646"/>
      <c r="M1423" s="646"/>
      <c r="R1423" s="646"/>
    </row>
    <row r="1424">
      <c r="D1424" s="51"/>
      <c r="E1424" s="51" t="b">
        <v>0</v>
      </c>
      <c r="F1424" t="b">
        <v>0</v>
      </c>
      <c r="H1424" s="646"/>
      <c r="M1424" s="646"/>
      <c r="R1424" s="646"/>
    </row>
    <row r="1425">
      <c r="D1425" s="51"/>
      <c r="E1425" s="51" t="b">
        <v>0</v>
      </c>
      <c r="F1425" t="b">
        <v>0</v>
      </c>
      <c r="H1425" s="646"/>
      <c r="M1425" s="646"/>
      <c r="R1425" s="646"/>
    </row>
    <row r="1426">
      <c r="D1426" s="51"/>
      <c r="E1426" s="51" t="b">
        <v>0</v>
      </c>
      <c r="F1426" t="b">
        <v>0</v>
      </c>
      <c r="H1426" s="646"/>
      <c r="M1426" s="646"/>
      <c r="R1426" s="646"/>
    </row>
    <row r="1427">
      <c r="D1427" s="51"/>
      <c r="E1427" s="51" t="b">
        <v>0</v>
      </c>
      <c r="F1427" t="b">
        <v>0</v>
      </c>
      <c r="H1427" s="646"/>
      <c r="M1427" s="646"/>
      <c r="R1427" s="646"/>
    </row>
    <row r="1428">
      <c r="D1428" s="51"/>
      <c r="E1428" s="51" t="b">
        <v>0</v>
      </c>
      <c r="F1428" t="b">
        <v>0</v>
      </c>
      <c r="H1428" s="646"/>
      <c r="M1428" s="646"/>
      <c r="R1428" s="646"/>
    </row>
    <row r="1429">
      <c r="D1429" s="51"/>
      <c r="E1429" s="51" t="b">
        <v>0</v>
      </c>
      <c r="F1429" t="b">
        <v>0</v>
      </c>
      <c r="H1429" s="646"/>
      <c r="M1429" s="646"/>
      <c r="R1429" s="646"/>
    </row>
    <row r="1430">
      <c r="D1430" s="51"/>
      <c r="E1430" s="51" t="b">
        <v>0</v>
      </c>
      <c r="F1430" t="b">
        <v>0</v>
      </c>
      <c r="H1430" s="646"/>
      <c r="M1430" s="646"/>
      <c r="R1430" s="646"/>
    </row>
    <row r="1431">
      <c r="D1431" s="51"/>
      <c r="E1431" s="51" t="b">
        <v>0</v>
      </c>
      <c r="F1431" t="b">
        <v>0</v>
      </c>
      <c r="H1431" s="646"/>
      <c r="M1431" s="646"/>
      <c r="R1431" s="646"/>
    </row>
    <row r="1432">
      <c r="D1432" s="51"/>
      <c r="E1432" s="51" t="b">
        <v>0</v>
      </c>
      <c r="F1432" t="b">
        <v>0</v>
      </c>
      <c r="H1432" s="646"/>
      <c r="M1432" s="646"/>
      <c r="R1432" s="646"/>
    </row>
    <row r="1433">
      <c r="D1433" s="51"/>
      <c r="E1433" s="51" t="b">
        <v>0</v>
      </c>
      <c r="F1433" t="b">
        <v>0</v>
      </c>
      <c r="H1433" s="646"/>
      <c r="M1433" s="646"/>
      <c r="R1433" s="646"/>
    </row>
    <row r="1434">
      <c r="D1434" s="51"/>
      <c r="E1434" s="51" t="b">
        <v>0</v>
      </c>
      <c r="F1434" t="b">
        <v>0</v>
      </c>
      <c r="H1434" s="646"/>
      <c r="M1434" s="646"/>
      <c r="R1434" s="646"/>
    </row>
    <row r="1435">
      <c r="D1435" s="51"/>
      <c r="E1435" s="51" t="b">
        <v>0</v>
      </c>
      <c r="F1435" t="b">
        <v>0</v>
      </c>
      <c r="H1435" s="646"/>
      <c r="M1435" s="646"/>
      <c r="R1435" s="646"/>
    </row>
    <row r="1436">
      <c r="D1436" s="51"/>
      <c r="E1436" s="51" t="b">
        <v>0</v>
      </c>
      <c r="F1436" t="b">
        <v>0</v>
      </c>
      <c r="H1436" s="646"/>
      <c r="M1436" s="646"/>
      <c r="R1436" s="646"/>
    </row>
    <row r="1437">
      <c r="D1437" s="51"/>
      <c r="E1437" s="51" t="b">
        <v>0</v>
      </c>
      <c r="F1437" t="b">
        <v>0</v>
      </c>
      <c r="H1437" s="646"/>
      <c r="M1437" s="646"/>
      <c r="R1437" s="646"/>
    </row>
    <row r="1438">
      <c r="D1438" s="51"/>
      <c r="E1438" s="51" t="b">
        <v>0</v>
      </c>
      <c r="F1438" t="b">
        <v>0</v>
      </c>
      <c r="H1438" s="646"/>
      <c r="M1438" s="646"/>
      <c r="R1438" s="646"/>
    </row>
    <row r="1439">
      <c r="D1439" s="51"/>
      <c r="E1439" s="51" t="b">
        <v>0</v>
      </c>
      <c r="F1439" t="b">
        <v>0</v>
      </c>
      <c r="H1439" s="646"/>
      <c r="M1439" s="646"/>
      <c r="R1439" s="646"/>
    </row>
    <row r="1440">
      <c r="D1440" s="51"/>
      <c r="E1440" s="51" t="b">
        <v>0</v>
      </c>
      <c r="F1440" t="b">
        <v>0</v>
      </c>
      <c r="H1440" s="646"/>
      <c r="M1440" s="646"/>
      <c r="R1440" s="646"/>
    </row>
    <row r="1441">
      <c r="D1441" s="51"/>
      <c r="E1441" s="51" t="b">
        <v>0</v>
      </c>
      <c r="F1441" t="b">
        <v>0</v>
      </c>
      <c r="H1441" s="646"/>
      <c r="M1441" s="646"/>
      <c r="R1441" s="646"/>
    </row>
    <row r="1442">
      <c r="D1442" s="51"/>
      <c r="E1442" s="51" t="b">
        <v>0</v>
      </c>
      <c r="F1442" t="b">
        <v>0</v>
      </c>
      <c r="H1442" s="646"/>
      <c r="M1442" s="646"/>
      <c r="R1442" s="646"/>
    </row>
    <row r="1443">
      <c r="D1443" s="51"/>
      <c r="E1443" s="51" t="b">
        <v>0</v>
      </c>
      <c r="F1443" t="b">
        <v>0</v>
      </c>
      <c r="H1443" s="646"/>
      <c r="M1443" s="646"/>
      <c r="R1443" s="646"/>
    </row>
    <row r="1444">
      <c r="D1444" s="51"/>
      <c r="E1444" s="51" t="b">
        <v>0</v>
      </c>
      <c r="F1444" t="b">
        <v>0</v>
      </c>
      <c r="H1444" s="646"/>
      <c r="M1444" s="646"/>
      <c r="R1444" s="646"/>
    </row>
    <row r="1445">
      <c r="D1445" s="51"/>
      <c r="E1445" s="51" t="b">
        <v>0</v>
      </c>
      <c r="F1445" t="b">
        <v>0</v>
      </c>
      <c r="H1445" s="646"/>
      <c r="M1445" s="646"/>
      <c r="R1445" s="646"/>
    </row>
    <row r="1446">
      <c r="D1446" s="51"/>
      <c r="E1446" s="51" t="b">
        <v>0</v>
      </c>
      <c r="F1446" t="b">
        <v>0</v>
      </c>
      <c r="H1446" s="646"/>
      <c r="M1446" s="646"/>
      <c r="R1446" s="646"/>
    </row>
    <row r="1447">
      <c r="D1447" s="51"/>
      <c r="E1447" s="51" t="b">
        <v>0</v>
      </c>
      <c r="F1447" t="b">
        <v>0</v>
      </c>
      <c r="H1447" s="646"/>
      <c r="M1447" s="646"/>
      <c r="R1447" s="646"/>
    </row>
    <row r="1448">
      <c r="D1448" s="51"/>
      <c r="E1448" s="51" t="b">
        <v>0</v>
      </c>
      <c r="F1448" t="b">
        <v>0</v>
      </c>
      <c r="H1448" s="646"/>
      <c r="M1448" s="646"/>
      <c r="R1448" s="646"/>
    </row>
    <row r="1449">
      <c r="D1449" s="51"/>
      <c r="E1449" s="51" t="b">
        <v>0</v>
      </c>
      <c r="F1449" t="b">
        <v>0</v>
      </c>
      <c r="H1449" s="646"/>
      <c r="M1449" s="646"/>
      <c r="R1449" s="646"/>
    </row>
    <row r="1450">
      <c r="D1450" s="51"/>
      <c r="E1450" s="51" t="b">
        <v>0</v>
      </c>
      <c r="F1450" t="b">
        <v>0</v>
      </c>
      <c r="H1450" s="646"/>
      <c r="M1450" s="646"/>
      <c r="R1450" s="646"/>
    </row>
    <row r="1451">
      <c r="D1451" s="51"/>
      <c r="E1451" s="51" t="b">
        <v>0</v>
      </c>
      <c r="F1451" t="b">
        <v>0</v>
      </c>
      <c r="H1451" s="646"/>
      <c r="M1451" s="646"/>
      <c r="R1451" s="646"/>
    </row>
    <row r="1452">
      <c r="D1452" s="51"/>
      <c r="E1452" s="51" t="b">
        <v>0</v>
      </c>
      <c r="F1452" t="b">
        <v>0</v>
      </c>
      <c r="H1452" s="646"/>
      <c r="M1452" s="646"/>
      <c r="R1452" s="646"/>
    </row>
    <row r="1453">
      <c r="D1453" s="51"/>
      <c r="E1453" s="51" t="b">
        <v>0</v>
      </c>
      <c r="F1453" t="b">
        <v>0</v>
      </c>
      <c r="H1453" s="646"/>
      <c r="M1453" s="646"/>
      <c r="R1453" s="646"/>
    </row>
    <row r="1454">
      <c r="D1454" s="51"/>
      <c r="E1454" s="51" t="b">
        <v>0</v>
      </c>
      <c r="F1454" t="b">
        <v>0</v>
      </c>
      <c r="H1454" s="646"/>
      <c r="M1454" s="646"/>
      <c r="R1454" s="646"/>
    </row>
    <row r="1455">
      <c r="D1455" s="51"/>
      <c r="E1455" s="51" t="b">
        <v>0</v>
      </c>
      <c r="F1455" t="b">
        <v>0</v>
      </c>
      <c r="H1455" s="646"/>
      <c r="M1455" s="646"/>
      <c r="R1455" s="646"/>
    </row>
    <row r="1456">
      <c r="D1456" s="51"/>
      <c r="E1456" s="51" t="b">
        <v>0</v>
      </c>
      <c r="F1456" t="b">
        <v>0</v>
      </c>
      <c r="H1456" s="646"/>
      <c r="M1456" s="646"/>
      <c r="R1456" s="646"/>
    </row>
    <row r="1457">
      <c r="D1457" s="51"/>
      <c r="E1457" s="51" t="b">
        <v>0</v>
      </c>
      <c r="F1457" t="b">
        <v>0</v>
      </c>
      <c r="H1457" s="646"/>
      <c r="M1457" s="646"/>
      <c r="R1457" s="646"/>
    </row>
    <row r="1458">
      <c r="D1458" s="51"/>
      <c r="E1458" s="51" t="b">
        <v>0</v>
      </c>
      <c r="F1458" t="b">
        <v>0</v>
      </c>
      <c r="H1458" s="646"/>
      <c r="M1458" s="646"/>
      <c r="R1458" s="646"/>
    </row>
    <row r="1459">
      <c r="D1459" s="51"/>
      <c r="E1459" s="51" t="b">
        <v>0</v>
      </c>
      <c r="F1459" t="b">
        <v>0</v>
      </c>
      <c r="H1459" s="646"/>
      <c r="M1459" s="646"/>
      <c r="R1459" s="646"/>
    </row>
    <row r="1460">
      <c r="D1460" s="51"/>
      <c r="E1460" s="51" t="b">
        <v>0</v>
      </c>
      <c r="F1460" t="b">
        <v>0</v>
      </c>
      <c r="H1460" s="646"/>
      <c r="M1460" s="646"/>
      <c r="R1460" s="646"/>
    </row>
    <row r="1461">
      <c r="D1461" s="51"/>
      <c r="E1461" s="51" t="b">
        <v>0</v>
      </c>
      <c r="F1461" t="b">
        <v>0</v>
      </c>
      <c r="H1461" s="646"/>
      <c r="M1461" s="646"/>
      <c r="R1461" s="646"/>
    </row>
    <row r="1462">
      <c r="D1462" s="51"/>
      <c r="E1462" s="51" t="b">
        <v>0</v>
      </c>
      <c r="F1462" t="b">
        <v>0</v>
      </c>
      <c r="H1462" s="646"/>
      <c r="M1462" s="646"/>
      <c r="R1462" s="646"/>
    </row>
    <row r="1463">
      <c r="D1463" s="51"/>
      <c r="E1463" s="51" t="b">
        <v>0</v>
      </c>
      <c r="F1463" t="b">
        <v>0</v>
      </c>
      <c r="H1463" s="646"/>
      <c r="M1463" s="646"/>
      <c r="R1463" s="646"/>
    </row>
    <row r="1464">
      <c r="D1464" s="51"/>
      <c r="E1464" s="51" t="b">
        <v>0</v>
      </c>
      <c r="F1464" t="b">
        <v>0</v>
      </c>
      <c r="H1464" s="646"/>
      <c r="M1464" s="646"/>
      <c r="R1464" s="646"/>
    </row>
    <row r="1465">
      <c r="D1465" s="51"/>
      <c r="E1465" s="51" t="b">
        <v>0</v>
      </c>
      <c r="F1465" t="b">
        <v>0</v>
      </c>
      <c r="H1465" s="646"/>
      <c r="M1465" s="646"/>
      <c r="R1465" s="646"/>
    </row>
    <row r="1466">
      <c r="D1466" s="51"/>
      <c r="E1466" s="51" t="b">
        <v>0</v>
      </c>
      <c r="F1466" t="b">
        <v>0</v>
      </c>
      <c r="H1466" s="646"/>
      <c r="M1466" s="646"/>
      <c r="R1466" s="646"/>
    </row>
    <row r="1467">
      <c r="D1467" s="51"/>
      <c r="E1467" s="51" t="b">
        <v>0</v>
      </c>
      <c r="F1467" t="b">
        <v>0</v>
      </c>
      <c r="H1467" s="646"/>
      <c r="M1467" s="646"/>
      <c r="R1467" s="646"/>
    </row>
    <row r="1468">
      <c r="D1468" s="51"/>
      <c r="E1468" s="51" t="b">
        <v>0</v>
      </c>
      <c r="F1468" t="b">
        <v>0</v>
      </c>
      <c r="H1468" s="646"/>
      <c r="M1468" s="646"/>
      <c r="R1468" s="646"/>
    </row>
    <row r="1469">
      <c r="D1469" s="51"/>
      <c r="E1469" s="51" t="b">
        <v>0</v>
      </c>
      <c r="F1469" t="b">
        <v>0</v>
      </c>
      <c r="H1469" s="646"/>
      <c r="M1469" s="646"/>
      <c r="R1469" s="646"/>
    </row>
    <row r="1470">
      <c r="D1470" s="51"/>
      <c r="E1470" s="51" t="b">
        <v>0</v>
      </c>
      <c r="F1470" t="b">
        <v>0</v>
      </c>
      <c r="H1470" s="646"/>
      <c r="M1470" s="646"/>
      <c r="R1470" s="646"/>
    </row>
    <row r="1471">
      <c r="D1471" s="51"/>
      <c r="E1471" s="51" t="b">
        <v>0</v>
      </c>
      <c r="F1471" t="b">
        <v>0</v>
      </c>
      <c r="H1471" s="646"/>
      <c r="M1471" s="646"/>
      <c r="R1471" s="646"/>
    </row>
    <row r="1472">
      <c r="D1472" s="51"/>
      <c r="E1472" s="51" t="b">
        <v>0</v>
      </c>
      <c r="F1472" t="b">
        <v>0</v>
      </c>
      <c r="H1472" s="646"/>
      <c r="M1472" s="646"/>
      <c r="R1472" s="646"/>
    </row>
    <row r="1473">
      <c r="D1473" s="51"/>
      <c r="E1473" s="51" t="b">
        <v>0</v>
      </c>
      <c r="F1473" t="b">
        <v>0</v>
      </c>
      <c r="H1473" s="646"/>
      <c r="M1473" s="646"/>
      <c r="R1473" s="646"/>
    </row>
    <row r="1474">
      <c r="D1474" s="51"/>
      <c r="E1474" s="51" t="b">
        <v>0</v>
      </c>
      <c r="F1474" t="b">
        <v>0</v>
      </c>
      <c r="H1474" s="646"/>
      <c r="M1474" s="646"/>
      <c r="R1474" s="646"/>
    </row>
    <row r="1475">
      <c r="D1475" s="51"/>
      <c r="E1475" s="51" t="b">
        <v>0</v>
      </c>
      <c r="F1475" t="b">
        <v>0</v>
      </c>
      <c r="H1475" s="646"/>
      <c r="M1475" s="646"/>
      <c r="R1475" s="646"/>
    </row>
    <row r="1476">
      <c r="D1476" s="51"/>
      <c r="E1476" s="51" t="b">
        <v>0</v>
      </c>
      <c r="F1476" t="b">
        <v>0</v>
      </c>
      <c r="H1476" s="646"/>
      <c r="M1476" s="646"/>
      <c r="R1476" s="646"/>
    </row>
    <row r="1477">
      <c r="D1477" s="51"/>
      <c r="E1477" s="51" t="b">
        <v>0</v>
      </c>
      <c r="F1477" t="b">
        <v>0</v>
      </c>
      <c r="H1477" s="646"/>
      <c r="M1477" s="646"/>
      <c r="R1477" s="646"/>
    </row>
    <row r="1478">
      <c r="D1478" s="51"/>
      <c r="E1478" s="51" t="b">
        <v>0</v>
      </c>
      <c r="F1478" t="b">
        <v>0</v>
      </c>
      <c r="H1478" s="646"/>
      <c r="M1478" s="646"/>
      <c r="R1478" s="646"/>
    </row>
    <row r="1479">
      <c r="D1479" s="51"/>
      <c r="E1479" s="51" t="b">
        <v>0</v>
      </c>
      <c r="F1479" t="b">
        <v>0</v>
      </c>
      <c r="H1479" s="646"/>
      <c r="M1479" s="646"/>
      <c r="R1479" s="646"/>
    </row>
    <row r="1480">
      <c r="D1480" s="51"/>
      <c r="E1480" s="51" t="b">
        <v>0</v>
      </c>
      <c r="F1480" t="b">
        <v>0</v>
      </c>
      <c r="H1480" s="646"/>
      <c r="M1480" s="646"/>
      <c r="R1480" s="646"/>
    </row>
    <row r="1481">
      <c r="D1481" s="51"/>
      <c r="E1481" s="51" t="b">
        <v>0</v>
      </c>
      <c r="F1481" t="b">
        <v>0</v>
      </c>
      <c r="H1481" s="646"/>
      <c r="M1481" s="646"/>
      <c r="R1481" s="646"/>
    </row>
    <row r="1482">
      <c r="D1482" s="51"/>
      <c r="E1482" s="51" t="b">
        <v>0</v>
      </c>
      <c r="F1482" t="b">
        <v>0</v>
      </c>
      <c r="H1482" s="646"/>
      <c r="M1482" s="646"/>
      <c r="R1482" s="646"/>
    </row>
    <row r="1483">
      <c r="D1483" s="51"/>
      <c r="E1483" s="51" t="b">
        <v>0</v>
      </c>
      <c r="F1483" t="b">
        <v>0</v>
      </c>
      <c r="H1483" s="646"/>
      <c r="M1483" s="646"/>
      <c r="R1483" s="646"/>
    </row>
    <row r="1484">
      <c r="D1484" s="51"/>
      <c r="E1484" s="51" t="b">
        <v>0</v>
      </c>
      <c r="F1484" t="b">
        <v>0</v>
      </c>
      <c r="H1484" s="646"/>
      <c r="M1484" s="646"/>
      <c r="R1484" s="646"/>
    </row>
    <row r="1485">
      <c r="D1485" s="51"/>
      <c r="E1485" s="51" t="b">
        <v>0</v>
      </c>
      <c r="F1485" t="b">
        <v>0</v>
      </c>
      <c r="H1485" s="646"/>
      <c r="M1485" s="646"/>
      <c r="R1485" s="646"/>
    </row>
    <row r="1486">
      <c r="D1486" s="51"/>
      <c r="E1486" s="51" t="b">
        <v>0</v>
      </c>
      <c r="F1486" t="b">
        <v>0</v>
      </c>
      <c r="H1486" s="646"/>
      <c r="M1486" s="646"/>
      <c r="R1486" s="646"/>
    </row>
    <row r="1487">
      <c r="D1487" s="51"/>
      <c r="E1487" s="51" t="b">
        <v>0</v>
      </c>
      <c r="F1487" t="b">
        <v>0</v>
      </c>
      <c r="H1487" s="646"/>
      <c r="M1487" s="646"/>
      <c r="R1487" s="646"/>
    </row>
    <row r="1488">
      <c r="D1488" s="51"/>
      <c r="E1488" s="51" t="b">
        <v>0</v>
      </c>
      <c r="F1488" t="b">
        <v>0</v>
      </c>
      <c r="H1488" s="646"/>
      <c r="M1488" s="646"/>
      <c r="R1488" s="646"/>
    </row>
    <row r="1489">
      <c r="D1489" s="51"/>
      <c r="E1489" s="51" t="b">
        <v>0</v>
      </c>
      <c r="F1489" t="b">
        <v>0</v>
      </c>
      <c r="H1489" s="646"/>
      <c r="M1489" s="646"/>
      <c r="R1489" s="646"/>
    </row>
    <row r="1490">
      <c r="D1490" s="51"/>
      <c r="E1490" s="51" t="b">
        <v>0</v>
      </c>
      <c r="F1490" t="b">
        <v>0</v>
      </c>
      <c r="H1490" s="646"/>
      <c r="M1490" s="646"/>
      <c r="R1490" s="646"/>
    </row>
    <row r="1491">
      <c r="D1491" s="51"/>
      <c r="E1491" s="51" t="b">
        <v>0</v>
      </c>
      <c r="F1491" t="b">
        <v>0</v>
      </c>
      <c r="H1491" s="646"/>
      <c r="M1491" s="646"/>
      <c r="R1491" s="646"/>
    </row>
    <row r="1492">
      <c r="D1492" s="51"/>
      <c r="E1492" s="51" t="b">
        <v>0</v>
      </c>
      <c r="F1492" t="b">
        <v>0</v>
      </c>
      <c r="H1492" s="646"/>
      <c r="M1492" s="646"/>
      <c r="R1492" s="646"/>
    </row>
    <row r="1493">
      <c r="D1493" s="51"/>
      <c r="E1493" s="51" t="b">
        <v>0</v>
      </c>
      <c r="F1493" t="b">
        <v>0</v>
      </c>
      <c r="H1493" s="646"/>
      <c r="M1493" s="646"/>
      <c r="R1493" s="646"/>
    </row>
    <row r="1494">
      <c r="D1494" s="51"/>
      <c r="E1494" s="51" t="b">
        <v>0</v>
      </c>
      <c r="F1494" t="b">
        <v>0</v>
      </c>
      <c r="H1494" s="646"/>
      <c r="M1494" s="646"/>
      <c r="R1494" s="646"/>
    </row>
    <row r="1495">
      <c r="D1495" s="51"/>
      <c r="E1495" s="51" t="b">
        <v>0</v>
      </c>
      <c r="F1495" t="b">
        <v>0</v>
      </c>
      <c r="H1495" s="646"/>
      <c r="M1495" s="646"/>
      <c r="R1495" s="646"/>
    </row>
    <row r="1496">
      <c r="D1496" s="51"/>
      <c r="E1496" s="51" t="b">
        <v>0</v>
      </c>
      <c r="F1496" t="b">
        <v>0</v>
      </c>
      <c r="H1496" s="646"/>
      <c r="M1496" s="646"/>
      <c r="R1496" s="646"/>
    </row>
    <row r="1497">
      <c r="D1497" s="51"/>
      <c r="E1497" s="51" t="b">
        <v>0</v>
      </c>
      <c r="F1497" t="b">
        <v>0</v>
      </c>
      <c r="H1497" s="646"/>
      <c r="M1497" s="646"/>
      <c r="R1497" s="646"/>
    </row>
    <row r="1498">
      <c r="D1498" s="51"/>
      <c r="E1498" s="51" t="b">
        <v>0</v>
      </c>
      <c r="F1498" t="b">
        <v>0</v>
      </c>
      <c r="H1498" s="646"/>
      <c r="M1498" s="646"/>
      <c r="R1498" s="646"/>
    </row>
    <row r="1499">
      <c r="D1499" s="51"/>
      <c r="E1499" s="51" t="b">
        <v>0</v>
      </c>
      <c r="F1499" t="b">
        <v>0</v>
      </c>
      <c r="H1499" s="646"/>
      <c r="M1499" s="646"/>
      <c r="R1499" s="646"/>
    </row>
    <row r="1500">
      <c r="D1500" s="51"/>
      <c r="E1500" s="51" t="b">
        <v>0</v>
      </c>
      <c r="F1500" t="b">
        <v>0</v>
      </c>
      <c r="H1500" s="646"/>
      <c r="M1500" s="646"/>
      <c r="R1500" s="646"/>
    </row>
    <row r="1501">
      <c r="D1501" s="51"/>
      <c r="E1501" s="51" t="b">
        <v>0</v>
      </c>
      <c r="F1501" t="b">
        <v>0</v>
      </c>
      <c r="H1501" s="646"/>
      <c r="M1501" s="646"/>
      <c r="R1501" s="646"/>
    </row>
    <row r="1502">
      <c r="D1502" s="51"/>
      <c r="E1502" s="51" t="b">
        <v>0</v>
      </c>
      <c r="F1502" t="b">
        <v>0</v>
      </c>
      <c r="H1502" s="646"/>
      <c r="M1502" s="646"/>
      <c r="R1502" s="646"/>
    </row>
    <row r="1503">
      <c r="D1503" s="51"/>
      <c r="E1503" s="51" t="b">
        <v>0</v>
      </c>
      <c r="F1503" t="b">
        <v>0</v>
      </c>
      <c r="H1503" s="646"/>
      <c r="M1503" s="646"/>
      <c r="R1503" s="646"/>
    </row>
    <row r="1504">
      <c r="D1504" s="51"/>
      <c r="E1504" s="51" t="b">
        <v>0</v>
      </c>
      <c r="F1504" t="b">
        <v>0</v>
      </c>
      <c r="H1504" s="646"/>
      <c r="M1504" s="646"/>
      <c r="R1504" s="646"/>
    </row>
    <row r="1505">
      <c r="D1505" s="51"/>
      <c r="E1505" s="51" t="b">
        <v>0</v>
      </c>
      <c r="F1505" t="b">
        <v>0</v>
      </c>
      <c r="H1505" s="646"/>
      <c r="M1505" s="646"/>
      <c r="R1505" s="646"/>
    </row>
    <row r="1506">
      <c r="D1506" s="51"/>
      <c r="E1506" s="51" t="b">
        <v>0</v>
      </c>
      <c r="F1506" t="b">
        <v>0</v>
      </c>
      <c r="H1506" s="646"/>
      <c r="M1506" s="646"/>
      <c r="R1506" s="646"/>
    </row>
    <row r="1507">
      <c r="D1507" s="51"/>
      <c r="E1507" s="51" t="b">
        <v>0</v>
      </c>
      <c r="F1507" t="b">
        <v>0</v>
      </c>
      <c r="H1507" s="646"/>
      <c r="M1507" s="646"/>
      <c r="R1507" s="646"/>
    </row>
    <row r="1508">
      <c r="D1508" s="51"/>
      <c r="E1508" s="51" t="b">
        <v>0</v>
      </c>
      <c r="F1508" t="b">
        <v>0</v>
      </c>
      <c r="H1508" s="646"/>
      <c r="M1508" s="646"/>
      <c r="R1508" s="646"/>
    </row>
    <row r="1509">
      <c r="D1509" s="51"/>
      <c r="E1509" s="51" t="b">
        <v>0</v>
      </c>
      <c r="F1509" t="b">
        <v>0</v>
      </c>
      <c r="H1509" s="646"/>
      <c r="M1509" s="646"/>
      <c r="R1509" s="646"/>
    </row>
    <row r="1510">
      <c r="D1510" s="51"/>
      <c r="E1510" s="51" t="b">
        <v>0</v>
      </c>
      <c r="F1510" t="b">
        <v>0</v>
      </c>
      <c r="H1510" s="646"/>
      <c r="M1510" s="646"/>
      <c r="R1510" s="646"/>
    </row>
    <row r="1511">
      <c r="D1511" s="51"/>
      <c r="E1511" s="51" t="b">
        <v>0</v>
      </c>
      <c r="F1511" t="b">
        <v>0</v>
      </c>
      <c r="H1511" s="646"/>
      <c r="M1511" s="646"/>
      <c r="R1511" s="646"/>
    </row>
    <row r="1512">
      <c r="D1512" s="51"/>
      <c r="E1512" s="51" t="b">
        <v>0</v>
      </c>
      <c r="F1512" t="b">
        <v>0</v>
      </c>
      <c r="H1512" s="646"/>
      <c r="M1512" s="646"/>
      <c r="R1512" s="646"/>
    </row>
    <row r="1513">
      <c r="D1513" s="51"/>
      <c r="E1513" s="51" t="b">
        <v>0</v>
      </c>
      <c r="F1513" t="b">
        <v>0</v>
      </c>
      <c r="H1513" s="646"/>
      <c r="M1513" s="646"/>
      <c r="R1513" s="646"/>
    </row>
    <row r="1514">
      <c r="D1514" s="51"/>
      <c r="E1514" s="51" t="b">
        <v>0</v>
      </c>
      <c r="F1514" t="b">
        <v>0</v>
      </c>
      <c r="H1514" s="646"/>
      <c r="M1514" s="646"/>
      <c r="R1514" s="646"/>
    </row>
    <row r="1515">
      <c r="D1515" s="51"/>
      <c r="E1515" s="51" t="b">
        <v>0</v>
      </c>
      <c r="F1515" t="b">
        <v>0</v>
      </c>
      <c r="H1515" s="646"/>
      <c r="M1515" s="646"/>
      <c r="R1515" s="646"/>
    </row>
    <row r="1516">
      <c r="D1516" s="51"/>
      <c r="E1516" s="51" t="b">
        <v>0</v>
      </c>
      <c r="F1516" t="b">
        <v>0</v>
      </c>
      <c r="H1516" s="646"/>
      <c r="M1516" s="646"/>
      <c r="R1516" s="646"/>
    </row>
    <row r="1517">
      <c r="D1517" s="51"/>
      <c r="E1517" s="51" t="b">
        <v>0</v>
      </c>
      <c r="F1517" t="b">
        <v>0</v>
      </c>
      <c r="H1517" s="646"/>
      <c r="M1517" s="646"/>
      <c r="R1517" s="646"/>
    </row>
    <row r="1518">
      <c r="D1518" s="51"/>
      <c r="E1518" s="51" t="b">
        <v>0</v>
      </c>
      <c r="F1518" t="b">
        <v>0</v>
      </c>
      <c r="H1518" s="646"/>
      <c r="M1518" s="646"/>
      <c r="R1518" s="646"/>
    </row>
    <row r="1519">
      <c r="D1519" s="51"/>
      <c r="E1519" s="51" t="b">
        <v>0</v>
      </c>
      <c r="F1519" t="b">
        <v>0</v>
      </c>
      <c r="H1519" s="646"/>
      <c r="M1519" s="646"/>
      <c r="R1519" s="646"/>
    </row>
    <row r="1520">
      <c r="D1520" s="51"/>
      <c r="E1520" s="51" t="b">
        <v>0</v>
      </c>
      <c r="F1520" t="b">
        <v>0</v>
      </c>
      <c r="H1520" s="646"/>
      <c r="M1520" s="646"/>
      <c r="R1520" s="646"/>
    </row>
    <row r="1521">
      <c r="D1521" s="51"/>
      <c r="E1521" s="51" t="b">
        <v>0</v>
      </c>
      <c r="F1521" t="b">
        <v>0</v>
      </c>
      <c r="H1521" s="646"/>
      <c r="M1521" s="646"/>
      <c r="R1521" s="646"/>
    </row>
    <row r="1522">
      <c r="D1522" s="51"/>
      <c r="E1522" s="51" t="b">
        <v>0</v>
      </c>
      <c r="F1522" t="b">
        <v>0</v>
      </c>
      <c r="H1522" s="646"/>
      <c r="M1522" s="646"/>
      <c r="R1522" s="646"/>
    </row>
    <row r="1523">
      <c r="D1523" s="51"/>
      <c r="E1523" s="51" t="b">
        <v>0</v>
      </c>
      <c r="F1523" t="b">
        <v>0</v>
      </c>
      <c r="H1523" s="646"/>
      <c r="M1523" s="646"/>
      <c r="R1523" s="646"/>
    </row>
    <row r="1524">
      <c r="D1524" s="51"/>
      <c r="E1524" s="51" t="b">
        <v>0</v>
      </c>
      <c r="F1524" t="b">
        <v>0</v>
      </c>
      <c r="H1524" s="646"/>
      <c r="M1524" s="646"/>
      <c r="R1524" s="646"/>
    </row>
    <row r="1525">
      <c r="D1525" s="51"/>
      <c r="E1525" s="51" t="b">
        <v>0</v>
      </c>
      <c r="F1525" t="b">
        <v>0</v>
      </c>
      <c r="H1525" s="646"/>
      <c r="M1525" s="646"/>
      <c r="R1525" s="646"/>
    </row>
    <row r="1526">
      <c r="D1526" s="51"/>
      <c r="E1526" s="51" t="b">
        <v>0</v>
      </c>
      <c r="F1526" t="b">
        <v>0</v>
      </c>
      <c r="H1526" s="646"/>
      <c r="M1526" s="646"/>
      <c r="R1526" s="646"/>
    </row>
    <row r="1527">
      <c r="D1527" s="51"/>
      <c r="E1527" s="51" t="b">
        <v>0</v>
      </c>
      <c r="F1527" t="b">
        <v>0</v>
      </c>
      <c r="H1527" s="646"/>
      <c r="M1527" s="646"/>
      <c r="R1527" s="646"/>
    </row>
    <row r="1528">
      <c r="D1528" s="51"/>
      <c r="E1528" s="51" t="b">
        <v>0</v>
      </c>
      <c r="F1528" t="b">
        <v>0</v>
      </c>
      <c r="H1528" s="646"/>
      <c r="M1528" s="646"/>
      <c r="R1528" s="646"/>
    </row>
    <row r="1529">
      <c r="D1529" s="51"/>
      <c r="E1529" s="51" t="b">
        <v>0</v>
      </c>
      <c r="F1529" t="b">
        <v>0</v>
      </c>
      <c r="H1529" s="646"/>
      <c r="M1529" s="646"/>
      <c r="R1529" s="646"/>
    </row>
    <row r="1530">
      <c r="D1530" s="51"/>
      <c r="E1530" s="51" t="b">
        <v>0</v>
      </c>
      <c r="F1530" t="b">
        <v>0</v>
      </c>
      <c r="H1530" s="646"/>
      <c r="M1530" s="646"/>
      <c r="R1530" s="646"/>
    </row>
    <row r="1531">
      <c r="D1531" s="51"/>
      <c r="E1531" s="51" t="b">
        <v>0</v>
      </c>
      <c r="F1531" t="b">
        <v>0</v>
      </c>
      <c r="H1531" s="646"/>
      <c r="M1531" s="646"/>
      <c r="R1531" s="646"/>
    </row>
    <row r="1532">
      <c r="D1532" s="51"/>
      <c r="E1532" s="51" t="b">
        <v>0</v>
      </c>
      <c r="F1532" t="b">
        <v>0</v>
      </c>
      <c r="H1532" s="646"/>
      <c r="M1532" s="646"/>
      <c r="R1532" s="646"/>
    </row>
    <row r="1533">
      <c r="D1533" s="51"/>
      <c r="E1533" s="51" t="b">
        <v>0</v>
      </c>
      <c r="F1533" t="b">
        <v>0</v>
      </c>
      <c r="H1533" s="646"/>
      <c r="M1533" s="646"/>
      <c r="R1533" s="646"/>
    </row>
    <row r="1534">
      <c r="D1534" s="51"/>
      <c r="E1534" s="51" t="b">
        <v>0</v>
      </c>
      <c r="F1534" t="b">
        <v>0</v>
      </c>
      <c r="H1534" s="646"/>
      <c r="M1534" s="646"/>
      <c r="R1534" s="646"/>
    </row>
    <row r="1535">
      <c r="D1535" s="51"/>
      <c r="E1535" s="51" t="b">
        <v>0</v>
      </c>
      <c r="F1535" t="b">
        <v>0</v>
      </c>
      <c r="H1535" s="646"/>
      <c r="M1535" s="646"/>
      <c r="R1535" s="646"/>
    </row>
    <row r="1536">
      <c r="D1536" s="51"/>
      <c r="E1536" s="51" t="b">
        <v>0</v>
      </c>
      <c r="F1536" t="b">
        <v>0</v>
      </c>
      <c r="H1536" s="646"/>
      <c r="M1536" s="646"/>
      <c r="R1536" s="646"/>
    </row>
    <row r="1537">
      <c r="D1537" s="51"/>
      <c r="E1537" s="51" t="b">
        <v>0</v>
      </c>
      <c r="F1537" t="b">
        <v>0</v>
      </c>
      <c r="H1537" s="646"/>
      <c r="M1537" s="646"/>
      <c r="R1537" s="646"/>
    </row>
    <row r="1538">
      <c r="D1538" s="51"/>
      <c r="E1538" s="51" t="b">
        <v>0</v>
      </c>
      <c r="F1538" t="b">
        <v>0</v>
      </c>
      <c r="H1538" s="646"/>
      <c r="M1538" s="646"/>
      <c r="R1538" s="646"/>
    </row>
    <row r="1539">
      <c r="D1539" s="51"/>
      <c r="E1539" s="51" t="b">
        <v>0</v>
      </c>
      <c r="F1539" t="b">
        <v>0</v>
      </c>
      <c r="H1539" s="646"/>
      <c r="M1539" s="646"/>
      <c r="R1539" s="646"/>
    </row>
    <row r="1540">
      <c r="D1540" s="51"/>
      <c r="E1540" s="51" t="b">
        <v>0</v>
      </c>
      <c r="F1540" t="b">
        <v>0</v>
      </c>
      <c r="H1540" s="646"/>
      <c r="M1540" s="646"/>
      <c r="R1540" s="646"/>
    </row>
    <row r="1541">
      <c r="D1541" s="51"/>
      <c r="E1541" s="51" t="b">
        <v>0</v>
      </c>
      <c r="F1541" t="b">
        <v>0</v>
      </c>
      <c r="H1541" s="646"/>
      <c r="M1541" s="646"/>
      <c r="R1541" s="646"/>
    </row>
    <row r="1542">
      <c r="D1542" s="51"/>
      <c r="E1542" s="51" t="b">
        <v>0</v>
      </c>
      <c r="F1542" t="b">
        <v>0</v>
      </c>
      <c r="H1542" s="646"/>
      <c r="M1542" s="646"/>
      <c r="R1542" s="646"/>
    </row>
    <row r="1543">
      <c r="D1543" s="51"/>
      <c r="E1543" s="51" t="b">
        <v>0</v>
      </c>
      <c r="F1543" t="b">
        <v>0</v>
      </c>
      <c r="H1543" s="646"/>
      <c r="M1543" s="646"/>
      <c r="R1543" s="646"/>
    </row>
    <row r="1544">
      <c r="D1544" s="51"/>
      <c r="E1544" s="51" t="b">
        <v>0</v>
      </c>
      <c r="F1544" t="b">
        <v>0</v>
      </c>
      <c r="H1544" s="646"/>
      <c r="M1544" s="646"/>
      <c r="R1544" s="646"/>
    </row>
    <row r="1545">
      <c r="D1545" s="51"/>
      <c r="E1545" s="51" t="b">
        <v>0</v>
      </c>
      <c r="F1545" t="b">
        <v>0</v>
      </c>
      <c r="H1545" s="646"/>
      <c r="M1545" s="646"/>
      <c r="R1545" s="646"/>
    </row>
    <row r="1546">
      <c r="D1546" s="51"/>
      <c r="E1546" s="51" t="b">
        <v>0</v>
      </c>
      <c r="F1546" t="b">
        <v>0</v>
      </c>
      <c r="H1546" s="646"/>
      <c r="M1546" s="646"/>
      <c r="R1546" s="646"/>
    </row>
    <row r="1547">
      <c r="D1547" s="51"/>
      <c r="E1547" s="51" t="b">
        <v>0</v>
      </c>
      <c r="F1547" t="b">
        <v>0</v>
      </c>
      <c r="H1547" s="646"/>
      <c r="M1547" s="646"/>
      <c r="R1547" s="646"/>
    </row>
    <row r="1548">
      <c r="D1548" s="51"/>
      <c r="E1548" s="51" t="b">
        <v>0</v>
      </c>
      <c r="F1548" t="b">
        <v>0</v>
      </c>
      <c r="H1548" s="646"/>
      <c r="M1548" s="646"/>
      <c r="R1548" s="646"/>
    </row>
    <row r="1549">
      <c r="D1549" s="51"/>
      <c r="E1549" s="51" t="b">
        <v>0</v>
      </c>
      <c r="F1549" t="b">
        <v>0</v>
      </c>
      <c r="H1549" s="646"/>
      <c r="M1549" s="646"/>
      <c r="R1549" s="646"/>
    </row>
    <row r="1550">
      <c r="D1550" s="51"/>
      <c r="E1550" s="51" t="b">
        <v>0</v>
      </c>
      <c r="F1550" t="b">
        <v>0</v>
      </c>
      <c r="H1550" s="646"/>
      <c r="M1550" s="646"/>
      <c r="R1550" s="646"/>
    </row>
    <row r="1551">
      <c r="D1551" s="51"/>
      <c r="E1551" s="51" t="b">
        <v>0</v>
      </c>
      <c r="F1551" t="b">
        <v>0</v>
      </c>
      <c r="H1551" s="646"/>
      <c r="M1551" s="646"/>
      <c r="R1551" s="646"/>
    </row>
    <row r="1552">
      <c r="D1552" s="51"/>
      <c r="E1552" s="51" t="b">
        <v>0</v>
      </c>
      <c r="F1552" t="b">
        <v>0</v>
      </c>
      <c r="H1552" s="646"/>
      <c r="M1552" s="646"/>
      <c r="R1552" s="646"/>
    </row>
    <row r="1553">
      <c r="D1553" s="51"/>
      <c r="E1553" s="51" t="b">
        <v>0</v>
      </c>
      <c r="F1553" t="b">
        <v>0</v>
      </c>
      <c r="H1553" s="646"/>
      <c r="M1553" s="646"/>
      <c r="R1553" s="646"/>
    </row>
    <row r="1554">
      <c r="D1554" s="51"/>
      <c r="E1554" s="51" t="b">
        <v>0</v>
      </c>
      <c r="F1554" t="b">
        <v>0</v>
      </c>
      <c r="H1554" s="646"/>
      <c r="M1554" s="646"/>
      <c r="R1554" s="646"/>
    </row>
    <row r="1555">
      <c r="D1555" s="51"/>
      <c r="E1555" s="51" t="b">
        <v>0</v>
      </c>
      <c r="F1555" t="b">
        <v>0</v>
      </c>
      <c r="H1555" s="646"/>
      <c r="M1555" s="646"/>
      <c r="R1555" s="646"/>
    </row>
    <row r="1556">
      <c r="D1556" s="51"/>
      <c r="E1556" s="51" t="b">
        <v>0</v>
      </c>
      <c r="F1556" t="b">
        <v>0</v>
      </c>
      <c r="H1556" s="646"/>
      <c r="M1556" s="646"/>
      <c r="R1556" s="646"/>
    </row>
    <row r="1557">
      <c r="D1557" s="51"/>
      <c r="E1557" s="51" t="b">
        <v>0</v>
      </c>
      <c r="F1557" t="b">
        <v>0</v>
      </c>
      <c r="H1557" s="646"/>
      <c r="M1557" s="646"/>
      <c r="R1557" s="646"/>
    </row>
    <row r="1558">
      <c r="D1558" s="51"/>
      <c r="E1558" s="51" t="b">
        <v>0</v>
      </c>
      <c r="F1558" t="b">
        <v>0</v>
      </c>
      <c r="H1558" s="646"/>
      <c r="M1558" s="646"/>
      <c r="R1558" s="646"/>
    </row>
    <row r="1559">
      <c r="D1559" s="51"/>
      <c r="E1559" s="51" t="b">
        <v>0</v>
      </c>
      <c r="F1559" t="b">
        <v>0</v>
      </c>
      <c r="H1559" s="646"/>
      <c r="M1559" s="646"/>
      <c r="R1559" s="646"/>
    </row>
    <row r="1560">
      <c r="D1560" s="51"/>
      <c r="E1560" s="51" t="b">
        <v>0</v>
      </c>
      <c r="F1560" t="b">
        <v>0</v>
      </c>
      <c r="H1560" s="646"/>
      <c r="M1560" s="646"/>
      <c r="R1560" s="646"/>
    </row>
    <row r="1561">
      <c r="D1561" s="51"/>
      <c r="E1561" s="51" t="b">
        <v>0</v>
      </c>
      <c r="F1561" t="b">
        <v>0</v>
      </c>
      <c r="H1561" s="646"/>
      <c r="M1561" s="646"/>
      <c r="R1561" s="646"/>
    </row>
    <row r="1562">
      <c r="D1562" s="51"/>
      <c r="E1562" s="51" t="b">
        <v>0</v>
      </c>
      <c r="F1562" t="b">
        <v>0</v>
      </c>
      <c r="H1562" s="646"/>
      <c r="M1562" s="646"/>
      <c r="R1562" s="646"/>
    </row>
    <row r="1563">
      <c r="D1563" s="51"/>
      <c r="E1563" s="51" t="b">
        <v>0</v>
      </c>
      <c r="F1563" t="b">
        <v>0</v>
      </c>
      <c r="H1563" s="646"/>
      <c r="M1563" s="646"/>
      <c r="R1563" s="646"/>
    </row>
    <row r="1564">
      <c r="D1564" s="51"/>
      <c r="E1564" s="51" t="b">
        <v>0</v>
      </c>
      <c r="F1564" t="b">
        <v>0</v>
      </c>
      <c r="H1564" s="646"/>
      <c r="M1564" s="646"/>
      <c r="R1564" s="646"/>
    </row>
    <row r="1565">
      <c r="D1565" s="51"/>
      <c r="E1565" s="51" t="b">
        <v>0</v>
      </c>
      <c r="F1565" t="b">
        <v>0</v>
      </c>
      <c r="H1565" s="646"/>
      <c r="M1565" s="646"/>
      <c r="R1565" s="646"/>
    </row>
    <row r="1566">
      <c r="D1566" s="51"/>
      <c r="E1566" s="51" t="b">
        <v>0</v>
      </c>
      <c r="F1566" t="b">
        <v>0</v>
      </c>
      <c r="H1566" s="646"/>
      <c r="M1566" s="646"/>
      <c r="R1566" s="646"/>
    </row>
    <row r="1567">
      <c r="D1567" s="51"/>
      <c r="E1567" s="51" t="b">
        <v>0</v>
      </c>
      <c r="F1567" t="b">
        <v>0</v>
      </c>
      <c r="H1567" s="646"/>
      <c r="M1567" s="646"/>
      <c r="R1567" s="646"/>
    </row>
    <row r="1568">
      <c r="D1568" s="51"/>
      <c r="E1568" s="51" t="b">
        <v>0</v>
      </c>
      <c r="F1568" t="b">
        <v>0</v>
      </c>
      <c r="H1568" s="646"/>
      <c r="M1568" s="646"/>
      <c r="R1568" s="646"/>
    </row>
    <row r="1569">
      <c r="D1569" s="51"/>
      <c r="E1569" s="51" t="b">
        <v>0</v>
      </c>
      <c r="F1569" t="b">
        <v>0</v>
      </c>
      <c r="H1569" s="646"/>
      <c r="M1569" s="646"/>
      <c r="R1569" s="646"/>
    </row>
    <row r="1570">
      <c r="D1570" s="51"/>
      <c r="E1570" s="51" t="b">
        <v>0</v>
      </c>
      <c r="F1570" t="b">
        <v>0</v>
      </c>
      <c r="H1570" s="646"/>
      <c r="M1570" s="646"/>
      <c r="R1570" s="646"/>
    </row>
    <row r="1571">
      <c r="D1571" s="51"/>
      <c r="E1571" s="51" t="b">
        <v>0</v>
      </c>
      <c r="F1571" t="b">
        <v>0</v>
      </c>
      <c r="H1571" s="646"/>
      <c r="M1571" s="646"/>
      <c r="R1571" s="646"/>
    </row>
    <row r="1572">
      <c r="D1572" s="51"/>
      <c r="E1572" s="51" t="b">
        <v>0</v>
      </c>
      <c r="F1572" t="b">
        <v>0</v>
      </c>
      <c r="H1572" s="646"/>
      <c r="M1572" s="646"/>
      <c r="R1572" s="646"/>
    </row>
    <row r="1573">
      <c r="D1573" s="51"/>
      <c r="E1573" s="51" t="b">
        <v>0</v>
      </c>
      <c r="F1573" t="b">
        <v>0</v>
      </c>
      <c r="H1573" s="646"/>
      <c r="M1573" s="646"/>
      <c r="R1573" s="646"/>
    </row>
    <row r="1574">
      <c r="D1574" s="51"/>
      <c r="E1574" s="51" t="b">
        <v>0</v>
      </c>
      <c r="F1574" t="b">
        <v>0</v>
      </c>
      <c r="H1574" s="646"/>
      <c r="M1574" s="646"/>
      <c r="R1574" s="646"/>
    </row>
    <row r="1575">
      <c r="D1575" s="51"/>
      <c r="E1575" s="51" t="b">
        <v>0</v>
      </c>
      <c r="F1575" t="b">
        <v>0</v>
      </c>
      <c r="H1575" s="646"/>
      <c r="M1575" s="646"/>
      <c r="R1575" s="646"/>
    </row>
    <row r="1576">
      <c r="D1576" s="51"/>
      <c r="E1576" s="51" t="b">
        <v>0</v>
      </c>
      <c r="F1576" t="b">
        <v>0</v>
      </c>
      <c r="H1576" s="646"/>
      <c r="M1576" s="646"/>
      <c r="R1576" s="646"/>
    </row>
    <row r="1577">
      <c r="D1577" s="51"/>
      <c r="E1577" s="51" t="b">
        <v>0</v>
      </c>
      <c r="F1577" t="b">
        <v>0</v>
      </c>
      <c r="H1577" s="646"/>
      <c r="M1577" s="646"/>
      <c r="R1577" s="646"/>
    </row>
    <row r="1578">
      <c r="D1578" s="51"/>
      <c r="E1578" s="51" t="b">
        <v>0</v>
      </c>
      <c r="F1578" t="b">
        <v>0</v>
      </c>
      <c r="H1578" s="646"/>
      <c r="M1578" s="646"/>
      <c r="R1578" s="646"/>
    </row>
    <row r="1579">
      <c r="D1579" s="51"/>
      <c r="E1579" s="51" t="b">
        <v>0</v>
      </c>
      <c r="F1579" t="b">
        <v>0</v>
      </c>
      <c r="H1579" s="646"/>
      <c r="M1579" s="646"/>
      <c r="R1579" s="646"/>
    </row>
    <row r="1580">
      <c r="D1580" s="51"/>
      <c r="E1580" s="51" t="b">
        <v>0</v>
      </c>
      <c r="F1580" t="b">
        <v>0</v>
      </c>
      <c r="H1580" s="646"/>
      <c r="M1580" s="646"/>
      <c r="R1580" s="646"/>
    </row>
    <row r="1581">
      <c r="D1581" s="51"/>
      <c r="E1581" s="51" t="b">
        <v>0</v>
      </c>
      <c r="F1581" t="b">
        <v>0</v>
      </c>
      <c r="H1581" s="646"/>
      <c r="M1581" s="646"/>
      <c r="R1581" s="646"/>
    </row>
    <row r="1582">
      <c r="D1582" s="51"/>
      <c r="E1582" s="51" t="b">
        <v>0</v>
      </c>
      <c r="F1582" t="b">
        <v>0</v>
      </c>
      <c r="H1582" s="646"/>
      <c r="M1582" s="646"/>
      <c r="R1582" s="646"/>
    </row>
    <row r="1583">
      <c r="D1583" s="51"/>
      <c r="E1583" s="51" t="b">
        <v>0</v>
      </c>
      <c r="F1583" t="b">
        <v>0</v>
      </c>
      <c r="H1583" s="646"/>
      <c r="M1583" s="646"/>
      <c r="R1583" s="646"/>
    </row>
    <row r="1584">
      <c r="D1584" s="51"/>
      <c r="E1584" s="51" t="b">
        <v>0</v>
      </c>
      <c r="F1584" t="b">
        <v>0</v>
      </c>
      <c r="H1584" s="646"/>
      <c r="M1584" s="646"/>
      <c r="R1584" s="646"/>
    </row>
    <row r="1585">
      <c r="D1585" s="51"/>
      <c r="E1585" s="51" t="b">
        <v>0</v>
      </c>
      <c r="F1585" t="b">
        <v>0</v>
      </c>
      <c r="H1585" s="646"/>
      <c r="M1585" s="646"/>
      <c r="R1585" s="646"/>
    </row>
    <row r="1586">
      <c r="D1586" s="51"/>
      <c r="E1586" s="51" t="b">
        <v>0</v>
      </c>
      <c r="F1586" t="b">
        <v>0</v>
      </c>
      <c r="H1586" s="646"/>
      <c r="M1586" s="646"/>
      <c r="R1586" s="646"/>
    </row>
    <row r="1587">
      <c r="D1587" s="51"/>
      <c r="E1587" s="51" t="b">
        <v>0</v>
      </c>
      <c r="F1587" t="b">
        <v>0</v>
      </c>
      <c r="H1587" s="646"/>
      <c r="M1587" s="646"/>
      <c r="R1587" s="646"/>
    </row>
    <row r="1588">
      <c r="D1588" s="51"/>
      <c r="E1588" s="51" t="b">
        <v>0</v>
      </c>
      <c r="F1588" t="b">
        <v>0</v>
      </c>
      <c r="H1588" s="646"/>
      <c r="M1588" s="646"/>
      <c r="R1588" s="646"/>
    </row>
    <row r="1589">
      <c r="D1589" s="51"/>
      <c r="E1589" s="51" t="b">
        <v>0</v>
      </c>
      <c r="F1589" t="b">
        <v>0</v>
      </c>
      <c r="H1589" s="646"/>
      <c r="M1589" s="646"/>
      <c r="R1589" s="646"/>
    </row>
    <row r="1590">
      <c r="D1590" s="51"/>
      <c r="E1590" s="51" t="b">
        <v>0</v>
      </c>
      <c r="F1590" t="b">
        <v>0</v>
      </c>
      <c r="H1590" s="646"/>
      <c r="M1590" s="646"/>
      <c r="R1590" s="646"/>
    </row>
    <row r="1591">
      <c r="D1591" s="51"/>
      <c r="E1591" s="51" t="b">
        <v>0</v>
      </c>
      <c r="F1591" t="b">
        <v>0</v>
      </c>
      <c r="H1591" s="646"/>
      <c r="M1591" s="646"/>
      <c r="R1591" s="646"/>
    </row>
    <row r="1592">
      <c r="D1592" s="51"/>
      <c r="E1592" s="51" t="b">
        <v>0</v>
      </c>
      <c r="F1592" t="b">
        <v>0</v>
      </c>
      <c r="H1592" s="646"/>
      <c r="M1592" s="646"/>
      <c r="R1592" s="646"/>
    </row>
    <row r="1593">
      <c r="D1593" s="51"/>
      <c r="E1593" s="51" t="b">
        <v>0</v>
      </c>
      <c r="F1593" t="b">
        <v>0</v>
      </c>
      <c r="H1593" s="646"/>
      <c r="M1593" s="646"/>
      <c r="R1593" s="646"/>
    </row>
    <row r="1594">
      <c r="D1594" s="51"/>
      <c r="E1594" s="51" t="b">
        <v>0</v>
      </c>
      <c r="F1594" t="b">
        <v>0</v>
      </c>
      <c r="H1594" s="646"/>
      <c r="M1594" s="646"/>
      <c r="R1594" s="646"/>
    </row>
    <row r="1595">
      <c r="D1595" s="51"/>
      <c r="E1595" s="51" t="b">
        <v>0</v>
      </c>
      <c r="F1595" t="b">
        <v>0</v>
      </c>
      <c r="H1595" s="646"/>
      <c r="M1595" s="646"/>
      <c r="R1595" s="646"/>
    </row>
    <row r="1596">
      <c r="D1596" s="51"/>
      <c r="E1596" s="51" t="b">
        <v>0</v>
      </c>
      <c r="F1596" t="b">
        <v>0</v>
      </c>
      <c r="H1596" s="646"/>
      <c r="M1596" s="646"/>
      <c r="R1596" s="646"/>
    </row>
    <row r="1597">
      <c r="D1597" s="51"/>
      <c r="E1597" s="51" t="b">
        <v>0</v>
      </c>
      <c r="F1597" t="b">
        <v>0</v>
      </c>
      <c r="H1597" s="646"/>
      <c r="M1597" s="646"/>
      <c r="R1597" s="646"/>
    </row>
    <row r="1598">
      <c r="D1598" s="51"/>
      <c r="E1598" s="51" t="b">
        <v>0</v>
      </c>
      <c r="F1598" t="b">
        <v>0</v>
      </c>
      <c r="H1598" s="646"/>
      <c r="M1598" s="646"/>
      <c r="R1598" s="646"/>
    </row>
    <row r="1599">
      <c r="D1599" s="51"/>
      <c r="E1599" s="51" t="b">
        <v>0</v>
      </c>
      <c r="F1599" t="b">
        <v>0</v>
      </c>
      <c r="H1599" s="646"/>
      <c r="M1599" s="646"/>
      <c r="R1599" s="646"/>
    </row>
    <row r="1600">
      <c r="D1600" s="51"/>
      <c r="E1600" s="51" t="b">
        <v>0</v>
      </c>
      <c r="F1600" t="b">
        <v>0</v>
      </c>
      <c r="H1600" s="646"/>
      <c r="M1600" s="646"/>
      <c r="R1600" s="646"/>
    </row>
    <row r="1601">
      <c r="D1601" s="51"/>
      <c r="E1601" s="51" t="b">
        <v>0</v>
      </c>
      <c r="F1601" t="b">
        <v>0</v>
      </c>
      <c r="H1601" s="646"/>
      <c r="M1601" s="646"/>
      <c r="R1601" s="646"/>
    </row>
    <row r="1602">
      <c r="D1602" s="51"/>
      <c r="E1602" s="51" t="b">
        <v>0</v>
      </c>
      <c r="F1602" t="b">
        <v>0</v>
      </c>
      <c r="H1602" s="646"/>
      <c r="M1602" s="646"/>
      <c r="R1602" s="646"/>
    </row>
    <row r="1603">
      <c r="D1603" s="51"/>
      <c r="E1603" s="51" t="b">
        <v>0</v>
      </c>
      <c r="F1603" t="b">
        <v>0</v>
      </c>
      <c r="H1603" s="646"/>
      <c r="M1603" s="646"/>
      <c r="R1603" s="646"/>
    </row>
    <row r="1604">
      <c r="D1604" s="51"/>
      <c r="E1604" s="51" t="b">
        <v>0</v>
      </c>
      <c r="F1604" t="b">
        <v>0</v>
      </c>
      <c r="H1604" s="646"/>
      <c r="M1604" s="646"/>
      <c r="R1604" s="646"/>
    </row>
    <row r="1605">
      <c r="D1605" s="51"/>
      <c r="E1605" s="51" t="b">
        <v>0</v>
      </c>
      <c r="F1605" t="b">
        <v>0</v>
      </c>
      <c r="H1605" s="646"/>
      <c r="M1605" s="646"/>
      <c r="R1605" s="646"/>
    </row>
    <row r="1606">
      <c r="D1606" s="51"/>
      <c r="E1606" s="51" t="b">
        <v>0</v>
      </c>
      <c r="F1606" t="b">
        <v>0</v>
      </c>
      <c r="H1606" s="646"/>
      <c r="M1606" s="646"/>
      <c r="R1606" s="646"/>
    </row>
    <row r="1607">
      <c r="D1607" s="51"/>
      <c r="E1607" s="51" t="b">
        <v>0</v>
      </c>
      <c r="F1607" t="b">
        <v>0</v>
      </c>
      <c r="H1607" s="646"/>
      <c r="M1607" s="646"/>
      <c r="R1607" s="646"/>
    </row>
    <row r="1608">
      <c r="D1608" s="51"/>
      <c r="E1608" s="51" t="b">
        <v>0</v>
      </c>
      <c r="F1608" t="b">
        <v>0</v>
      </c>
      <c r="H1608" s="646"/>
      <c r="M1608" s="646"/>
      <c r="R1608" s="646"/>
    </row>
    <row r="1609">
      <c r="D1609" s="51"/>
      <c r="E1609" s="51" t="b">
        <v>0</v>
      </c>
      <c r="F1609" t="b">
        <v>0</v>
      </c>
      <c r="H1609" s="646"/>
      <c r="M1609" s="646"/>
      <c r="R1609" s="646"/>
    </row>
    <row r="1610">
      <c r="D1610" s="51"/>
      <c r="E1610" s="51" t="b">
        <v>0</v>
      </c>
      <c r="F1610" t="b">
        <v>0</v>
      </c>
      <c r="H1610" s="646"/>
      <c r="M1610" s="646"/>
      <c r="R1610" s="646"/>
    </row>
    <row r="1611">
      <c r="D1611" s="51"/>
      <c r="E1611" s="51" t="b">
        <v>0</v>
      </c>
      <c r="F1611" t="b">
        <v>0</v>
      </c>
      <c r="H1611" s="646"/>
      <c r="M1611" s="646"/>
      <c r="R1611" s="646"/>
    </row>
    <row r="1612">
      <c r="D1612" s="51"/>
      <c r="E1612" s="51" t="b">
        <v>0</v>
      </c>
      <c r="F1612" t="b">
        <v>0</v>
      </c>
      <c r="H1612" s="646"/>
      <c r="M1612" s="646"/>
      <c r="R1612" s="646"/>
    </row>
    <row r="1613">
      <c r="D1613" s="51"/>
      <c r="E1613" s="51" t="b">
        <v>0</v>
      </c>
      <c r="F1613" t="b">
        <v>0</v>
      </c>
      <c r="H1613" s="646"/>
      <c r="M1613" s="646"/>
      <c r="R1613" s="646"/>
    </row>
    <row r="1614">
      <c r="D1614" s="51"/>
      <c r="E1614" s="51" t="b">
        <v>0</v>
      </c>
      <c r="F1614" t="b">
        <v>0</v>
      </c>
      <c r="H1614" s="646"/>
      <c r="M1614" s="646"/>
      <c r="R1614" s="646"/>
    </row>
    <row r="1615">
      <c r="D1615" s="51"/>
      <c r="E1615" s="51" t="b">
        <v>0</v>
      </c>
      <c r="F1615" t="b">
        <v>0</v>
      </c>
      <c r="H1615" s="646"/>
      <c r="M1615" s="646"/>
      <c r="R1615" s="646"/>
    </row>
    <row r="1616">
      <c r="D1616" s="51"/>
      <c r="E1616" s="51" t="b">
        <v>0</v>
      </c>
      <c r="F1616" t="b">
        <v>0</v>
      </c>
      <c r="H1616" s="646"/>
      <c r="M1616" s="646"/>
      <c r="R1616" s="646"/>
    </row>
    <row r="1617">
      <c r="D1617" s="51"/>
      <c r="E1617" s="51" t="b">
        <v>0</v>
      </c>
      <c r="F1617" t="b">
        <v>0</v>
      </c>
      <c r="H1617" s="646"/>
      <c r="M1617" s="646"/>
      <c r="R1617" s="646"/>
    </row>
    <row r="1618">
      <c r="D1618" s="51"/>
      <c r="E1618" s="51" t="b">
        <v>0</v>
      </c>
      <c r="F1618" t="b">
        <v>0</v>
      </c>
      <c r="H1618" s="646"/>
      <c r="M1618" s="646"/>
      <c r="R1618" s="646"/>
    </row>
    <row r="1619">
      <c r="D1619" s="51"/>
      <c r="E1619" s="51" t="b">
        <v>0</v>
      </c>
      <c r="F1619" t="b">
        <v>0</v>
      </c>
      <c r="H1619" s="646"/>
      <c r="M1619" s="646"/>
      <c r="R1619" s="646"/>
    </row>
    <row r="1620">
      <c r="D1620" s="51"/>
      <c r="E1620" s="51" t="b">
        <v>0</v>
      </c>
      <c r="F1620" t="b">
        <v>0</v>
      </c>
      <c r="H1620" s="646"/>
      <c r="M1620" s="646"/>
      <c r="R1620" s="646"/>
    </row>
    <row r="1621">
      <c r="D1621" s="51"/>
      <c r="E1621" s="51" t="b">
        <v>0</v>
      </c>
      <c r="F1621" t="b">
        <v>0</v>
      </c>
      <c r="H1621" s="646"/>
      <c r="M1621" s="646"/>
      <c r="R1621" s="646"/>
    </row>
    <row r="1622">
      <c r="D1622" s="51"/>
      <c r="E1622" s="51" t="b">
        <v>0</v>
      </c>
      <c r="F1622" t="b">
        <v>0</v>
      </c>
      <c r="H1622" s="646"/>
      <c r="M1622" s="646"/>
      <c r="R1622" s="646"/>
    </row>
    <row r="1623">
      <c r="D1623" s="51"/>
      <c r="E1623" s="51" t="b">
        <v>0</v>
      </c>
      <c r="F1623" t="b">
        <v>0</v>
      </c>
      <c r="H1623" s="646"/>
      <c r="M1623" s="646"/>
      <c r="R1623" s="646"/>
    </row>
    <row r="1624">
      <c r="D1624" s="51"/>
      <c r="E1624" s="51" t="b">
        <v>0</v>
      </c>
      <c r="F1624" t="b">
        <v>0</v>
      </c>
      <c r="H1624" s="646"/>
      <c r="M1624" s="646"/>
      <c r="R1624" s="646"/>
    </row>
    <row r="1625">
      <c r="D1625" s="51"/>
      <c r="E1625" s="51" t="b">
        <v>0</v>
      </c>
      <c r="F1625" t="b">
        <v>0</v>
      </c>
      <c r="H1625" s="646"/>
      <c r="M1625" s="646"/>
      <c r="R1625" s="646"/>
    </row>
    <row r="1626">
      <c r="D1626" s="51"/>
      <c r="E1626" s="51" t="b">
        <v>0</v>
      </c>
      <c r="F1626" t="b">
        <v>0</v>
      </c>
      <c r="H1626" s="646"/>
      <c r="M1626" s="646"/>
      <c r="R1626" s="646"/>
    </row>
    <row r="1627">
      <c r="D1627" s="51"/>
      <c r="E1627" s="51" t="b">
        <v>0</v>
      </c>
      <c r="F1627" t="b">
        <v>0</v>
      </c>
      <c r="H1627" s="646"/>
      <c r="M1627" s="646"/>
      <c r="R1627" s="646"/>
    </row>
    <row r="1628">
      <c r="D1628" s="51"/>
      <c r="E1628" s="51" t="b">
        <v>0</v>
      </c>
      <c r="F1628" t="b">
        <v>0</v>
      </c>
      <c r="H1628" s="646"/>
      <c r="M1628" s="646"/>
      <c r="R1628" s="646"/>
    </row>
    <row r="1629">
      <c r="D1629" s="51"/>
      <c r="E1629" s="51" t="b">
        <v>0</v>
      </c>
      <c r="F1629" t="b">
        <v>0</v>
      </c>
      <c r="H1629" s="646"/>
      <c r="M1629" s="646"/>
      <c r="R1629" s="646"/>
    </row>
    <row r="1630">
      <c r="D1630" s="51"/>
      <c r="E1630" s="51" t="b">
        <v>0</v>
      </c>
      <c r="F1630" t="b">
        <v>0</v>
      </c>
      <c r="H1630" s="646"/>
      <c r="M1630" s="646"/>
      <c r="R1630" s="646"/>
    </row>
    <row r="1631">
      <c r="D1631" s="51"/>
      <c r="E1631" s="51" t="b">
        <v>0</v>
      </c>
      <c r="F1631" t="b">
        <v>0</v>
      </c>
      <c r="H1631" s="646"/>
      <c r="M1631" s="646"/>
      <c r="R1631" s="646"/>
    </row>
    <row r="1632">
      <c r="D1632" s="51"/>
      <c r="E1632" s="51" t="b">
        <v>0</v>
      </c>
      <c r="F1632" t="b">
        <v>0</v>
      </c>
      <c r="H1632" s="646"/>
      <c r="M1632" s="646"/>
      <c r="R1632" s="646"/>
    </row>
    <row r="1633">
      <c r="D1633" s="51"/>
      <c r="E1633" s="51" t="b">
        <v>0</v>
      </c>
      <c r="F1633" t="b">
        <v>0</v>
      </c>
      <c r="H1633" s="646"/>
      <c r="M1633" s="646"/>
      <c r="R1633" s="646"/>
    </row>
    <row r="1634">
      <c r="D1634" s="51"/>
      <c r="E1634" s="51" t="b">
        <v>0</v>
      </c>
      <c r="F1634" t="b">
        <v>0</v>
      </c>
      <c r="H1634" s="646"/>
      <c r="M1634" s="646"/>
      <c r="R1634" s="646"/>
    </row>
    <row r="1635">
      <c r="D1635" s="51"/>
      <c r="E1635" s="51" t="b">
        <v>0</v>
      </c>
      <c r="F1635" t="b">
        <v>0</v>
      </c>
      <c r="H1635" s="646"/>
      <c r="M1635" s="646"/>
      <c r="R1635" s="646"/>
    </row>
    <row r="1636">
      <c r="D1636" s="51"/>
      <c r="E1636" s="51" t="b">
        <v>0</v>
      </c>
      <c r="F1636" t="b">
        <v>0</v>
      </c>
      <c r="H1636" s="646"/>
      <c r="M1636" s="646"/>
      <c r="R1636" s="646"/>
    </row>
    <row r="1637">
      <c r="D1637" s="51"/>
      <c r="E1637" s="51" t="b">
        <v>0</v>
      </c>
      <c r="F1637" t="b">
        <v>0</v>
      </c>
      <c r="H1637" s="646"/>
      <c r="M1637" s="646"/>
      <c r="R1637" s="646"/>
    </row>
    <row r="1638">
      <c r="D1638" s="51"/>
      <c r="E1638" s="51" t="b">
        <v>0</v>
      </c>
      <c r="F1638" t="b">
        <v>0</v>
      </c>
      <c r="H1638" s="646"/>
      <c r="M1638" s="646"/>
      <c r="R1638" s="646"/>
    </row>
    <row r="1639">
      <c r="D1639" s="51"/>
      <c r="E1639" s="51" t="b">
        <v>0</v>
      </c>
      <c r="F1639" t="b">
        <v>0</v>
      </c>
      <c r="H1639" s="646"/>
      <c r="M1639" s="646"/>
      <c r="R1639" s="646"/>
    </row>
    <row r="1640">
      <c r="D1640" s="51"/>
      <c r="E1640" s="51" t="b">
        <v>0</v>
      </c>
      <c r="F1640" t="b">
        <v>0</v>
      </c>
      <c r="H1640" s="646"/>
      <c r="M1640" s="646"/>
      <c r="R1640" s="646"/>
    </row>
    <row r="1641">
      <c r="D1641" s="51"/>
      <c r="E1641" s="51" t="b">
        <v>0</v>
      </c>
      <c r="F1641" t="b">
        <v>0</v>
      </c>
      <c r="H1641" s="646"/>
      <c r="M1641" s="646"/>
      <c r="R1641" s="646"/>
    </row>
    <row r="1642">
      <c r="D1642" s="51"/>
      <c r="E1642" s="51" t="b">
        <v>0</v>
      </c>
      <c r="F1642" t="b">
        <v>0</v>
      </c>
      <c r="H1642" s="646"/>
      <c r="M1642" s="646"/>
      <c r="R1642" s="646"/>
    </row>
    <row r="1643">
      <c r="D1643" s="51"/>
      <c r="E1643" s="51" t="b">
        <v>0</v>
      </c>
      <c r="F1643" t="b">
        <v>0</v>
      </c>
      <c r="H1643" s="646"/>
      <c r="M1643" s="646"/>
      <c r="R1643" s="646"/>
    </row>
    <row r="1644">
      <c r="D1644" s="51"/>
      <c r="E1644" s="51" t="b">
        <v>0</v>
      </c>
      <c r="F1644" t="b">
        <v>0</v>
      </c>
      <c r="H1644" s="646"/>
      <c r="M1644" s="646"/>
      <c r="R1644" s="646"/>
    </row>
    <row r="1645">
      <c r="D1645" s="51"/>
      <c r="E1645" s="51" t="b">
        <v>0</v>
      </c>
      <c r="F1645" t="b">
        <v>0</v>
      </c>
      <c r="H1645" s="646"/>
      <c r="M1645" s="646"/>
      <c r="R1645" s="646"/>
    </row>
    <row r="1646">
      <c r="D1646" s="51"/>
      <c r="E1646" s="51" t="b">
        <v>0</v>
      </c>
      <c r="F1646" t="b">
        <v>0</v>
      </c>
      <c r="H1646" s="646"/>
      <c r="M1646" s="646"/>
      <c r="R1646" s="646"/>
    </row>
    <row r="1647">
      <c r="D1647" s="51"/>
      <c r="E1647" s="51" t="b">
        <v>0</v>
      </c>
      <c r="F1647" t="b">
        <v>0</v>
      </c>
      <c r="H1647" s="646"/>
      <c r="M1647" s="646"/>
      <c r="R1647" s="646"/>
    </row>
    <row r="1648">
      <c r="D1648" s="51"/>
      <c r="E1648" s="51" t="b">
        <v>0</v>
      </c>
      <c r="F1648" t="b">
        <v>0</v>
      </c>
      <c r="H1648" s="646"/>
      <c r="M1648" s="646"/>
      <c r="R1648" s="646"/>
    </row>
    <row r="1649">
      <c r="D1649" s="51"/>
      <c r="E1649" s="51" t="b">
        <v>0</v>
      </c>
      <c r="F1649" t="b">
        <v>0</v>
      </c>
      <c r="H1649" s="646"/>
      <c r="M1649" s="646"/>
      <c r="R1649" s="646"/>
    </row>
    <row r="1650">
      <c r="D1650" s="51"/>
      <c r="E1650" s="51" t="b">
        <v>0</v>
      </c>
      <c r="F1650" t="b">
        <v>0</v>
      </c>
      <c r="H1650" s="646"/>
      <c r="M1650" s="646"/>
      <c r="R1650" s="646"/>
    </row>
    <row r="1651">
      <c r="D1651" s="51"/>
      <c r="E1651" s="51" t="b">
        <v>0</v>
      </c>
      <c r="F1651" t="b">
        <v>0</v>
      </c>
      <c r="H1651" s="646"/>
      <c r="M1651" s="646"/>
      <c r="R1651" s="646"/>
    </row>
    <row r="1652">
      <c r="D1652" s="51"/>
      <c r="E1652" s="51" t="b">
        <v>0</v>
      </c>
      <c r="F1652" t="b">
        <v>0</v>
      </c>
      <c r="H1652" s="646"/>
      <c r="M1652" s="646"/>
      <c r="R1652" s="646"/>
    </row>
    <row r="1653">
      <c r="D1653" s="51"/>
      <c r="E1653" s="51" t="b">
        <v>0</v>
      </c>
      <c r="F1653" t="b">
        <v>0</v>
      </c>
      <c r="H1653" s="646"/>
      <c r="M1653" s="646"/>
      <c r="R1653" s="646"/>
    </row>
    <row r="1654">
      <c r="D1654" s="51"/>
      <c r="E1654" s="51" t="b">
        <v>0</v>
      </c>
      <c r="F1654" t="b">
        <v>0</v>
      </c>
      <c r="H1654" s="646"/>
      <c r="M1654" s="646"/>
      <c r="R1654" s="646"/>
    </row>
    <row r="1655">
      <c r="D1655" s="51"/>
      <c r="E1655" s="51" t="b">
        <v>0</v>
      </c>
      <c r="F1655" t="b">
        <v>0</v>
      </c>
      <c r="H1655" s="646"/>
      <c r="M1655" s="646"/>
      <c r="R1655" s="646"/>
    </row>
    <row r="1656">
      <c r="D1656" s="51"/>
      <c r="E1656" s="51" t="b">
        <v>0</v>
      </c>
      <c r="F1656" t="b">
        <v>0</v>
      </c>
      <c r="H1656" s="646"/>
      <c r="M1656" s="646"/>
      <c r="R1656" s="646"/>
    </row>
    <row r="1657">
      <c r="D1657" s="51"/>
      <c r="E1657" s="51" t="b">
        <v>0</v>
      </c>
      <c r="F1657" t="b">
        <v>0</v>
      </c>
      <c r="H1657" s="646"/>
      <c r="M1657" s="646"/>
      <c r="R1657" s="646"/>
    </row>
    <row r="1658">
      <c r="D1658" s="51"/>
      <c r="E1658" s="51" t="b">
        <v>0</v>
      </c>
      <c r="F1658" t="b">
        <v>0</v>
      </c>
      <c r="H1658" s="646"/>
      <c r="M1658" s="646"/>
      <c r="R1658" s="646"/>
    </row>
    <row r="1659">
      <c r="D1659" s="51"/>
      <c r="E1659" s="51" t="b">
        <v>0</v>
      </c>
      <c r="F1659" t="b">
        <v>0</v>
      </c>
      <c r="H1659" s="646"/>
      <c r="M1659" s="646"/>
      <c r="R1659" s="646"/>
    </row>
    <row r="1660">
      <c r="D1660" s="51"/>
      <c r="E1660" s="51" t="b">
        <v>0</v>
      </c>
      <c r="F1660" t="b">
        <v>0</v>
      </c>
      <c r="H1660" s="646"/>
      <c r="M1660" s="646"/>
      <c r="R1660" s="646"/>
    </row>
    <row r="1661">
      <c r="D1661" s="51"/>
      <c r="E1661" s="51" t="b">
        <v>0</v>
      </c>
      <c r="F1661" t="b">
        <v>0</v>
      </c>
      <c r="H1661" s="646"/>
      <c r="M1661" s="646"/>
      <c r="R1661" s="646"/>
    </row>
    <row r="1662">
      <c r="D1662" s="51"/>
      <c r="E1662" s="51" t="b">
        <v>0</v>
      </c>
      <c r="F1662" t="b">
        <v>0</v>
      </c>
      <c r="H1662" s="646"/>
      <c r="M1662" s="646"/>
      <c r="R1662" s="646"/>
    </row>
    <row r="1663">
      <c r="D1663" s="51"/>
      <c r="E1663" s="51" t="b">
        <v>0</v>
      </c>
      <c r="F1663" t="b">
        <v>0</v>
      </c>
      <c r="H1663" s="646"/>
      <c r="M1663" s="646"/>
      <c r="R1663" s="646"/>
    </row>
    <row r="1664">
      <c r="D1664" s="51"/>
      <c r="E1664" s="51" t="b">
        <v>0</v>
      </c>
      <c r="F1664" t="b">
        <v>0</v>
      </c>
      <c r="H1664" s="646"/>
      <c r="M1664" s="646"/>
      <c r="R1664" s="646"/>
    </row>
    <row r="1665">
      <c r="D1665" s="51"/>
      <c r="E1665" s="51" t="b">
        <v>0</v>
      </c>
      <c r="F1665" t="b">
        <v>0</v>
      </c>
      <c r="H1665" s="646"/>
      <c r="M1665" s="646"/>
      <c r="R1665" s="646"/>
    </row>
    <row r="1666">
      <c r="D1666" s="51"/>
      <c r="E1666" s="51" t="b">
        <v>0</v>
      </c>
      <c r="F1666" t="b">
        <v>0</v>
      </c>
      <c r="H1666" s="646"/>
      <c r="M1666" s="646"/>
      <c r="R1666" s="646"/>
    </row>
    <row r="1667">
      <c r="D1667" s="51"/>
      <c r="E1667" s="51" t="b">
        <v>0</v>
      </c>
      <c r="F1667" t="b">
        <v>0</v>
      </c>
      <c r="H1667" s="646"/>
      <c r="M1667" s="646"/>
      <c r="R1667" s="646"/>
    </row>
    <row r="1668">
      <c r="D1668" s="51"/>
      <c r="E1668" s="51" t="b">
        <v>0</v>
      </c>
      <c r="F1668" t="b">
        <v>0</v>
      </c>
      <c r="H1668" s="646"/>
      <c r="M1668" s="646"/>
      <c r="R1668" s="646"/>
    </row>
    <row r="1669">
      <c r="D1669" s="51"/>
      <c r="E1669" s="51" t="b">
        <v>0</v>
      </c>
      <c r="F1669" t="b">
        <v>0</v>
      </c>
      <c r="H1669" s="646"/>
      <c r="M1669" s="646"/>
      <c r="R1669" s="646"/>
    </row>
    <row r="1670">
      <c r="D1670" s="51"/>
      <c r="E1670" s="51" t="b">
        <v>0</v>
      </c>
      <c r="F1670" t="b">
        <v>0</v>
      </c>
      <c r="H1670" s="646"/>
      <c r="M1670" s="646"/>
      <c r="R1670" s="646"/>
    </row>
    <row r="1671">
      <c r="D1671" s="51"/>
      <c r="E1671" s="51" t="b">
        <v>0</v>
      </c>
      <c r="F1671" t="b">
        <v>0</v>
      </c>
      <c r="H1671" s="646"/>
      <c r="M1671" s="646"/>
      <c r="R1671" s="646"/>
    </row>
    <row r="1672">
      <c r="D1672" s="51"/>
      <c r="E1672" s="51" t="b">
        <v>0</v>
      </c>
      <c r="F1672" t="b">
        <v>0</v>
      </c>
      <c r="H1672" s="646"/>
      <c r="M1672" s="646"/>
      <c r="R1672" s="646"/>
    </row>
    <row r="1673">
      <c r="D1673" s="51"/>
      <c r="E1673" s="51" t="b">
        <v>0</v>
      </c>
      <c r="F1673" t="b">
        <v>0</v>
      </c>
      <c r="H1673" s="646"/>
      <c r="M1673" s="646"/>
      <c r="R1673" s="646"/>
    </row>
    <row r="1674">
      <c r="D1674" s="51"/>
      <c r="E1674" s="51" t="b">
        <v>0</v>
      </c>
      <c r="F1674" t="b">
        <v>0</v>
      </c>
      <c r="H1674" s="646"/>
      <c r="M1674" s="646"/>
      <c r="R1674" s="646"/>
    </row>
    <row r="1675">
      <c r="D1675" s="51"/>
      <c r="E1675" s="51" t="b">
        <v>0</v>
      </c>
      <c r="F1675" t="b">
        <v>0</v>
      </c>
      <c r="H1675" s="646"/>
      <c r="M1675" s="646"/>
      <c r="R1675" s="646"/>
    </row>
    <row r="1676">
      <c r="D1676" s="51"/>
      <c r="E1676" s="51" t="b">
        <v>0</v>
      </c>
      <c r="F1676" t="b">
        <v>0</v>
      </c>
      <c r="H1676" s="646"/>
      <c r="M1676" s="646"/>
      <c r="R1676" s="646"/>
    </row>
    <row r="1677">
      <c r="D1677" s="51"/>
      <c r="E1677" s="51" t="b">
        <v>0</v>
      </c>
      <c r="F1677" t="b">
        <v>0</v>
      </c>
      <c r="H1677" s="646"/>
      <c r="M1677" s="646"/>
      <c r="R1677" s="646"/>
    </row>
    <row r="1678">
      <c r="D1678" s="51"/>
      <c r="E1678" s="51" t="b">
        <v>0</v>
      </c>
      <c r="F1678" t="b">
        <v>0</v>
      </c>
      <c r="H1678" s="646"/>
      <c r="M1678" s="646"/>
      <c r="R1678" s="646"/>
    </row>
    <row r="1679">
      <c r="D1679" s="51"/>
      <c r="E1679" s="51" t="b">
        <v>0</v>
      </c>
      <c r="F1679" t="b">
        <v>0</v>
      </c>
      <c r="H1679" s="646"/>
      <c r="M1679" s="646"/>
      <c r="R1679" s="646"/>
    </row>
    <row r="1680">
      <c r="D1680" s="51"/>
      <c r="E1680" s="51" t="b">
        <v>0</v>
      </c>
      <c r="F1680" t="b">
        <v>0</v>
      </c>
      <c r="H1680" s="646"/>
      <c r="M1680" s="646"/>
      <c r="R1680" s="646"/>
    </row>
    <row r="1681">
      <c r="D1681" s="51"/>
      <c r="E1681" s="51" t="b">
        <v>0</v>
      </c>
      <c r="F1681" t="b">
        <v>0</v>
      </c>
      <c r="H1681" s="646"/>
      <c r="M1681" s="646"/>
      <c r="R1681" s="646"/>
    </row>
    <row r="1682">
      <c r="D1682" s="51"/>
      <c r="E1682" s="51" t="b">
        <v>0</v>
      </c>
      <c r="F1682" t="b">
        <v>0</v>
      </c>
      <c r="H1682" s="646"/>
      <c r="M1682" s="646"/>
      <c r="R1682" s="646"/>
    </row>
    <row r="1683">
      <c r="D1683" s="51"/>
      <c r="E1683" s="51" t="b">
        <v>0</v>
      </c>
      <c r="F1683" t="b">
        <v>0</v>
      </c>
      <c r="H1683" s="646"/>
      <c r="M1683" s="646"/>
      <c r="R1683" s="646"/>
    </row>
    <row r="1684">
      <c r="D1684" s="51"/>
      <c r="E1684" s="51" t="b">
        <v>0</v>
      </c>
      <c r="F1684" t="b">
        <v>0</v>
      </c>
      <c r="H1684" s="646"/>
      <c r="M1684" s="646"/>
      <c r="R1684" s="646"/>
    </row>
    <row r="1685">
      <c r="D1685" s="51"/>
      <c r="E1685" s="51" t="b">
        <v>0</v>
      </c>
      <c r="F1685" t="b">
        <v>0</v>
      </c>
      <c r="H1685" s="646"/>
      <c r="M1685" s="646"/>
      <c r="R1685" s="646"/>
    </row>
    <row r="1686">
      <c r="D1686" s="51"/>
      <c r="E1686" s="51" t="b">
        <v>0</v>
      </c>
      <c r="F1686" t="b">
        <v>0</v>
      </c>
      <c r="H1686" s="646"/>
      <c r="M1686" s="646"/>
      <c r="R1686" s="646"/>
    </row>
    <row r="1687">
      <c r="D1687" s="51"/>
      <c r="E1687" s="51" t="b">
        <v>0</v>
      </c>
      <c r="F1687" t="b">
        <v>0</v>
      </c>
      <c r="H1687" s="646"/>
      <c r="M1687" s="646"/>
      <c r="R1687" s="646"/>
    </row>
    <row r="1688">
      <c r="D1688" s="51"/>
      <c r="E1688" s="51" t="b">
        <v>0</v>
      </c>
      <c r="F1688" t="b">
        <v>0</v>
      </c>
      <c r="H1688" s="646"/>
      <c r="M1688" s="646"/>
      <c r="R1688" s="646"/>
    </row>
    <row r="1689">
      <c r="D1689" s="51"/>
      <c r="E1689" s="51" t="b">
        <v>0</v>
      </c>
      <c r="F1689" t="b">
        <v>0</v>
      </c>
      <c r="H1689" s="646"/>
      <c r="M1689" s="646"/>
      <c r="R1689" s="646"/>
    </row>
    <row r="1690">
      <c r="D1690" s="51"/>
      <c r="E1690" s="51" t="b">
        <v>0</v>
      </c>
      <c r="F1690" t="b">
        <v>0</v>
      </c>
      <c r="H1690" s="646"/>
      <c r="M1690" s="646"/>
      <c r="R1690" s="646"/>
    </row>
    <row r="1691">
      <c r="D1691" s="51"/>
      <c r="E1691" s="51" t="b">
        <v>0</v>
      </c>
      <c r="F1691" t="b">
        <v>0</v>
      </c>
      <c r="H1691" s="646"/>
      <c r="M1691" s="646"/>
      <c r="R1691" s="646"/>
    </row>
    <row r="1692">
      <c r="D1692" s="51"/>
      <c r="E1692" s="51" t="b">
        <v>0</v>
      </c>
      <c r="F1692" t="b">
        <v>0</v>
      </c>
      <c r="H1692" s="646"/>
      <c r="M1692" s="646"/>
      <c r="R1692" s="646"/>
    </row>
    <row r="1693">
      <c r="D1693" s="51"/>
      <c r="E1693" s="51" t="b">
        <v>0</v>
      </c>
      <c r="F1693" t="b">
        <v>0</v>
      </c>
      <c r="H1693" s="646"/>
      <c r="M1693" s="646"/>
      <c r="R1693" s="646"/>
    </row>
    <row r="1694">
      <c r="D1694" s="51"/>
      <c r="E1694" s="51" t="b">
        <v>0</v>
      </c>
      <c r="F1694" t="b">
        <v>0</v>
      </c>
      <c r="H1694" s="646"/>
      <c r="M1694" s="646"/>
      <c r="R1694" s="646"/>
    </row>
    <row r="1695">
      <c r="D1695" s="51"/>
      <c r="E1695" s="51" t="b">
        <v>0</v>
      </c>
      <c r="F1695" t="b">
        <v>0</v>
      </c>
      <c r="H1695" s="646"/>
      <c r="M1695" s="646"/>
      <c r="R1695" s="646"/>
    </row>
    <row r="1696">
      <c r="D1696" s="51"/>
      <c r="E1696" s="51" t="b">
        <v>0</v>
      </c>
      <c r="F1696" t="b">
        <v>0</v>
      </c>
      <c r="H1696" s="646"/>
      <c r="M1696" s="646"/>
      <c r="R1696" s="646"/>
    </row>
    <row r="1697">
      <c r="D1697" s="51"/>
      <c r="E1697" s="51" t="b">
        <v>0</v>
      </c>
      <c r="F1697" t="b">
        <v>0</v>
      </c>
      <c r="H1697" s="646"/>
      <c r="M1697" s="646"/>
      <c r="R1697" s="646"/>
    </row>
    <row r="1698">
      <c r="D1698" s="51"/>
      <c r="E1698" s="51" t="b">
        <v>0</v>
      </c>
      <c r="F1698" t="b">
        <v>0</v>
      </c>
      <c r="H1698" s="646"/>
      <c r="M1698" s="646"/>
      <c r="R1698" s="646"/>
    </row>
    <row r="1699">
      <c r="D1699" s="51"/>
      <c r="E1699" s="51" t="b">
        <v>0</v>
      </c>
      <c r="F1699" t="b">
        <v>0</v>
      </c>
      <c r="H1699" s="646"/>
      <c r="M1699" s="646"/>
      <c r="R1699" s="646"/>
    </row>
    <row r="1700">
      <c r="D1700" s="51"/>
      <c r="E1700" s="51" t="b">
        <v>0</v>
      </c>
      <c r="F1700" t="b">
        <v>0</v>
      </c>
      <c r="H1700" s="646"/>
      <c r="M1700" s="646"/>
      <c r="R1700" s="646"/>
    </row>
    <row r="1701">
      <c r="D1701" s="51"/>
      <c r="E1701" s="51" t="b">
        <v>0</v>
      </c>
      <c r="F1701" t="b">
        <v>0</v>
      </c>
      <c r="H1701" s="646"/>
      <c r="M1701" s="646"/>
      <c r="R1701" s="646"/>
    </row>
    <row r="1702">
      <c r="D1702" s="51"/>
      <c r="E1702" s="51" t="b">
        <v>0</v>
      </c>
      <c r="F1702" t="b">
        <v>0</v>
      </c>
      <c r="H1702" s="646"/>
      <c r="M1702" s="646"/>
      <c r="R1702" s="646"/>
    </row>
    <row r="1703">
      <c r="D1703" s="51"/>
      <c r="E1703" s="51" t="b">
        <v>0</v>
      </c>
      <c r="F1703" t="b">
        <v>0</v>
      </c>
      <c r="H1703" s="646"/>
      <c r="M1703" s="646"/>
      <c r="R1703" s="646"/>
    </row>
    <row r="1704">
      <c r="D1704" s="51"/>
      <c r="E1704" s="51" t="b">
        <v>0</v>
      </c>
      <c r="F1704" t="b">
        <v>0</v>
      </c>
      <c r="H1704" s="646"/>
      <c r="M1704" s="646"/>
      <c r="R1704" s="646"/>
    </row>
    <row r="1705">
      <c r="D1705" s="51"/>
      <c r="E1705" s="51" t="b">
        <v>0</v>
      </c>
      <c r="F1705" t="b">
        <v>0</v>
      </c>
      <c r="H1705" s="646"/>
      <c r="M1705" s="646"/>
      <c r="R1705" s="646"/>
    </row>
    <row r="1706">
      <c r="D1706" s="51"/>
      <c r="E1706" s="51" t="b">
        <v>0</v>
      </c>
      <c r="F1706" t="b">
        <v>0</v>
      </c>
      <c r="H1706" s="646"/>
      <c r="M1706" s="646"/>
      <c r="R1706" s="646"/>
    </row>
    <row r="1707">
      <c r="D1707" s="51"/>
      <c r="E1707" s="51" t="b">
        <v>0</v>
      </c>
      <c r="F1707" t="b">
        <v>0</v>
      </c>
      <c r="H1707" s="646"/>
      <c r="M1707" s="646"/>
      <c r="R1707" s="646"/>
    </row>
    <row r="1708">
      <c r="D1708" s="51"/>
      <c r="E1708" s="51" t="b">
        <v>0</v>
      </c>
      <c r="F1708" t="b">
        <v>0</v>
      </c>
      <c r="H1708" s="646"/>
      <c r="M1708" s="646"/>
      <c r="R1708" s="646"/>
    </row>
    <row r="1709">
      <c r="D1709" s="51"/>
      <c r="E1709" s="51" t="b">
        <v>0</v>
      </c>
      <c r="F1709" t="b">
        <v>0</v>
      </c>
      <c r="H1709" s="646"/>
      <c r="M1709" s="646"/>
      <c r="R1709" s="646"/>
    </row>
    <row r="1710">
      <c r="D1710" s="51"/>
      <c r="E1710" s="51" t="b">
        <v>0</v>
      </c>
      <c r="F1710" t="b">
        <v>0</v>
      </c>
      <c r="H1710" s="646"/>
      <c r="M1710" s="646"/>
      <c r="R1710" s="646"/>
    </row>
    <row r="1711">
      <c r="D1711" s="51"/>
      <c r="E1711" s="51" t="b">
        <v>0</v>
      </c>
      <c r="F1711" t="b">
        <v>0</v>
      </c>
      <c r="H1711" s="646"/>
      <c r="M1711" s="646"/>
      <c r="R1711" s="646"/>
    </row>
    <row r="1712">
      <c r="D1712" s="51"/>
      <c r="E1712" s="51" t="b">
        <v>0</v>
      </c>
      <c r="F1712" t="b">
        <v>0</v>
      </c>
      <c r="H1712" s="646"/>
      <c r="M1712" s="646"/>
      <c r="R1712" s="646"/>
    </row>
    <row r="1713">
      <c r="D1713" s="51"/>
      <c r="E1713" s="51" t="b">
        <v>0</v>
      </c>
      <c r="F1713" t="b">
        <v>0</v>
      </c>
      <c r="H1713" s="646"/>
      <c r="M1713" s="646"/>
      <c r="R1713" s="646"/>
    </row>
    <row r="1714">
      <c r="D1714" s="51"/>
      <c r="E1714" s="51" t="b">
        <v>0</v>
      </c>
      <c r="F1714" t="b">
        <v>0</v>
      </c>
      <c r="H1714" s="646"/>
      <c r="M1714" s="646"/>
      <c r="R1714" s="646"/>
    </row>
    <row r="1715">
      <c r="D1715" s="51"/>
      <c r="E1715" s="51" t="b">
        <v>0</v>
      </c>
      <c r="F1715" t="b">
        <v>0</v>
      </c>
      <c r="H1715" s="646"/>
      <c r="M1715" s="646"/>
      <c r="R1715" s="646"/>
    </row>
    <row r="1716">
      <c r="D1716" s="51"/>
      <c r="E1716" s="51" t="b">
        <v>0</v>
      </c>
      <c r="F1716" t="b">
        <v>0</v>
      </c>
      <c r="H1716" s="646"/>
      <c r="M1716" s="646"/>
      <c r="R1716" s="646"/>
    </row>
    <row r="1717">
      <c r="D1717" s="51"/>
      <c r="E1717" s="51" t="b">
        <v>0</v>
      </c>
      <c r="F1717" t="b">
        <v>0</v>
      </c>
      <c r="H1717" s="646"/>
      <c r="M1717" s="646"/>
      <c r="R1717" s="646"/>
    </row>
    <row r="1718">
      <c r="D1718" s="51"/>
      <c r="E1718" s="51" t="b">
        <v>0</v>
      </c>
      <c r="F1718" t="b">
        <v>0</v>
      </c>
      <c r="H1718" s="646"/>
      <c r="M1718" s="646"/>
      <c r="R1718" s="646"/>
    </row>
    <row r="1719">
      <c r="D1719" s="51"/>
      <c r="E1719" s="51" t="b">
        <v>0</v>
      </c>
      <c r="F1719" t="b">
        <v>0</v>
      </c>
      <c r="H1719" s="646"/>
      <c r="M1719" s="646"/>
      <c r="R1719" s="646"/>
    </row>
    <row r="1720">
      <c r="D1720" s="51"/>
      <c r="E1720" s="51" t="b">
        <v>0</v>
      </c>
      <c r="F1720" t="b">
        <v>0</v>
      </c>
      <c r="H1720" s="646"/>
      <c r="M1720" s="646"/>
      <c r="R1720" s="646"/>
    </row>
    <row r="1721">
      <c r="D1721" s="51"/>
      <c r="E1721" s="51" t="b">
        <v>0</v>
      </c>
      <c r="F1721" t="b">
        <v>0</v>
      </c>
      <c r="H1721" s="646"/>
      <c r="M1721" s="646"/>
      <c r="R1721" s="646"/>
    </row>
    <row r="1722">
      <c r="D1722" s="51"/>
      <c r="E1722" s="51" t="b">
        <v>0</v>
      </c>
      <c r="F1722" t="b">
        <v>0</v>
      </c>
      <c r="H1722" s="646"/>
      <c r="M1722" s="646"/>
      <c r="R1722" s="646"/>
    </row>
    <row r="1723">
      <c r="D1723" s="51"/>
      <c r="E1723" s="51" t="b">
        <v>0</v>
      </c>
      <c r="F1723" t="b">
        <v>0</v>
      </c>
      <c r="H1723" s="646"/>
      <c r="M1723" s="646"/>
      <c r="R1723" s="646"/>
    </row>
    <row r="1724">
      <c r="D1724" s="51"/>
      <c r="E1724" s="51" t="b">
        <v>0</v>
      </c>
      <c r="F1724" t="b">
        <v>0</v>
      </c>
      <c r="H1724" s="646"/>
      <c r="M1724" s="646"/>
      <c r="R1724" s="646"/>
    </row>
    <row r="1725">
      <c r="D1725" s="51"/>
      <c r="E1725" s="51" t="b">
        <v>0</v>
      </c>
      <c r="F1725" t="b">
        <v>0</v>
      </c>
      <c r="H1725" s="646"/>
      <c r="M1725" s="646"/>
      <c r="R1725" s="646"/>
    </row>
    <row r="1726">
      <c r="D1726" s="51"/>
      <c r="E1726" s="51" t="b">
        <v>0</v>
      </c>
      <c r="F1726" t="b">
        <v>0</v>
      </c>
      <c r="H1726" s="646"/>
      <c r="M1726" s="646"/>
      <c r="R1726" s="646"/>
    </row>
    <row r="1727">
      <c r="D1727" s="51"/>
      <c r="E1727" s="51" t="b">
        <v>0</v>
      </c>
      <c r="F1727" t="b">
        <v>0</v>
      </c>
      <c r="H1727" s="646"/>
      <c r="M1727" s="646"/>
      <c r="R1727" s="646"/>
    </row>
    <row r="1728">
      <c r="D1728" s="51"/>
      <c r="E1728" s="51" t="b">
        <v>0</v>
      </c>
      <c r="F1728" t="b">
        <v>0</v>
      </c>
      <c r="H1728" s="646"/>
      <c r="M1728" s="646"/>
      <c r="R1728" s="646"/>
    </row>
    <row r="1729">
      <c r="D1729" s="51"/>
      <c r="E1729" s="51" t="b">
        <v>0</v>
      </c>
      <c r="F1729" t="b">
        <v>0</v>
      </c>
      <c r="H1729" s="646"/>
      <c r="M1729" s="646"/>
      <c r="R1729" s="646"/>
    </row>
    <row r="1730">
      <c r="D1730" s="51"/>
      <c r="E1730" s="51" t="b">
        <v>0</v>
      </c>
      <c r="F1730" t="b">
        <v>0</v>
      </c>
      <c r="H1730" s="646"/>
      <c r="M1730" s="646"/>
      <c r="R1730" s="646"/>
    </row>
    <row r="1731">
      <c r="D1731" s="51"/>
      <c r="E1731" s="51" t="b">
        <v>0</v>
      </c>
      <c r="F1731" t="b">
        <v>0</v>
      </c>
      <c r="H1731" s="646"/>
      <c r="M1731" s="646"/>
      <c r="R1731" s="646"/>
    </row>
    <row r="1732">
      <c r="D1732" s="51"/>
      <c r="E1732" s="51" t="b">
        <v>0</v>
      </c>
      <c r="F1732" t="b">
        <v>0</v>
      </c>
      <c r="H1732" s="646"/>
      <c r="M1732" s="646"/>
      <c r="R1732" s="646"/>
    </row>
    <row r="1733">
      <c r="D1733" s="51"/>
      <c r="E1733" s="51" t="b">
        <v>0</v>
      </c>
      <c r="F1733" t="b">
        <v>0</v>
      </c>
      <c r="H1733" s="646"/>
      <c r="M1733" s="646"/>
      <c r="R1733" s="646"/>
    </row>
    <row r="1734">
      <c r="D1734" s="51"/>
      <c r="E1734" s="51" t="b">
        <v>0</v>
      </c>
      <c r="F1734" t="b">
        <v>0</v>
      </c>
      <c r="H1734" s="646"/>
      <c r="M1734" s="646"/>
      <c r="R1734" s="646"/>
    </row>
    <row r="1735">
      <c r="D1735" s="51"/>
      <c r="E1735" s="51" t="b">
        <v>0</v>
      </c>
      <c r="F1735" t="b">
        <v>0</v>
      </c>
      <c r="H1735" s="646"/>
      <c r="M1735" s="646"/>
      <c r="R1735" s="646"/>
    </row>
    <row r="1736">
      <c r="D1736" s="51"/>
      <c r="E1736" s="51" t="b">
        <v>0</v>
      </c>
      <c r="F1736" t="b">
        <v>0</v>
      </c>
      <c r="H1736" s="646"/>
      <c r="M1736" s="646"/>
      <c r="R1736" s="646"/>
    </row>
    <row r="1737">
      <c r="D1737" s="51"/>
      <c r="E1737" s="51" t="b">
        <v>0</v>
      </c>
      <c r="F1737" t="b">
        <v>0</v>
      </c>
      <c r="H1737" s="646"/>
      <c r="M1737" s="646"/>
      <c r="R1737" s="646"/>
    </row>
    <row r="1738">
      <c r="D1738" s="51"/>
      <c r="E1738" s="51" t="b">
        <v>0</v>
      </c>
      <c r="F1738" t="b">
        <v>0</v>
      </c>
      <c r="H1738" s="646"/>
      <c r="M1738" s="646"/>
      <c r="R1738" s="646"/>
    </row>
    <row r="1739">
      <c r="D1739" s="51"/>
      <c r="E1739" s="51" t="b">
        <v>0</v>
      </c>
      <c r="F1739" t="b">
        <v>0</v>
      </c>
      <c r="H1739" s="646"/>
      <c r="M1739" s="646"/>
      <c r="R1739" s="646"/>
    </row>
    <row r="1740">
      <c r="D1740" s="51"/>
      <c r="E1740" s="51" t="b">
        <v>0</v>
      </c>
      <c r="F1740" t="b">
        <v>0</v>
      </c>
      <c r="H1740" s="646"/>
      <c r="M1740" s="646"/>
      <c r="R1740" s="646"/>
    </row>
    <row r="1741">
      <c r="D1741" s="51"/>
      <c r="E1741" s="51" t="b">
        <v>0</v>
      </c>
      <c r="F1741" t="b">
        <v>0</v>
      </c>
      <c r="H1741" s="646"/>
      <c r="M1741" s="646"/>
      <c r="R1741" s="646"/>
    </row>
    <row r="1742">
      <c r="D1742" s="51"/>
      <c r="E1742" s="51" t="b">
        <v>0</v>
      </c>
      <c r="F1742" t="b">
        <v>0</v>
      </c>
      <c r="H1742" s="646"/>
      <c r="M1742" s="646"/>
      <c r="R1742" s="646"/>
    </row>
    <row r="1743">
      <c r="D1743" s="51"/>
      <c r="E1743" s="51" t="b">
        <v>0</v>
      </c>
      <c r="F1743" t="b">
        <v>0</v>
      </c>
      <c r="H1743" s="646"/>
      <c r="M1743" s="646"/>
      <c r="R1743" s="646"/>
    </row>
    <row r="1744">
      <c r="D1744" s="51"/>
      <c r="E1744" s="51" t="b">
        <v>0</v>
      </c>
      <c r="F1744" t="b">
        <v>0</v>
      </c>
      <c r="H1744" s="646"/>
      <c r="M1744" s="646"/>
      <c r="R1744" s="646"/>
    </row>
    <row r="1745">
      <c r="D1745" s="51"/>
      <c r="E1745" s="51" t="b">
        <v>0</v>
      </c>
      <c r="F1745" t="b">
        <v>0</v>
      </c>
      <c r="H1745" s="646"/>
      <c r="M1745" s="646"/>
      <c r="R1745" s="646"/>
    </row>
    <row r="1746">
      <c r="D1746" s="51"/>
      <c r="E1746" s="51" t="b">
        <v>0</v>
      </c>
      <c r="F1746" t="b">
        <v>0</v>
      </c>
      <c r="H1746" s="646"/>
      <c r="M1746" s="646"/>
      <c r="R1746" s="646"/>
    </row>
    <row r="1747">
      <c r="D1747" s="51"/>
      <c r="E1747" s="51" t="b">
        <v>0</v>
      </c>
      <c r="F1747" t="b">
        <v>0</v>
      </c>
      <c r="H1747" s="646"/>
      <c r="M1747" s="646"/>
      <c r="R1747" s="646"/>
    </row>
    <row r="1748">
      <c r="D1748" s="51"/>
      <c r="E1748" s="51" t="b">
        <v>0</v>
      </c>
      <c r="F1748" t="b">
        <v>0</v>
      </c>
      <c r="H1748" s="646"/>
      <c r="M1748" s="646"/>
      <c r="R1748" s="646"/>
    </row>
    <row r="1749">
      <c r="D1749" s="51"/>
      <c r="E1749" s="51" t="b">
        <v>0</v>
      </c>
      <c r="F1749" t="b">
        <v>0</v>
      </c>
      <c r="H1749" s="646"/>
      <c r="M1749" s="646"/>
      <c r="R1749" s="646"/>
    </row>
    <row r="1750">
      <c r="D1750" s="51"/>
      <c r="E1750" s="51" t="b">
        <v>0</v>
      </c>
      <c r="F1750" t="b">
        <v>0</v>
      </c>
      <c r="H1750" s="646"/>
      <c r="M1750" s="646"/>
      <c r="R1750" s="646"/>
    </row>
    <row r="1751">
      <c r="D1751" s="51"/>
      <c r="E1751" s="51" t="b">
        <v>0</v>
      </c>
      <c r="F1751" t="b">
        <v>0</v>
      </c>
      <c r="H1751" s="646"/>
      <c r="M1751" s="646"/>
      <c r="R1751" s="646"/>
    </row>
    <row r="1752">
      <c r="D1752" s="51"/>
      <c r="E1752" s="51" t="b">
        <v>0</v>
      </c>
      <c r="F1752" t="b">
        <v>0</v>
      </c>
      <c r="H1752" s="646"/>
      <c r="M1752" s="646"/>
      <c r="R1752" s="646"/>
    </row>
    <row r="1753">
      <c r="D1753" s="51"/>
      <c r="E1753" s="51" t="b">
        <v>0</v>
      </c>
      <c r="F1753" t="b">
        <v>0</v>
      </c>
      <c r="H1753" s="646"/>
      <c r="M1753" s="646"/>
      <c r="R1753" s="646"/>
    </row>
    <row r="1754">
      <c r="D1754" s="51"/>
      <c r="E1754" s="51" t="b">
        <v>0</v>
      </c>
      <c r="F1754" t="b">
        <v>0</v>
      </c>
      <c r="H1754" s="646"/>
      <c r="M1754" s="646"/>
      <c r="R1754" s="646"/>
    </row>
    <row r="1755">
      <c r="D1755" s="51"/>
      <c r="E1755" s="51" t="b">
        <v>0</v>
      </c>
      <c r="F1755" t="b">
        <v>0</v>
      </c>
      <c r="H1755" s="646"/>
      <c r="M1755" s="646"/>
      <c r="R1755" s="646"/>
    </row>
    <row r="1756">
      <c r="D1756" s="51"/>
      <c r="E1756" s="51" t="b">
        <v>0</v>
      </c>
      <c r="F1756" t="b">
        <v>0</v>
      </c>
      <c r="H1756" s="646"/>
      <c r="M1756" s="646"/>
      <c r="R1756" s="646"/>
    </row>
    <row r="1757">
      <c r="D1757" s="51"/>
      <c r="E1757" s="51" t="b">
        <v>0</v>
      </c>
      <c r="F1757" t="b">
        <v>0</v>
      </c>
      <c r="H1757" s="646"/>
      <c r="M1757" s="646"/>
      <c r="R1757" s="646"/>
    </row>
    <row r="1758">
      <c r="D1758" s="51"/>
      <c r="E1758" s="51" t="b">
        <v>0</v>
      </c>
      <c r="F1758" t="b">
        <v>0</v>
      </c>
      <c r="H1758" s="646"/>
      <c r="M1758" s="646"/>
      <c r="R1758" s="646"/>
    </row>
    <row r="1759">
      <c r="D1759" s="51"/>
      <c r="E1759" s="51" t="b">
        <v>0</v>
      </c>
      <c r="F1759" t="b">
        <v>0</v>
      </c>
      <c r="H1759" s="646"/>
      <c r="M1759" s="646"/>
      <c r="R1759" s="646"/>
    </row>
    <row r="1760">
      <c r="D1760" s="51"/>
      <c r="E1760" s="51" t="b">
        <v>0</v>
      </c>
      <c r="F1760" t="b">
        <v>0</v>
      </c>
      <c r="H1760" s="646"/>
      <c r="M1760" s="646"/>
      <c r="R1760" s="646"/>
    </row>
    <row r="1761">
      <c r="D1761" s="51"/>
      <c r="E1761" s="51" t="b">
        <v>0</v>
      </c>
      <c r="F1761" t="b">
        <v>0</v>
      </c>
      <c r="H1761" s="646"/>
      <c r="M1761" s="646"/>
      <c r="R1761" s="646"/>
    </row>
    <row r="1762">
      <c r="D1762" s="51"/>
      <c r="E1762" s="51" t="b">
        <v>0</v>
      </c>
      <c r="F1762" t="b">
        <v>0</v>
      </c>
      <c r="H1762" s="646"/>
      <c r="M1762" s="646"/>
      <c r="R1762" s="646"/>
    </row>
    <row r="1763">
      <c r="D1763" s="51"/>
      <c r="E1763" s="51" t="b">
        <v>0</v>
      </c>
      <c r="F1763" t="b">
        <v>0</v>
      </c>
      <c r="H1763" s="646"/>
      <c r="M1763" s="646"/>
      <c r="R1763" s="646"/>
    </row>
    <row r="1764">
      <c r="D1764" s="51"/>
      <c r="E1764" s="51" t="b">
        <v>0</v>
      </c>
      <c r="F1764" t="b">
        <v>0</v>
      </c>
      <c r="H1764" s="646"/>
      <c r="M1764" s="646"/>
      <c r="R1764" s="646"/>
    </row>
    <row r="1765">
      <c r="D1765" s="51"/>
      <c r="E1765" s="51" t="b">
        <v>0</v>
      </c>
      <c r="F1765" t="b">
        <v>0</v>
      </c>
      <c r="H1765" s="646"/>
      <c r="M1765" s="646"/>
      <c r="R1765" s="646"/>
    </row>
    <row r="1766">
      <c r="D1766" s="51"/>
      <c r="E1766" s="51" t="b">
        <v>0</v>
      </c>
      <c r="F1766" t="b">
        <v>0</v>
      </c>
      <c r="H1766" s="646"/>
      <c r="M1766" s="646"/>
      <c r="R1766" s="646"/>
    </row>
    <row r="1767">
      <c r="D1767" s="51"/>
      <c r="E1767" s="51" t="b">
        <v>0</v>
      </c>
      <c r="F1767" t="b">
        <v>0</v>
      </c>
      <c r="H1767" s="646"/>
      <c r="M1767" s="646"/>
      <c r="R1767" s="646"/>
    </row>
    <row r="1768">
      <c r="D1768" s="51"/>
      <c r="E1768" s="51" t="b">
        <v>0</v>
      </c>
      <c r="F1768" t="b">
        <v>0</v>
      </c>
      <c r="H1768" s="646"/>
      <c r="M1768" s="646"/>
      <c r="R1768" s="646"/>
    </row>
    <row r="1769">
      <c r="D1769" s="51"/>
      <c r="E1769" s="51" t="b">
        <v>0</v>
      </c>
      <c r="F1769" t="b">
        <v>0</v>
      </c>
      <c r="H1769" s="646"/>
      <c r="M1769" s="646"/>
      <c r="R1769" s="646"/>
    </row>
    <row r="1770">
      <c r="D1770" s="51"/>
      <c r="E1770" s="51" t="b">
        <v>0</v>
      </c>
      <c r="F1770" t="b">
        <v>0</v>
      </c>
      <c r="H1770" s="646"/>
      <c r="M1770" s="646"/>
      <c r="R1770" s="646"/>
    </row>
    <row r="1771">
      <c r="D1771" s="51"/>
      <c r="E1771" s="51" t="b">
        <v>0</v>
      </c>
      <c r="F1771" t="b">
        <v>0</v>
      </c>
      <c r="H1771" s="646"/>
      <c r="M1771" s="646"/>
      <c r="R1771" s="646"/>
    </row>
    <row r="1772">
      <c r="D1772" s="51"/>
      <c r="E1772" s="51" t="b">
        <v>0</v>
      </c>
      <c r="F1772" t="b">
        <v>0</v>
      </c>
      <c r="H1772" s="646"/>
      <c r="M1772" s="646"/>
      <c r="R1772" s="646"/>
    </row>
    <row r="1773">
      <c r="D1773" s="51"/>
      <c r="E1773" s="51" t="b">
        <v>0</v>
      </c>
      <c r="F1773" t="b">
        <v>0</v>
      </c>
      <c r="H1773" s="646"/>
      <c r="M1773" s="646"/>
      <c r="R1773" s="646"/>
    </row>
    <row r="1774">
      <c r="D1774" s="51"/>
      <c r="E1774" s="51" t="b">
        <v>0</v>
      </c>
      <c r="F1774" t="b">
        <v>0</v>
      </c>
      <c r="H1774" s="646"/>
      <c r="M1774" s="646"/>
      <c r="R1774" s="646"/>
    </row>
    <row r="1775">
      <c r="D1775" s="51"/>
      <c r="E1775" s="51" t="b">
        <v>0</v>
      </c>
      <c r="F1775" t="b">
        <v>0</v>
      </c>
      <c r="H1775" s="646"/>
      <c r="M1775" s="646"/>
      <c r="R1775" s="646"/>
    </row>
    <row r="1776">
      <c r="D1776" s="51"/>
      <c r="E1776" s="51" t="b">
        <v>0</v>
      </c>
      <c r="F1776" t="b">
        <v>0</v>
      </c>
      <c r="H1776" s="646"/>
      <c r="M1776" s="646"/>
      <c r="R1776" s="646"/>
    </row>
    <row r="1777">
      <c r="D1777" s="51"/>
      <c r="E1777" s="51" t="b">
        <v>0</v>
      </c>
      <c r="F1777" t="b">
        <v>0</v>
      </c>
      <c r="H1777" s="646"/>
      <c r="M1777" s="646"/>
      <c r="R1777" s="646"/>
    </row>
    <row r="1778">
      <c r="D1778" s="51"/>
      <c r="E1778" s="51" t="b">
        <v>0</v>
      </c>
      <c r="F1778" t="b">
        <v>0</v>
      </c>
      <c r="H1778" s="646"/>
      <c r="M1778" s="646"/>
      <c r="R1778" s="646"/>
    </row>
    <row r="1779">
      <c r="D1779" s="51"/>
      <c r="E1779" s="51" t="b">
        <v>0</v>
      </c>
      <c r="F1779" t="b">
        <v>0</v>
      </c>
      <c r="H1779" s="646"/>
      <c r="M1779" s="646"/>
      <c r="R1779" s="646"/>
    </row>
    <row r="1780">
      <c r="D1780" s="51"/>
      <c r="E1780" s="51" t="b">
        <v>0</v>
      </c>
      <c r="F1780" t="b">
        <v>0</v>
      </c>
      <c r="H1780" s="646"/>
      <c r="M1780" s="646"/>
      <c r="R1780" s="646"/>
    </row>
    <row r="1781">
      <c r="D1781" s="51"/>
      <c r="E1781" s="51" t="b">
        <v>0</v>
      </c>
      <c r="F1781" t="b">
        <v>0</v>
      </c>
      <c r="H1781" s="646"/>
      <c r="M1781" s="646"/>
      <c r="R1781" s="646"/>
    </row>
    <row r="1782">
      <c r="D1782" s="51"/>
      <c r="E1782" s="51" t="b">
        <v>0</v>
      </c>
      <c r="F1782" t="b">
        <v>0</v>
      </c>
      <c r="H1782" s="646"/>
      <c r="M1782" s="646"/>
      <c r="R1782" s="646"/>
    </row>
    <row r="1783">
      <c r="D1783" s="51"/>
      <c r="E1783" s="51" t="b">
        <v>0</v>
      </c>
      <c r="F1783" t="b">
        <v>0</v>
      </c>
      <c r="H1783" s="646"/>
      <c r="M1783" s="646"/>
      <c r="R1783" s="646"/>
    </row>
    <row r="1784">
      <c r="D1784" s="51"/>
      <c r="E1784" s="51" t="b">
        <v>0</v>
      </c>
      <c r="F1784" t="b">
        <v>0</v>
      </c>
      <c r="H1784" s="646"/>
      <c r="M1784" s="646"/>
      <c r="R1784" s="646"/>
    </row>
    <row r="1785">
      <c r="D1785" s="51"/>
      <c r="E1785" s="51" t="b">
        <v>0</v>
      </c>
      <c r="F1785" t="b">
        <v>0</v>
      </c>
      <c r="H1785" s="646"/>
      <c r="M1785" s="646"/>
      <c r="R1785" s="646"/>
    </row>
    <row r="1786">
      <c r="D1786" s="51"/>
      <c r="E1786" s="51" t="b">
        <v>0</v>
      </c>
      <c r="F1786" t="b">
        <v>0</v>
      </c>
      <c r="H1786" s="646"/>
      <c r="M1786" s="646"/>
      <c r="R1786" s="646"/>
    </row>
    <row r="1787">
      <c r="D1787" s="51"/>
      <c r="E1787" s="51" t="b">
        <v>0</v>
      </c>
      <c r="F1787" t="b">
        <v>0</v>
      </c>
      <c r="H1787" s="646"/>
      <c r="M1787" s="646"/>
      <c r="R1787" s="646"/>
    </row>
    <row r="1788">
      <c r="D1788" s="51"/>
      <c r="E1788" s="51" t="b">
        <v>0</v>
      </c>
      <c r="F1788" t="b">
        <v>0</v>
      </c>
      <c r="H1788" s="646"/>
      <c r="M1788" s="646"/>
      <c r="R1788" s="646"/>
    </row>
    <row r="1789">
      <c r="D1789" s="51"/>
      <c r="E1789" s="51" t="b">
        <v>0</v>
      </c>
      <c r="F1789" t="b">
        <v>0</v>
      </c>
      <c r="H1789" s="646"/>
      <c r="M1789" s="646"/>
      <c r="R1789" s="646"/>
    </row>
    <row r="1790">
      <c r="D1790" s="51"/>
      <c r="E1790" s="51" t="b">
        <v>0</v>
      </c>
      <c r="F1790" t="b">
        <v>0</v>
      </c>
      <c r="H1790" s="646"/>
      <c r="M1790" s="646"/>
      <c r="R1790" s="646"/>
    </row>
    <row r="1791">
      <c r="D1791" s="51"/>
      <c r="E1791" s="51" t="b">
        <v>0</v>
      </c>
      <c r="F1791" t="b">
        <v>0</v>
      </c>
      <c r="H1791" s="646"/>
      <c r="M1791" s="646"/>
      <c r="R1791" s="646"/>
    </row>
    <row r="1792">
      <c r="D1792" s="51"/>
      <c r="E1792" s="51" t="b">
        <v>0</v>
      </c>
      <c r="F1792" t="b">
        <v>0</v>
      </c>
      <c r="H1792" s="646"/>
      <c r="M1792" s="646"/>
      <c r="R1792" s="646"/>
    </row>
    <row r="1793">
      <c r="D1793" s="51"/>
      <c r="E1793" s="51" t="b">
        <v>0</v>
      </c>
      <c r="F1793" t="b">
        <v>0</v>
      </c>
      <c r="H1793" s="646"/>
      <c r="M1793" s="646"/>
      <c r="R1793" s="646"/>
    </row>
    <row r="1794">
      <c r="D1794" s="51"/>
      <c r="E1794" s="51" t="b">
        <v>0</v>
      </c>
      <c r="F1794" t="b">
        <v>0</v>
      </c>
      <c r="H1794" s="646"/>
      <c r="M1794" s="646"/>
      <c r="R1794" s="646"/>
    </row>
    <row r="1795">
      <c r="D1795" s="51"/>
      <c r="E1795" s="51" t="b">
        <v>0</v>
      </c>
      <c r="F1795" t="b">
        <v>0</v>
      </c>
      <c r="H1795" s="646"/>
      <c r="M1795" s="646"/>
      <c r="R1795" s="646"/>
    </row>
    <row r="1796">
      <c r="D1796" s="51"/>
      <c r="E1796" s="51" t="b">
        <v>0</v>
      </c>
      <c r="F1796" t="b">
        <v>0</v>
      </c>
      <c r="H1796" s="646"/>
      <c r="M1796" s="646"/>
      <c r="R1796" s="646"/>
    </row>
    <row r="1797">
      <c r="D1797" s="51"/>
      <c r="E1797" s="51" t="b">
        <v>0</v>
      </c>
      <c r="F1797" t="b">
        <v>0</v>
      </c>
      <c r="H1797" s="646"/>
      <c r="M1797" s="646"/>
      <c r="R1797" s="646"/>
    </row>
    <row r="1798">
      <c r="D1798" s="51"/>
      <c r="E1798" s="51" t="b">
        <v>0</v>
      </c>
      <c r="F1798" t="b">
        <v>0</v>
      </c>
      <c r="H1798" s="646"/>
      <c r="M1798" s="646"/>
      <c r="R1798" s="646"/>
    </row>
    <row r="1799">
      <c r="D1799" s="51"/>
      <c r="E1799" s="51" t="b">
        <v>0</v>
      </c>
      <c r="F1799" t="b">
        <v>0</v>
      </c>
      <c r="H1799" s="646"/>
      <c r="M1799" s="646"/>
      <c r="R1799" s="646"/>
    </row>
    <row r="1800">
      <c r="D1800" s="51"/>
      <c r="E1800" s="51" t="b">
        <v>0</v>
      </c>
      <c r="F1800" t="b">
        <v>0</v>
      </c>
      <c r="H1800" s="646"/>
      <c r="M1800" s="646"/>
      <c r="R1800" s="646"/>
    </row>
    <row r="1801">
      <c r="D1801" s="51"/>
      <c r="E1801" s="51" t="b">
        <v>0</v>
      </c>
      <c r="F1801" t="b">
        <v>0</v>
      </c>
      <c r="H1801" s="646"/>
      <c r="M1801" s="646"/>
      <c r="R1801" s="646"/>
    </row>
    <row r="1802">
      <c r="D1802" s="51"/>
      <c r="E1802" s="51" t="b">
        <v>0</v>
      </c>
      <c r="F1802" t="b">
        <v>0</v>
      </c>
      <c r="H1802" s="646"/>
      <c r="M1802" s="646"/>
      <c r="R1802" s="646"/>
    </row>
    <row r="1803">
      <c r="D1803" s="51"/>
      <c r="E1803" s="51" t="b">
        <v>0</v>
      </c>
      <c r="F1803" t="b">
        <v>0</v>
      </c>
      <c r="H1803" s="646"/>
      <c r="M1803" s="646"/>
      <c r="R1803" s="646"/>
    </row>
    <row r="1804">
      <c r="D1804" s="51"/>
      <c r="E1804" s="51" t="b">
        <v>0</v>
      </c>
      <c r="F1804" t="b">
        <v>0</v>
      </c>
      <c r="H1804" s="646"/>
      <c r="M1804" s="646"/>
      <c r="R1804" s="646"/>
    </row>
    <row r="1805">
      <c r="D1805" s="51"/>
      <c r="E1805" s="51" t="b">
        <v>0</v>
      </c>
      <c r="F1805" t="b">
        <v>0</v>
      </c>
      <c r="H1805" s="646"/>
      <c r="M1805" s="646"/>
      <c r="R1805" s="646"/>
    </row>
    <row r="1806">
      <c r="D1806" s="51"/>
      <c r="E1806" s="51" t="b">
        <v>0</v>
      </c>
      <c r="F1806" t="b">
        <v>0</v>
      </c>
      <c r="H1806" s="646"/>
      <c r="M1806" s="646"/>
      <c r="R1806" s="646"/>
    </row>
    <row r="1807">
      <c r="D1807" s="51"/>
      <c r="E1807" s="51" t="b">
        <v>0</v>
      </c>
      <c r="F1807" t="b">
        <v>0</v>
      </c>
      <c r="H1807" s="646"/>
      <c r="M1807" s="646"/>
      <c r="R1807" s="646"/>
    </row>
    <row r="1808">
      <c r="D1808" s="51"/>
      <c r="E1808" s="51" t="b">
        <v>0</v>
      </c>
      <c r="F1808" t="b">
        <v>0</v>
      </c>
      <c r="H1808" s="646"/>
      <c r="M1808" s="646"/>
      <c r="R1808" s="646"/>
    </row>
    <row r="1809">
      <c r="D1809" s="51"/>
      <c r="E1809" s="51" t="b">
        <v>0</v>
      </c>
      <c r="F1809" t="b">
        <v>0</v>
      </c>
      <c r="H1809" s="646"/>
      <c r="M1809" s="646"/>
      <c r="R1809" s="646"/>
    </row>
    <row r="1810">
      <c r="D1810" s="51"/>
      <c r="E1810" s="51" t="b">
        <v>0</v>
      </c>
      <c r="F1810" t="b">
        <v>0</v>
      </c>
      <c r="H1810" s="646"/>
      <c r="M1810" s="646"/>
      <c r="R1810" s="646"/>
    </row>
    <row r="1811">
      <c r="D1811" s="51"/>
      <c r="E1811" s="51" t="b">
        <v>0</v>
      </c>
      <c r="F1811" t="b">
        <v>0</v>
      </c>
      <c r="H1811" s="646"/>
      <c r="M1811" s="646"/>
      <c r="R1811" s="646"/>
    </row>
    <row r="1812">
      <c r="D1812" s="51"/>
      <c r="E1812" s="51" t="b">
        <v>0</v>
      </c>
      <c r="F1812" t="b">
        <v>0</v>
      </c>
      <c r="H1812" s="646"/>
      <c r="M1812" s="646"/>
      <c r="R1812" s="646"/>
    </row>
    <row r="1813">
      <c r="D1813" s="51"/>
      <c r="E1813" s="51" t="b">
        <v>0</v>
      </c>
      <c r="F1813" t="b">
        <v>0</v>
      </c>
      <c r="H1813" s="646"/>
      <c r="M1813" s="646"/>
      <c r="R1813" s="646"/>
    </row>
    <row r="1814">
      <c r="D1814" s="51"/>
      <c r="E1814" s="51" t="b">
        <v>0</v>
      </c>
      <c r="F1814" t="b">
        <v>0</v>
      </c>
      <c r="H1814" s="646"/>
      <c r="M1814" s="646"/>
      <c r="R1814" s="646"/>
    </row>
    <row r="1815">
      <c r="D1815" s="51"/>
      <c r="E1815" s="51" t="b">
        <v>0</v>
      </c>
      <c r="F1815" t="b">
        <v>0</v>
      </c>
      <c r="H1815" s="646"/>
      <c r="M1815" s="646"/>
      <c r="R1815" s="646"/>
    </row>
    <row r="1816">
      <c r="D1816" s="51"/>
      <c r="E1816" s="51" t="b">
        <v>0</v>
      </c>
      <c r="F1816" t="b">
        <v>0</v>
      </c>
      <c r="H1816" s="646"/>
      <c r="M1816" s="646"/>
      <c r="R1816" s="646"/>
    </row>
    <row r="1817">
      <c r="D1817" s="51"/>
      <c r="E1817" s="51" t="b">
        <v>0</v>
      </c>
      <c r="F1817" t="b">
        <v>0</v>
      </c>
      <c r="H1817" s="646"/>
      <c r="M1817" s="646"/>
      <c r="R1817" s="646"/>
    </row>
    <row r="1818">
      <c r="D1818" s="51"/>
      <c r="E1818" s="51" t="b">
        <v>0</v>
      </c>
      <c r="F1818" t="b">
        <v>0</v>
      </c>
      <c r="H1818" s="646"/>
      <c r="M1818" s="646"/>
      <c r="R1818" s="646"/>
    </row>
    <row r="1819">
      <c r="D1819" s="51"/>
      <c r="E1819" s="51" t="b">
        <v>0</v>
      </c>
      <c r="F1819" t="b">
        <v>0</v>
      </c>
      <c r="H1819" s="646"/>
      <c r="M1819" s="646"/>
      <c r="R1819" s="646"/>
    </row>
    <row r="1820">
      <c r="D1820" s="51"/>
      <c r="E1820" s="51" t="b">
        <v>0</v>
      </c>
      <c r="F1820" t="b">
        <v>0</v>
      </c>
      <c r="H1820" s="646"/>
      <c r="M1820" s="646"/>
      <c r="R1820" s="646"/>
    </row>
    <row r="1821">
      <c r="D1821" s="51"/>
      <c r="E1821" s="51" t="b">
        <v>0</v>
      </c>
      <c r="F1821" t="b">
        <v>0</v>
      </c>
      <c r="H1821" s="646"/>
      <c r="M1821" s="646"/>
      <c r="R1821" s="646"/>
    </row>
    <row r="1822">
      <c r="D1822" s="51"/>
      <c r="E1822" s="51" t="b">
        <v>0</v>
      </c>
      <c r="F1822" t="b">
        <v>0</v>
      </c>
      <c r="H1822" s="646"/>
      <c r="M1822" s="646"/>
      <c r="R1822" s="646"/>
    </row>
    <row r="1823">
      <c r="D1823" s="51"/>
      <c r="E1823" s="51" t="b">
        <v>0</v>
      </c>
      <c r="F1823" t="b">
        <v>0</v>
      </c>
      <c r="H1823" s="646"/>
      <c r="M1823" s="646"/>
      <c r="R1823" s="646"/>
    </row>
    <row r="1824">
      <c r="D1824" s="51"/>
      <c r="E1824" s="51" t="b">
        <v>0</v>
      </c>
      <c r="F1824" t="b">
        <v>0</v>
      </c>
      <c r="H1824" s="646"/>
      <c r="M1824" s="646"/>
      <c r="R1824" s="646"/>
    </row>
    <row r="1825">
      <c r="D1825" s="51"/>
      <c r="E1825" s="51" t="b">
        <v>0</v>
      </c>
      <c r="F1825" t="b">
        <v>0</v>
      </c>
      <c r="H1825" s="646"/>
      <c r="M1825" s="646"/>
      <c r="R1825" s="646"/>
    </row>
    <row r="1826">
      <c r="D1826" s="51"/>
      <c r="E1826" s="51" t="b">
        <v>0</v>
      </c>
      <c r="F1826" t="b">
        <v>0</v>
      </c>
      <c r="H1826" s="646"/>
      <c r="M1826" s="646"/>
      <c r="R1826" s="646"/>
    </row>
    <row r="1827">
      <c r="D1827" s="51"/>
      <c r="E1827" s="51" t="b">
        <v>0</v>
      </c>
      <c r="F1827" t="b">
        <v>0</v>
      </c>
      <c r="H1827" s="646"/>
      <c r="M1827" s="646"/>
      <c r="R1827" s="646"/>
    </row>
    <row r="1828">
      <c r="D1828" s="51"/>
      <c r="E1828" s="51" t="b">
        <v>0</v>
      </c>
      <c r="F1828" t="b">
        <v>0</v>
      </c>
      <c r="H1828" s="646"/>
      <c r="M1828" s="646"/>
      <c r="R1828" s="646"/>
    </row>
    <row r="1829">
      <c r="D1829" s="51"/>
      <c r="E1829" s="51" t="b">
        <v>0</v>
      </c>
      <c r="F1829" t="b">
        <v>0</v>
      </c>
      <c r="H1829" s="646"/>
      <c r="M1829" s="646"/>
      <c r="R1829" s="646"/>
    </row>
    <row r="1830">
      <c r="D1830" s="51"/>
      <c r="E1830" s="51" t="b">
        <v>0</v>
      </c>
      <c r="F1830" t="b">
        <v>0</v>
      </c>
      <c r="H1830" s="646"/>
      <c r="M1830" s="646"/>
      <c r="R1830" s="646"/>
    </row>
    <row r="1831">
      <c r="D1831" s="51"/>
      <c r="E1831" s="51" t="b">
        <v>0</v>
      </c>
      <c r="F1831" t="b">
        <v>0</v>
      </c>
      <c r="H1831" s="646"/>
      <c r="M1831" s="646"/>
      <c r="R1831" s="646"/>
    </row>
    <row r="1832">
      <c r="D1832" s="51"/>
      <c r="E1832" s="51" t="b">
        <v>0</v>
      </c>
      <c r="F1832" t="b">
        <v>0</v>
      </c>
      <c r="H1832" s="646"/>
      <c r="M1832" s="646"/>
      <c r="R1832" s="646"/>
    </row>
    <row r="1833">
      <c r="D1833" s="51"/>
      <c r="E1833" s="51" t="b">
        <v>0</v>
      </c>
      <c r="F1833" t="b">
        <v>0</v>
      </c>
      <c r="H1833" s="646"/>
      <c r="M1833" s="646"/>
      <c r="R1833" s="646"/>
    </row>
    <row r="1834">
      <c r="D1834" s="51"/>
      <c r="E1834" s="51" t="b">
        <v>0</v>
      </c>
      <c r="F1834" t="b">
        <v>0</v>
      </c>
      <c r="H1834" s="646"/>
      <c r="M1834" s="646"/>
      <c r="R1834" s="646"/>
    </row>
    <row r="1835">
      <c r="D1835" s="51"/>
      <c r="E1835" s="51" t="b">
        <v>0</v>
      </c>
      <c r="F1835" t="b">
        <v>0</v>
      </c>
      <c r="H1835" s="646"/>
      <c r="M1835" s="646"/>
      <c r="R1835" s="646"/>
    </row>
    <row r="1836">
      <c r="D1836" s="51"/>
      <c r="E1836" s="51" t="b">
        <v>0</v>
      </c>
      <c r="F1836" t="b">
        <v>0</v>
      </c>
      <c r="H1836" s="646"/>
      <c r="M1836" s="646"/>
      <c r="R1836" s="646"/>
    </row>
    <row r="1837">
      <c r="D1837" s="51"/>
      <c r="E1837" s="51" t="b">
        <v>0</v>
      </c>
      <c r="F1837" t="b">
        <v>0</v>
      </c>
      <c r="H1837" s="646"/>
      <c r="M1837" s="646"/>
      <c r="R1837" s="646"/>
    </row>
    <row r="1838">
      <c r="D1838" s="51"/>
      <c r="E1838" s="51" t="b">
        <v>0</v>
      </c>
      <c r="F1838" t="b">
        <v>0</v>
      </c>
      <c r="H1838" s="646"/>
      <c r="M1838" s="646"/>
      <c r="R1838" s="646"/>
    </row>
    <row r="1839">
      <c r="D1839" s="51"/>
      <c r="E1839" s="51" t="b">
        <v>0</v>
      </c>
      <c r="F1839" t="b">
        <v>0</v>
      </c>
      <c r="H1839" s="646"/>
      <c r="M1839" s="646"/>
      <c r="R1839" s="646"/>
    </row>
    <row r="1840">
      <c r="D1840" s="51"/>
      <c r="E1840" s="51" t="b">
        <v>0</v>
      </c>
      <c r="F1840" t="b">
        <v>0</v>
      </c>
      <c r="H1840" s="646"/>
      <c r="M1840" s="646"/>
      <c r="R1840" s="646"/>
    </row>
    <row r="1841">
      <c r="D1841" s="51"/>
      <c r="E1841" s="51" t="b">
        <v>0</v>
      </c>
      <c r="F1841" t="b">
        <v>0</v>
      </c>
      <c r="H1841" s="646"/>
      <c r="M1841" s="646"/>
      <c r="R1841" s="646"/>
    </row>
    <row r="1842">
      <c r="D1842" s="51"/>
      <c r="E1842" s="51" t="b">
        <v>0</v>
      </c>
      <c r="F1842" t="b">
        <v>0</v>
      </c>
      <c r="H1842" s="646"/>
      <c r="M1842" s="646"/>
      <c r="R1842" s="646"/>
    </row>
    <row r="1843">
      <c r="D1843" s="51"/>
      <c r="E1843" s="51" t="b">
        <v>0</v>
      </c>
      <c r="F1843" t="b">
        <v>0</v>
      </c>
      <c r="H1843" s="646"/>
      <c r="M1843" s="646"/>
      <c r="R1843" s="646"/>
    </row>
    <row r="1844">
      <c r="D1844" s="51"/>
      <c r="E1844" s="51" t="b">
        <v>0</v>
      </c>
      <c r="F1844" t="b">
        <v>0</v>
      </c>
      <c r="H1844" s="646"/>
      <c r="M1844" s="646"/>
      <c r="R1844" s="646"/>
    </row>
    <row r="1845">
      <c r="D1845" s="51"/>
      <c r="E1845" s="51" t="b">
        <v>0</v>
      </c>
      <c r="F1845" t="b">
        <v>0</v>
      </c>
      <c r="H1845" s="646"/>
      <c r="M1845" s="646"/>
      <c r="R1845" s="646"/>
    </row>
    <row r="1846">
      <c r="D1846" s="51"/>
      <c r="E1846" s="51" t="b">
        <v>0</v>
      </c>
      <c r="F1846" t="b">
        <v>0</v>
      </c>
      <c r="H1846" s="646"/>
      <c r="M1846" s="646"/>
      <c r="R1846" s="646"/>
    </row>
    <row r="1847">
      <c r="D1847" s="51"/>
      <c r="E1847" s="51" t="b">
        <v>0</v>
      </c>
      <c r="F1847" t="b">
        <v>0</v>
      </c>
      <c r="H1847" s="646"/>
      <c r="M1847" s="646"/>
      <c r="R1847" s="646"/>
    </row>
    <row r="1848">
      <c r="D1848" s="51"/>
      <c r="E1848" s="51" t="b">
        <v>0</v>
      </c>
      <c r="F1848" t="b">
        <v>0</v>
      </c>
      <c r="H1848" s="646"/>
      <c r="M1848" s="646"/>
      <c r="R1848" s="646"/>
    </row>
    <row r="1849">
      <c r="D1849" s="51"/>
      <c r="E1849" s="51" t="b">
        <v>0</v>
      </c>
      <c r="F1849" t="b">
        <v>0</v>
      </c>
      <c r="H1849" s="646"/>
      <c r="M1849" s="646"/>
      <c r="R1849" s="646"/>
    </row>
    <row r="1850">
      <c r="D1850" s="51"/>
      <c r="E1850" s="51" t="b">
        <v>0</v>
      </c>
      <c r="F1850" t="b">
        <v>0</v>
      </c>
      <c r="H1850" s="646"/>
      <c r="M1850" s="646"/>
      <c r="R1850" s="646"/>
    </row>
    <row r="1851">
      <c r="D1851" s="51"/>
      <c r="E1851" s="51" t="b">
        <v>0</v>
      </c>
      <c r="F1851" t="b">
        <v>0</v>
      </c>
      <c r="H1851" s="646"/>
      <c r="M1851" s="646"/>
      <c r="R1851" s="646"/>
    </row>
    <row r="1852">
      <c r="D1852" s="51"/>
      <c r="E1852" s="51" t="b">
        <v>0</v>
      </c>
      <c r="F1852" t="b">
        <v>0</v>
      </c>
      <c r="H1852" s="646"/>
      <c r="M1852" s="646"/>
      <c r="R1852" s="646"/>
    </row>
    <row r="1853">
      <c r="D1853" s="51"/>
      <c r="E1853" s="51" t="b">
        <v>0</v>
      </c>
      <c r="F1853" t="b">
        <v>0</v>
      </c>
      <c r="H1853" s="646"/>
      <c r="M1853" s="646"/>
      <c r="R1853" s="646"/>
    </row>
    <row r="1854">
      <c r="D1854" s="51"/>
      <c r="E1854" s="51" t="b">
        <v>0</v>
      </c>
      <c r="F1854" t="b">
        <v>0</v>
      </c>
      <c r="H1854" s="646"/>
      <c r="M1854" s="646"/>
      <c r="R1854" s="646"/>
    </row>
    <row r="1855">
      <c r="D1855" s="51"/>
      <c r="E1855" s="51" t="b">
        <v>0</v>
      </c>
      <c r="F1855" t="b">
        <v>0</v>
      </c>
      <c r="H1855" s="646"/>
      <c r="M1855" s="646"/>
      <c r="R1855" s="646"/>
    </row>
    <row r="1856">
      <c r="D1856" s="51"/>
      <c r="E1856" s="51" t="b">
        <v>0</v>
      </c>
      <c r="F1856" t="b">
        <v>0</v>
      </c>
      <c r="H1856" s="646"/>
      <c r="M1856" s="646"/>
      <c r="R1856" s="646"/>
    </row>
    <row r="1857">
      <c r="D1857" s="51"/>
      <c r="E1857" s="51" t="b">
        <v>0</v>
      </c>
      <c r="F1857" t="b">
        <v>0</v>
      </c>
      <c r="H1857" s="646"/>
      <c r="M1857" s="646"/>
      <c r="R1857" s="646"/>
    </row>
    <row r="1858">
      <c r="D1858" s="51"/>
      <c r="E1858" s="51" t="b">
        <v>0</v>
      </c>
      <c r="F1858" t="b">
        <v>0</v>
      </c>
      <c r="H1858" s="646"/>
      <c r="M1858" s="646"/>
      <c r="R1858" s="646"/>
    </row>
    <row r="1859">
      <c r="D1859" s="51"/>
      <c r="E1859" s="51" t="b">
        <v>0</v>
      </c>
      <c r="F1859" t="b">
        <v>0</v>
      </c>
      <c r="H1859" s="646"/>
      <c r="M1859" s="646"/>
      <c r="R1859" s="646"/>
    </row>
    <row r="1860">
      <c r="D1860" s="51"/>
      <c r="E1860" s="51" t="b">
        <v>0</v>
      </c>
      <c r="F1860" t="b">
        <v>0</v>
      </c>
      <c r="H1860" s="646"/>
      <c r="M1860" s="646"/>
      <c r="R1860" s="646"/>
    </row>
    <row r="1861">
      <c r="D1861" s="51"/>
      <c r="E1861" s="51" t="b">
        <v>0</v>
      </c>
      <c r="F1861" t="b">
        <v>0</v>
      </c>
      <c r="H1861" s="646"/>
      <c r="M1861" s="646"/>
      <c r="R1861" s="646"/>
    </row>
    <row r="1862">
      <c r="D1862" s="51"/>
      <c r="E1862" s="51" t="b">
        <v>0</v>
      </c>
      <c r="F1862" t="b">
        <v>0</v>
      </c>
      <c r="H1862" s="646"/>
      <c r="M1862" s="646"/>
      <c r="R1862" s="646"/>
    </row>
    <row r="1863">
      <c r="D1863" s="51"/>
      <c r="E1863" s="51" t="b">
        <v>0</v>
      </c>
      <c r="F1863" t="b">
        <v>0</v>
      </c>
      <c r="H1863" s="646"/>
      <c r="M1863" s="646"/>
      <c r="R1863" s="646"/>
    </row>
    <row r="1864">
      <c r="D1864" s="51"/>
      <c r="E1864" s="51" t="b">
        <v>0</v>
      </c>
      <c r="F1864" t="b">
        <v>0</v>
      </c>
      <c r="H1864" s="646"/>
      <c r="M1864" s="646"/>
      <c r="R1864" s="646"/>
    </row>
    <row r="1865">
      <c r="D1865" s="51"/>
      <c r="E1865" s="51" t="b">
        <v>0</v>
      </c>
      <c r="F1865" t="b">
        <v>0</v>
      </c>
      <c r="H1865" s="646"/>
      <c r="M1865" s="646"/>
      <c r="R1865" s="646"/>
    </row>
    <row r="1866">
      <c r="D1866" s="51"/>
      <c r="E1866" s="51" t="b">
        <v>0</v>
      </c>
      <c r="F1866" t="b">
        <v>0</v>
      </c>
      <c r="H1866" s="646"/>
      <c r="M1866" s="646"/>
      <c r="R1866" s="646"/>
    </row>
    <row r="1867">
      <c r="D1867" s="51"/>
      <c r="E1867" s="51" t="b">
        <v>0</v>
      </c>
      <c r="F1867" t="b">
        <v>0</v>
      </c>
      <c r="H1867" s="646"/>
      <c r="M1867" s="646"/>
      <c r="R1867" s="646"/>
    </row>
    <row r="1868">
      <c r="D1868" s="51"/>
      <c r="E1868" s="51" t="b">
        <v>0</v>
      </c>
      <c r="F1868" t="b">
        <v>0</v>
      </c>
      <c r="H1868" s="646"/>
      <c r="M1868" s="646"/>
      <c r="R1868" s="646"/>
    </row>
    <row r="1869">
      <c r="D1869" s="51"/>
      <c r="E1869" s="51" t="b">
        <v>0</v>
      </c>
      <c r="F1869" t="b">
        <v>0</v>
      </c>
      <c r="H1869" s="646"/>
      <c r="M1869" s="646"/>
      <c r="R1869" s="646"/>
    </row>
    <row r="1870">
      <c r="D1870" s="51"/>
      <c r="E1870" s="51" t="b">
        <v>0</v>
      </c>
      <c r="F1870" t="b">
        <v>0</v>
      </c>
      <c r="H1870" s="646"/>
      <c r="M1870" s="646"/>
      <c r="R1870" s="646"/>
    </row>
    <row r="1871">
      <c r="D1871" s="51"/>
      <c r="E1871" s="51" t="b">
        <v>0</v>
      </c>
      <c r="F1871" t="b">
        <v>0</v>
      </c>
      <c r="H1871" s="646"/>
      <c r="M1871" s="646"/>
      <c r="R1871" s="646"/>
    </row>
    <row r="1872">
      <c r="D1872" s="51"/>
      <c r="E1872" s="51" t="b">
        <v>0</v>
      </c>
      <c r="F1872" t="b">
        <v>0</v>
      </c>
      <c r="H1872" s="646"/>
      <c r="M1872" s="646"/>
      <c r="R1872" s="646"/>
    </row>
    <row r="1873">
      <c r="D1873" s="51"/>
      <c r="E1873" s="51" t="b">
        <v>0</v>
      </c>
      <c r="F1873" t="b">
        <v>0</v>
      </c>
      <c r="H1873" s="646"/>
      <c r="M1873" s="646"/>
      <c r="R1873" s="646"/>
    </row>
    <row r="1874">
      <c r="D1874" s="51"/>
      <c r="E1874" s="51" t="b">
        <v>0</v>
      </c>
      <c r="F1874" t="b">
        <v>0</v>
      </c>
      <c r="H1874" s="646"/>
      <c r="M1874" s="646"/>
      <c r="R1874" s="646"/>
    </row>
    <row r="1875">
      <c r="D1875" s="51"/>
      <c r="E1875" s="51" t="b">
        <v>0</v>
      </c>
      <c r="F1875" t="b">
        <v>0</v>
      </c>
      <c r="H1875" s="646"/>
      <c r="M1875" s="646"/>
      <c r="R1875" s="646"/>
    </row>
    <row r="1876">
      <c r="D1876" s="51"/>
      <c r="E1876" s="51" t="b">
        <v>0</v>
      </c>
      <c r="F1876" t="b">
        <v>0</v>
      </c>
      <c r="H1876" s="646"/>
      <c r="M1876" s="646"/>
      <c r="R1876" s="646"/>
    </row>
    <row r="1877">
      <c r="D1877" s="51"/>
      <c r="E1877" s="51" t="b">
        <v>0</v>
      </c>
      <c r="F1877" t="b">
        <v>0</v>
      </c>
      <c r="H1877" s="646"/>
      <c r="M1877" s="646"/>
      <c r="R1877" s="646"/>
    </row>
    <row r="1878">
      <c r="D1878" s="51"/>
      <c r="E1878" s="51" t="b">
        <v>0</v>
      </c>
      <c r="F1878" t="b">
        <v>0</v>
      </c>
      <c r="H1878" s="646"/>
      <c r="M1878" s="646"/>
      <c r="R1878" s="646"/>
    </row>
    <row r="1879">
      <c r="D1879" s="51"/>
      <c r="E1879" s="51" t="b">
        <v>0</v>
      </c>
      <c r="F1879" t="b">
        <v>0</v>
      </c>
      <c r="H1879" s="646"/>
      <c r="M1879" s="646"/>
      <c r="R1879" s="646"/>
    </row>
    <row r="1880">
      <c r="D1880" s="51"/>
      <c r="E1880" s="51" t="b">
        <v>0</v>
      </c>
      <c r="F1880" t="b">
        <v>0</v>
      </c>
      <c r="H1880" s="646"/>
      <c r="M1880" s="646"/>
      <c r="R1880" s="646"/>
    </row>
    <row r="1881">
      <c r="D1881" s="51"/>
      <c r="E1881" s="51" t="b">
        <v>0</v>
      </c>
      <c r="F1881" t="b">
        <v>0</v>
      </c>
      <c r="H1881" s="646"/>
      <c r="M1881" s="646"/>
      <c r="R1881" s="646"/>
    </row>
    <row r="1882">
      <c r="D1882" s="51"/>
      <c r="E1882" s="51" t="b">
        <v>0</v>
      </c>
      <c r="F1882" t="b">
        <v>0</v>
      </c>
      <c r="H1882" s="646"/>
      <c r="M1882" s="646"/>
      <c r="R1882" s="646"/>
    </row>
    <row r="1883">
      <c r="D1883" s="51"/>
      <c r="E1883" s="51" t="b">
        <v>0</v>
      </c>
      <c r="F1883" t="b">
        <v>0</v>
      </c>
      <c r="H1883" s="646"/>
      <c r="M1883" s="646"/>
      <c r="R1883" s="646"/>
    </row>
    <row r="1884">
      <c r="D1884" s="51"/>
      <c r="E1884" s="51" t="b">
        <v>0</v>
      </c>
      <c r="F1884" t="b">
        <v>0</v>
      </c>
      <c r="H1884" s="646"/>
      <c r="M1884" s="646"/>
      <c r="R1884" s="646"/>
    </row>
    <row r="1885">
      <c r="D1885" s="51"/>
      <c r="E1885" s="51" t="b">
        <v>0</v>
      </c>
      <c r="F1885" t="b">
        <v>0</v>
      </c>
      <c r="H1885" s="646"/>
      <c r="M1885" s="646"/>
      <c r="R1885" s="646"/>
    </row>
    <row r="1886">
      <c r="D1886" s="51"/>
      <c r="E1886" s="51" t="b">
        <v>0</v>
      </c>
      <c r="F1886" t="b">
        <v>0</v>
      </c>
      <c r="H1886" s="646"/>
      <c r="M1886" s="646"/>
      <c r="R1886" s="646"/>
    </row>
    <row r="1887">
      <c r="D1887" s="51"/>
      <c r="E1887" s="51" t="b">
        <v>0</v>
      </c>
      <c r="F1887" t="b">
        <v>0</v>
      </c>
      <c r="H1887" s="646"/>
      <c r="M1887" s="646"/>
      <c r="R1887" s="646"/>
    </row>
    <row r="1888">
      <c r="D1888" s="51"/>
      <c r="E1888" s="51" t="b">
        <v>0</v>
      </c>
      <c r="F1888" t="b">
        <v>0</v>
      </c>
      <c r="H1888" s="646"/>
      <c r="M1888" s="646"/>
      <c r="R1888" s="646"/>
    </row>
    <row r="1889">
      <c r="D1889" s="51"/>
      <c r="E1889" s="51" t="b">
        <v>0</v>
      </c>
      <c r="F1889" t="b">
        <v>0</v>
      </c>
      <c r="H1889" s="646"/>
      <c r="M1889" s="646"/>
      <c r="R1889" s="646"/>
    </row>
    <row r="1890">
      <c r="D1890" s="51"/>
      <c r="E1890" s="51" t="b">
        <v>0</v>
      </c>
      <c r="F1890" t="b">
        <v>0</v>
      </c>
      <c r="H1890" s="646"/>
      <c r="M1890" s="646"/>
      <c r="R1890" s="646"/>
    </row>
    <row r="1891">
      <c r="D1891" s="51"/>
      <c r="E1891" s="51" t="b">
        <v>0</v>
      </c>
      <c r="F1891" t="b">
        <v>0</v>
      </c>
      <c r="H1891" s="646"/>
      <c r="M1891" s="646"/>
      <c r="R1891" s="646"/>
    </row>
    <row r="1892">
      <c r="D1892" s="51"/>
      <c r="E1892" s="51" t="b">
        <v>0</v>
      </c>
      <c r="F1892" t="b">
        <v>0</v>
      </c>
      <c r="H1892" s="646"/>
      <c r="M1892" s="646"/>
      <c r="R1892" s="646"/>
    </row>
    <row r="1893">
      <c r="D1893" s="51"/>
      <c r="E1893" s="51" t="b">
        <v>0</v>
      </c>
      <c r="F1893" t="b">
        <v>0</v>
      </c>
      <c r="H1893" s="646"/>
      <c r="M1893" s="646"/>
      <c r="R1893" s="646"/>
    </row>
    <row r="1894">
      <c r="D1894" s="51"/>
      <c r="E1894" s="51" t="b">
        <v>0</v>
      </c>
      <c r="F1894" t="b">
        <v>0</v>
      </c>
      <c r="H1894" s="646"/>
      <c r="M1894" s="646"/>
      <c r="R1894" s="646"/>
    </row>
    <row r="1895">
      <c r="D1895" s="51"/>
      <c r="E1895" s="51" t="b">
        <v>0</v>
      </c>
      <c r="F1895" t="b">
        <v>0</v>
      </c>
      <c r="H1895" s="646"/>
      <c r="M1895" s="646"/>
      <c r="R1895" s="646"/>
    </row>
    <row r="1896">
      <c r="D1896" s="51"/>
      <c r="E1896" s="51" t="b">
        <v>0</v>
      </c>
      <c r="F1896" t="b">
        <v>0</v>
      </c>
      <c r="H1896" s="646"/>
      <c r="M1896" s="646"/>
      <c r="R1896" s="646"/>
    </row>
    <row r="1897">
      <c r="D1897" s="51"/>
      <c r="E1897" s="51" t="b">
        <v>0</v>
      </c>
      <c r="F1897" t="b">
        <v>0</v>
      </c>
      <c r="H1897" s="646"/>
      <c r="M1897" s="646"/>
      <c r="R1897" s="646"/>
    </row>
    <row r="1898">
      <c r="D1898" s="51"/>
      <c r="E1898" s="51" t="b">
        <v>0</v>
      </c>
      <c r="F1898" t="b">
        <v>0</v>
      </c>
      <c r="H1898" s="646"/>
      <c r="M1898" s="646"/>
      <c r="R1898" s="646"/>
    </row>
    <row r="1899">
      <c r="D1899" s="51"/>
      <c r="E1899" s="51" t="b">
        <v>0</v>
      </c>
      <c r="F1899" t="b">
        <v>0</v>
      </c>
      <c r="H1899" s="646"/>
      <c r="M1899" s="646"/>
      <c r="R1899" s="646"/>
    </row>
    <row r="1900">
      <c r="D1900" s="51"/>
      <c r="E1900" s="51" t="b">
        <v>0</v>
      </c>
      <c r="F1900" t="b">
        <v>0</v>
      </c>
      <c r="H1900" s="646"/>
      <c r="M1900" s="646"/>
      <c r="R1900" s="646"/>
    </row>
    <row r="1901">
      <c r="D1901" s="51"/>
      <c r="E1901" s="51" t="b">
        <v>0</v>
      </c>
      <c r="F1901" t="b">
        <v>0</v>
      </c>
      <c r="H1901" s="646"/>
      <c r="M1901" s="646"/>
      <c r="R1901" s="646"/>
    </row>
    <row r="1902">
      <c r="D1902" s="51"/>
      <c r="E1902" s="51" t="b">
        <v>0</v>
      </c>
      <c r="F1902" t="b">
        <v>0</v>
      </c>
      <c r="H1902" s="646"/>
      <c r="M1902" s="646"/>
      <c r="R1902" s="646"/>
    </row>
    <row r="1903">
      <c r="D1903" s="51"/>
      <c r="E1903" s="51" t="b">
        <v>0</v>
      </c>
      <c r="F1903" t="b">
        <v>0</v>
      </c>
      <c r="H1903" s="646"/>
      <c r="M1903" s="646"/>
      <c r="R1903" s="646"/>
    </row>
    <row r="1904">
      <c r="D1904" s="51"/>
      <c r="E1904" s="51" t="b">
        <v>0</v>
      </c>
      <c r="F1904" t="b">
        <v>0</v>
      </c>
      <c r="H1904" s="646"/>
      <c r="M1904" s="646"/>
      <c r="R1904" s="646"/>
    </row>
    <row r="1905">
      <c r="D1905" s="51"/>
      <c r="E1905" s="51" t="b">
        <v>0</v>
      </c>
      <c r="F1905" t="b">
        <v>0</v>
      </c>
      <c r="H1905" s="646"/>
      <c r="M1905" s="646"/>
      <c r="R1905" s="646"/>
    </row>
    <row r="1906">
      <c r="D1906" s="51"/>
      <c r="E1906" s="51" t="b">
        <v>0</v>
      </c>
      <c r="F1906" t="b">
        <v>0</v>
      </c>
      <c r="H1906" s="646"/>
      <c r="M1906" s="646"/>
      <c r="R1906" s="646"/>
    </row>
    <row r="1907">
      <c r="D1907" s="51"/>
      <c r="E1907" s="51" t="b">
        <v>0</v>
      </c>
      <c r="F1907" t="b">
        <v>0</v>
      </c>
      <c r="H1907" s="646"/>
      <c r="M1907" s="646"/>
      <c r="R1907" s="646"/>
    </row>
    <row r="1908">
      <c r="D1908" s="51"/>
      <c r="E1908" s="51" t="b">
        <v>0</v>
      </c>
      <c r="F1908" t="b">
        <v>0</v>
      </c>
      <c r="H1908" s="646"/>
      <c r="M1908" s="646"/>
      <c r="R1908" s="646"/>
    </row>
    <row r="1909">
      <c r="D1909" s="51"/>
      <c r="E1909" s="51" t="b">
        <v>0</v>
      </c>
      <c r="F1909" t="b">
        <v>0</v>
      </c>
      <c r="H1909" s="646"/>
      <c r="M1909" s="646"/>
      <c r="R1909" s="646"/>
    </row>
    <row r="1910">
      <c r="D1910" s="51"/>
      <c r="E1910" s="51" t="b">
        <v>0</v>
      </c>
      <c r="F1910" t="b">
        <v>0</v>
      </c>
      <c r="H1910" s="646"/>
      <c r="M1910" s="646"/>
      <c r="R1910" s="646"/>
    </row>
    <row r="1911">
      <c r="D1911" s="51"/>
      <c r="E1911" s="51" t="b">
        <v>0</v>
      </c>
      <c r="F1911" t="b">
        <v>0</v>
      </c>
      <c r="H1911" s="646"/>
      <c r="M1911" s="646"/>
      <c r="R1911" s="646"/>
    </row>
    <row r="1912">
      <c r="D1912" s="51"/>
      <c r="E1912" s="51" t="b">
        <v>0</v>
      </c>
      <c r="F1912" t="b">
        <v>0</v>
      </c>
      <c r="H1912" s="646"/>
      <c r="M1912" s="646"/>
      <c r="R1912" s="646"/>
    </row>
    <row r="1913">
      <c r="D1913" s="51"/>
      <c r="E1913" s="51" t="b">
        <v>0</v>
      </c>
      <c r="F1913" t="b">
        <v>0</v>
      </c>
      <c r="H1913" s="646"/>
      <c r="M1913" s="646"/>
      <c r="R1913" s="646"/>
    </row>
    <row r="1914">
      <c r="D1914" s="51"/>
      <c r="E1914" s="51" t="b">
        <v>0</v>
      </c>
      <c r="F1914" t="b">
        <v>0</v>
      </c>
      <c r="H1914" s="646"/>
      <c r="M1914" s="646"/>
      <c r="R1914" s="646"/>
    </row>
    <row r="1915">
      <c r="D1915" s="51"/>
      <c r="E1915" s="51" t="b">
        <v>0</v>
      </c>
      <c r="F1915" t="b">
        <v>0</v>
      </c>
      <c r="H1915" s="646"/>
      <c r="M1915" s="646"/>
      <c r="R1915" s="646"/>
    </row>
    <row r="1916">
      <c r="D1916" s="51"/>
      <c r="E1916" s="51" t="b">
        <v>0</v>
      </c>
      <c r="F1916" t="b">
        <v>0</v>
      </c>
      <c r="H1916" s="646"/>
      <c r="M1916" s="646"/>
      <c r="R1916" s="646"/>
    </row>
    <row r="1917">
      <c r="D1917" s="51"/>
      <c r="E1917" s="51" t="b">
        <v>0</v>
      </c>
      <c r="F1917" t="b">
        <v>0</v>
      </c>
      <c r="H1917" s="646"/>
      <c r="M1917" s="646"/>
      <c r="R1917" s="646"/>
    </row>
    <row r="1918">
      <c r="D1918" s="51"/>
      <c r="E1918" s="51" t="b">
        <v>0</v>
      </c>
      <c r="F1918" t="b">
        <v>0</v>
      </c>
      <c r="H1918" s="646"/>
      <c r="M1918" s="646"/>
      <c r="R1918" s="646"/>
    </row>
    <row r="1919">
      <c r="D1919" s="51"/>
      <c r="E1919" s="51" t="b">
        <v>0</v>
      </c>
      <c r="F1919" t="b">
        <v>0</v>
      </c>
      <c r="H1919" s="646"/>
      <c r="M1919" s="646"/>
      <c r="R1919" s="646"/>
    </row>
    <row r="1920">
      <c r="D1920" s="51"/>
      <c r="E1920" s="51" t="b">
        <v>0</v>
      </c>
      <c r="F1920" t="b">
        <v>0</v>
      </c>
      <c r="H1920" s="646"/>
      <c r="M1920" s="646"/>
      <c r="R1920" s="646"/>
    </row>
    <row r="1921">
      <c r="D1921" s="51"/>
      <c r="E1921" s="51" t="b">
        <v>0</v>
      </c>
      <c r="F1921" t="b">
        <v>0</v>
      </c>
      <c r="H1921" s="646"/>
      <c r="M1921" s="646"/>
      <c r="R1921" s="646"/>
    </row>
    <row r="1922">
      <c r="D1922" s="51"/>
      <c r="E1922" s="51" t="b">
        <v>0</v>
      </c>
      <c r="F1922" t="b">
        <v>0</v>
      </c>
      <c r="H1922" s="646"/>
      <c r="M1922" s="646"/>
      <c r="R1922" s="646"/>
    </row>
    <row r="1923">
      <c r="D1923" s="51"/>
      <c r="E1923" s="51" t="b">
        <v>0</v>
      </c>
      <c r="F1923" t="b">
        <v>0</v>
      </c>
      <c r="H1923" s="646"/>
      <c r="M1923" s="646"/>
      <c r="R1923" s="646"/>
    </row>
    <row r="1924">
      <c r="D1924" s="51"/>
      <c r="E1924" s="51" t="b">
        <v>0</v>
      </c>
      <c r="F1924" t="b">
        <v>0</v>
      </c>
      <c r="H1924" s="646"/>
      <c r="M1924" s="646"/>
      <c r="R1924" s="646"/>
    </row>
    <row r="1925">
      <c r="D1925" s="51"/>
      <c r="E1925" s="51" t="b">
        <v>0</v>
      </c>
      <c r="F1925" t="b">
        <v>0</v>
      </c>
      <c r="H1925" s="646"/>
      <c r="M1925" s="646"/>
      <c r="R1925" s="646"/>
    </row>
    <row r="1926">
      <c r="D1926" s="51"/>
      <c r="E1926" s="51" t="b">
        <v>0</v>
      </c>
      <c r="F1926" t="b">
        <v>0</v>
      </c>
      <c r="H1926" s="646"/>
      <c r="M1926" s="646"/>
      <c r="R1926" s="646"/>
    </row>
    <row r="1927">
      <c r="D1927" s="51"/>
      <c r="E1927" s="51" t="b">
        <v>0</v>
      </c>
      <c r="F1927" t="b">
        <v>0</v>
      </c>
      <c r="H1927" s="646"/>
      <c r="M1927" s="646"/>
      <c r="R1927" s="646"/>
    </row>
    <row r="1928">
      <c r="D1928" s="51"/>
      <c r="E1928" s="51" t="b">
        <v>0</v>
      </c>
      <c r="F1928" t="b">
        <v>0</v>
      </c>
      <c r="H1928" s="646"/>
      <c r="M1928" s="646"/>
      <c r="R1928" s="646"/>
    </row>
    <row r="1929">
      <c r="D1929" s="51"/>
      <c r="E1929" s="51" t="b">
        <v>0</v>
      </c>
      <c r="F1929" t="b">
        <v>0</v>
      </c>
      <c r="H1929" s="646"/>
      <c r="M1929" s="646"/>
      <c r="R1929" s="646"/>
    </row>
    <row r="1930">
      <c r="D1930" s="51"/>
      <c r="E1930" s="51" t="b">
        <v>0</v>
      </c>
      <c r="F1930" t="b">
        <v>0</v>
      </c>
      <c r="H1930" s="646"/>
      <c r="M1930" s="646"/>
      <c r="R1930" s="646"/>
    </row>
    <row r="1931">
      <c r="D1931" s="51"/>
      <c r="E1931" s="51" t="b">
        <v>0</v>
      </c>
      <c r="F1931" t="b">
        <v>0</v>
      </c>
      <c r="H1931" s="646"/>
      <c r="M1931" s="646"/>
      <c r="R1931" s="646"/>
    </row>
    <row r="1932">
      <c r="D1932" s="51"/>
      <c r="E1932" s="51" t="b">
        <v>0</v>
      </c>
      <c r="F1932" t="b">
        <v>0</v>
      </c>
      <c r="H1932" s="646"/>
      <c r="M1932" s="646"/>
      <c r="R1932" s="646"/>
    </row>
    <row r="1933">
      <c r="D1933" s="51"/>
      <c r="E1933" s="51" t="b">
        <v>0</v>
      </c>
      <c r="F1933" t="b">
        <v>0</v>
      </c>
      <c r="H1933" s="646"/>
      <c r="M1933" s="646"/>
      <c r="R1933" s="646"/>
    </row>
    <row r="1934">
      <c r="D1934" s="51"/>
      <c r="E1934" s="51" t="b">
        <v>0</v>
      </c>
      <c r="F1934" t="b">
        <v>0</v>
      </c>
      <c r="H1934" s="646"/>
      <c r="M1934" s="646"/>
      <c r="R1934" s="646"/>
    </row>
    <row r="1935">
      <c r="D1935" s="51"/>
      <c r="E1935" s="51" t="b">
        <v>0</v>
      </c>
      <c r="F1935" t="b">
        <v>0</v>
      </c>
      <c r="H1935" s="646"/>
      <c r="M1935" s="646"/>
      <c r="R1935" s="646"/>
    </row>
    <row r="1936">
      <c r="D1936" s="51"/>
      <c r="E1936" s="51" t="b">
        <v>0</v>
      </c>
      <c r="F1936" t="b">
        <v>0</v>
      </c>
      <c r="H1936" s="646"/>
      <c r="M1936" s="646"/>
      <c r="R1936" s="646"/>
    </row>
    <row r="1937">
      <c r="D1937" s="51"/>
      <c r="E1937" s="51" t="b">
        <v>0</v>
      </c>
      <c r="F1937" t="b">
        <v>0</v>
      </c>
      <c r="H1937" s="646"/>
      <c r="M1937" s="646"/>
      <c r="R1937" s="646"/>
    </row>
    <row r="1938">
      <c r="D1938" s="51"/>
      <c r="E1938" s="51" t="b">
        <v>0</v>
      </c>
      <c r="F1938" t="b">
        <v>0</v>
      </c>
      <c r="H1938" s="646"/>
      <c r="M1938" s="646"/>
      <c r="R1938" s="646"/>
    </row>
    <row r="1939">
      <c r="D1939" s="51"/>
      <c r="E1939" s="51" t="b">
        <v>0</v>
      </c>
      <c r="F1939" t="b">
        <v>0</v>
      </c>
      <c r="H1939" s="646"/>
      <c r="M1939" s="646"/>
      <c r="R1939" s="646"/>
    </row>
    <row r="1940">
      <c r="D1940" s="51"/>
      <c r="E1940" s="51" t="b">
        <v>0</v>
      </c>
      <c r="F1940" t="b">
        <v>0</v>
      </c>
      <c r="H1940" s="646"/>
      <c r="M1940" s="646"/>
      <c r="R1940" s="646"/>
    </row>
    <row r="1941">
      <c r="D1941" s="51"/>
      <c r="E1941" s="51" t="b">
        <v>0</v>
      </c>
      <c r="F1941" t="b">
        <v>0</v>
      </c>
      <c r="H1941" s="646"/>
      <c r="M1941" s="646"/>
      <c r="R1941" s="646"/>
    </row>
    <row r="1942">
      <c r="D1942" s="51"/>
      <c r="E1942" s="51" t="b">
        <v>0</v>
      </c>
      <c r="F1942" t="b">
        <v>0</v>
      </c>
      <c r="H1942" s="646"/>
      <c r="M1942" s="646"/>
      <c r="R1942" s="646"/>
    </row>
    <row r="1943">
      <c r="D1943" s="51"/>
      <c r="E1943" s="51" t="b">
        <v>0</v>
      </c>
      <c r="F1943" t="b">
        <v>0</v>
      </c>
      <c r="H1943" s="646"/>
      <c r="M1943" s="646"/>
      <c r="R1943" s="646"/>
    </row>
    <row r="1944">
      <c r="D1944" s="51"/>
      <c r="E1944" s="51" t="b">
        <v>0</v>
      </c>
      <c r="F1944" t="b">
        <v>0</v>
      </c>
      <c r="H1944" s="646"/>
      <c r="M1944" s="646"/>
      <c r="R1944" s="646"/>
    </row>
    <row r="1945">
      <c r="D1945" s="51"/>
      <c r="E1945" s="51" t="b">
        <v>0</v>
      </c>
      <c r="F1945" t="b">
        <v>0</v>
      </c>
      <c r="H1945" s="646"/>
      <c r="M1945" s="646"/>
      <c r="R1945" s="646"/>
    </row>
    <row r="1946">
      <c r="D1946" s="51"/>
      <c r="E1946" s="51" t="b">
        <v>0</v>
      </c>
      <c r="F1946" t="b">
        <v>0</v>
      </c>
      <c r="H1946" s="646"/>
      <c r="M1946" s="646"/>
      <c r="R1946" s="646"/>
    </row>
    <row r="1947">
      <c r="D1947" s="51"/>
      <c r="E1947" s="51" t="b">
        <v>0</v>
      </c>
      <c r="F1947" t="b">
        <v>0</v>
      </c>
      <c r="H1947" s="646"/>
      <c r="M1947" s="646"/>
      <c r="R1947" s="646"/>
    </row>
    <row r="1948">
      <c r="D1948" s="51"/>
      <c r="E1948" s="51" t="b">
        <v>0</v>
      </c>
      <c r="F1948" t="b">
        <v>0</v>
      </c>
      <c r="H1948" s="646"/>
      <c r="M1948" s="646"/>
      <c r="R1948" s="646"/>
    </row>
    <row r="1949">
      <c r="D1949" s="51"/>
      <c r="E1949" s="51" t="b">
        <v>0</v>
      </c>
      <c r="F1949" t="b">
        <v>0</v>
      </c>
      <c r="H1949" s="646"/>
      <c r="M1949" s="646"/>
      <c r="R1949" s="646"/>
    </row>
    <row r="1950">
      <c r="D1950" s="51"/>
      <c r="E1950" s="51" t="b">
        <v>0</v>
      </c>
      <c r="F1950" t="b">
        <v>0</v>
      </c>
      <c r="H1950" s="646"/>
      <c r="M1950" s="646"/>
      <c r="R1950" s="646"/>
    </row>
    <row r="1951">
      <c r="D1951" s="51"/>
      <c r="E1951" s="51" t="b">
        <v>0</v>
      </c>
      <c r="F1951" t="b">
        <v>0</v>
      </c>
      <c r="H1951" s="646"/>
      <c r="M1951" s="646"/>
      <c r="R1951" s="646"/>
    </row>
    <row r="1952">
      <c r="D1952" s="51"/>
      <c r="E1952" s="51" t="b">
        <v>0</v>
      </c>
      <c r="F1952" t="b">
        <v>0</v>
      </c>
      <c r="H1952" s="646"/>
      <c r="M1952" s="646"/>
      <c r="R1952" s="646"/>
    </row>
    <row r="1953">
      <c r="D1953" s="51"/>
      <c r="E1953" s="51" t="b">
        <v>0</v>
      </c>
      <c r="F1953" t="b">
        <v>0</v>
      </c>
      <c r="H1953" s="646"/>
      <c r="M1953" s="646"/>
      <c r="R1953" s="646"/>
    </row>
    <row r="1954">
      <c r="D1954" s="51"/>
      <c r="E1954" s="51" t="b">
        <v>0</v>
      </c>
      <c r="F1954" t="b">
        <v>0</v>
      </c>
      <c r="H1954" s="646"/>
      <c r="M1954" s="646"/>
      <c r="R1954" s="646"/>
    </row>
    <row r="1955">
      <c r="D1955" s="51"/>
      <c r="E1955" s="51" t="b">
        <v>0</v>
      </c>
      <c r="F1955" t="b">
        <v>0</v>
      </c>
      <c r="H1955" s="646"/>
      <c r="M1955" s="646"/>
      <c r="R1955" s="646"/>
    </row>
    <row r="1956">
      <c r="D1956" s="51"/>
      <c r="E1956" s="51" t="b">
        <v>0</v>
      </c>
      <c r="F1956" t="b">
        <v>0</v>
      </c>
      <c r="H1956" s="646"/>
      <c r="M1956" s="646"/>
      <c r="R1956" s="646"/>
    </row>
    <row r="1957">
      <c r="D1957" s="51"/>
      <c r="E1957" s="51" t="b">
        <v>0</v>
      </c>
      <c r="F1957" t="b">
        <v>0</v>
      </c>
      <c r="H1957" s="646"/>
      <c r="M1957" s="646"/>
      <c r="R1957" s="646"/>
    </row>
    <row r="1958">
      <c r="D1958" s="51"/>
      <c r="E1958" s="51" t="b">
        <v>0</v>
      </c>
      <c r="F1958" t="b">
        <v>0</v>
      </c>
      <c r="H1958" s="646"/>
      <c r="M1958" s="646"/>
      <c r="R1958" s="646"/>
    </row>
    <row r="1959">
      <c r="D1959" s="51"/>
      <c r="E1959" s="51" t="b">
        <v>0</v>
      </c>
      <c r="F1959" t="b">
        <v>0</v>
      </c>
      <c r="H1959" s="646"/>
      <c r="M1959" s="646"/>
      <c r="R1959" s="646"/>
    </row>
    <row r="1960">
      <c r="D1960" s="51"/>
      <c r="E1960" s="51" t="b">
        <v>0</v>
      </c>
      <c r="F1960" t="b">
        <v>0</v>
      </c>
      <c r="H1960" s="646"/>
      <c r="M1960" s="646"/>
      <c r="R1960" s="646"/>
    </row>
    <row r="1961">
      <c r="D1961" s="51"/>
      <c r="E1961" s="51" t="b">
        <v>0</v>
      </c>
      <c r="F1961" t="b">
        <v>0</v>
      </c>
      <c r="H1961" s="646"/>
      <c r="M1961" s="646"/>
      <c r="R1961" s="646"/>
    </row>
    <row r="1962">
      <c r="D1962" s="51"/>
      <c r="E1962" s="51" t="b">
        <v>0</v>
      </c>
      <c r="F1962" t="b">
        <v>0</v>
      </c>
      <c r="H1962" s="646"/>
      <c r="M1962" s="646"/>
      <c r="R1962" s="646"/>
    </row>
    <row r="1963">
      <c r="D1963" s="51"/>
      <c r="E1963" s="51" t="b">
        <v>0</v>
      </c>
      <c r="F1963" t="b">
        <v>0</v>
      </c>
      <c r="H1963" s="646"/>
      <c r="M1963" s="646"/>
      <c r="R1963" s="646"/>
    </row>
    <row r="1964">
      <c r="D1964" s="51"/>
      <c r="E1964" s="51" t="b">
        <v>0</v>
      </c>
      <c r="F1964" t="b">
        <v>0</v>
      </c>
      <c r="H1964" s="646"/>
      <c r="M1964" s="646"/>
      <c r="R1964" s="646"/>
    </row>
    <row r="1965">
      <c r="D1965" s="51"/>
      <c r="E1965" s="51" t="b">
        <v>0</v>
      </c>
      <c r="F1965" t="b">
        <v>0</v>
      </c>
      <c r="H1965" s="646"/>
      <c r="M1965" s="646"/>
      <c r="R1965" s="646"/>
    </row>
    <row r="1966">
      <c r="D1966" s="51"/>
      <c r="E1966" s="51" t="b">
        <v>0</v>
      </c>
      <c r="F1966" t="b">
        <v>0</v>
      </c>
      <c r="H1966" s="646"/>
      <c r="M1966" s="646"/>
      <c r="R1966" s="646"/>
    </row>
    <row r="1967">
      <c r="D1967" s="51"/>
      <c r="E1967" s="51" t="b">
        <v>0</v>
      </c>
      <c r="F1967" t="b">
        <v>0</v>
      </c>
      <c r="H1967" s="646"/>
      <c r="M1967" s="646"/>
      <c r="R1967" s="646"/>
    </row>
    <row r="1968">
      <c r="D1968" s="51"/>
      <c r="E1968" s="51" t="b">
        <v>0</v>
      </c>
      <c r="F1968" t="b">
        <v>0</v>
      </c>
      <c r="H1968" s="646"/>
      <c r="M1968" s="646"/>
      <c r="R1968" s="646"/>
    </row>
    <row r="1969">
      <c r="D1969" s="51"/>
      <c r="E1969" s="51" t="b">
        <v>0</v>
      </c>
      <c r="F1969" t="b">
        <v>0</v>
      </c>
      <c r="H1969" s="646"/>
      <c r="M1969" s="646"/>
      <c r="R1969" s="646"/>
    </row>
    <row r="1970">
      <c r="D1970" s="51"/>
      <c r="E1970" s="51" t="b">
        <v>0</v>
      </c>
      <c r="F1970" t="b">
        <v>0</v>
      </c>
      <c r="H1970" s="646"/>
      <c r="M1970" s="646"/>
      <c r="R1970" s="646"/>
    </row>
    <row r="1971">
      <c r="D1971" s="51"/>
      <c r="E1971" s="51" t="b">
        <v>0</v>
      </c>
      <c r="F1971" t="b">
        <v>0</v>
      </c>
      <c r="H1971" s="646"/>
      <c r="M1971" s="646"/>
      <c r="R1971" s="646"/>
    </row>
    <row r="1972">
      <c r="D1972" s="51"/>
      <c r="E1972" s="51" t="b">
        <v>0</v>
      </c>
      <c r="F1972" t="b">
        <v>0</v>
      </c>
      <c r="H1972" s="646"/>
      <c r="M1972" s="646"/>
      <c r="R1972" s="646"/>
    </row>
    <row r="1973">
      <c r="D1973" s="51"/>
      <c r="E1973" s="51" t="b">
        <v>0</v>
      </c>
      <c r="F1973" t="b">
        <v>0</v>
      </c>
      <c r="H1973" s="646"/>
      <c r="M1973" s="646"/>
      <c r="R1973" s="646"/>
    </row>
    <row r="1974">
      <c r="D1974" s="51"/>
      <c r="E1974" s="51" t="b">
        <v>0</v>
      </c>
      <c r="F1974" t="b">
        <v>0</v>
      </c>
      <c r="H1974" s="646"/>
      <c r="M1974" s="646"/>
      <c r="R1974" s="646"/>
    </row>
    <row r="1975">
      <c r="D1975" s="51"/>
      <c r="E1975" s="51" t="b">
        <v>0</v>
      </c>
      <c r="F1975" t="b">
        <v>0</v>
      </c>
      <c r="H1975" s="646"/>
      <c r="M1975" s="646"/>
      <c r="R1975" s="646"/>
    </row>
    <row r="1976">
      <c r="D1976" s="51"/>
      <c r="E1976" s="51" t="b">
        <v>0</v>
      </c>
      <c r="F1976" t="b">
        <v>0</v>
      </c>
      <c r="H1976" s="646"/>
      <c r="M1976" s="646"/>
      <c r="R1976" s="646"/>
    </row>
    <row r="1977">
      <c r="D1977" s="51"/>
      <c r="E1977" s="51" t="b">
        <v>0</v>
      </c>
      <c r="F1977" t="b">
        <v>0</v>
      </c>
      <c r="H1977" s="646"/>
      <c r="M1977" s="646"/>
      <c r="R1977" s="646"/>
    </row>
    <row r="1978">
      <c r="D1978" s="51"/>
      <c r="E1978" s="51" t="b">
        <v>0</v>
      </c>
      <c r="F1978" t="b">
        <v>0</v>
      </c>
      <c r="H1978" s="646"/>
      <c r="M1978" s="646"/>
      <c r="R1978" s="646"/>
    </row>
    <row r="1979">
      <c r="D1979" s="51"/>
      <c r="E1979" s="51" t="b">
        <v>0</v>
      </c>
      <c r="F1979" t="b">
        <v>0</v>
      </c>
      <c r="H1979" s="646"/>
      <c r="M1979" s="646"/>
      <c r="R1979" s="646"/>
    </row>
    <row r="1980">
      <c r="D1980" s="51"/>
      <c r="E1980" s="51" t="b">
        <v>0</v>
      </c>
      <c r="F1980" t="b">
        <v>0</v>
      </c>
      <c r="H1980" s="646"/>
      <c r="M1980" s="646"/>
      <c r="R1980" s="646"/>
    </row>
    <row r="1981">
      <c r="D1981" s="51"/>
      <c r="E1981" s="51" t="b">
        <v>0</v>
      </c>
      <c r="F1981" t="b">
        <v>0</v>
      </c>
      <c r="H1981" s="646"/>
      <c r="M1981" s="646"/>
      <c r="R1981" s="646"/>
    </row>
  </sheetData>
  <mergeCells count="6">
    <mergeCell ref="A1:G1"/>
    <mergeCell ref="I1:L1"/>
    <mergeCell ref="N1:Q1"/>
    <mergeCell ref="A2:B2"/>
    <mergeCell ref="I2:J2"/>
    <mergeCell ref="N2:O2"/>
  </mergeCells>
  <dataValidations>
    <dataValidation type="list" allowBlank="1" showErrorMessage="1" sqref="Q7 Q17 Q21 Q46 Q48 Q51:Q56 Q60 Q65 Q68 Q81:Q84 Q100:Q102 Q104 Q109:Q110 Q124:Q126 Q140 Q142 Q146:Q147 Q155 L3:L156 D3:D253 D255:D1981">
      <formula1>"Fr,Eng"</formula1>
    </dataValidation>
    <dataValidation type="list" allowBlank="1" showErrorMessage="1" sqref="D254">
      <formula1>"Fr,Eng,It"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22.43"/>
    <col customWidth="1" min="2" max="2" width="85.14"/>
  </cols>
  <sheetData>
    <row r="1">
      <c r="A1" s="51" t="s">
        <v>2796</v>
      </c>
      <c r="B1" s="51" t="s">
        <v>2797</v>
      </c>
    </row>
    <row r="2">
      <c r="A2" s="51" t="s">
        <v>2798</v>
      </c>
      <c r="B2" s="51" t="s">
        <v>2799</v>
      </c>
    </row>
    <row r="3">
      <c r="A3" s="51" t="s">
        <v>2800</v>
      </c>
      <c r="B3" s="51" t="s">
        <v>2801</v>
      </c>
    </row>
    <row r="4">
      <c r="A4" s="51" t="s">
        <v>2802</v>
      </c>
      <c r="B4" s="51" t="s">
        <v>2803</v>
      </c>
    </row>
    <row r="5">
      <c r="A5" s="51" t="s">
        <v>2804</v>
      </c>
      <c r="B5" s="51" t="s">
        <v>2805</v>
      </c>
    </row>
    <row r="6">
      <c r="A6" s="51" t="s">
        <v>2804</v>
      </c>
      <c r="B6" s="51" t="s">
        <v>2806</v>
      </c>
    </row>
    <row r="7">
      <c r="A7" s="51" t="s">
        <v>2804</v>
      </c>
      <c r="B7" s="51" t="s">
        <v>2807</v>
      </c>
    </row>
    <row r="8">
      <c r="A8" s="51" t="s">
        <v>2808</v>
      </c>
      <c r="B8" s="51" t="s">
        <v>2809</v>
      </c>
    </row>
    <row r="9">
      <c r="A9" s="51" t="s">
        <v>2808</v>
      </c>
      <c r="B9" s="51" t="s">
        <v>2810</v>
      </c>
    </row>
    <row r="10">
      <c r="A10" s="51" t="s">
        <v>2808</v>
      </c>
      <c r="B10" s="51" t="s">
        <v>2811</v>
      </c>
    </row>
    <row r="11">
      <c r="A11" s="51" t="s">
        <v>2808</v>
      </c>
      <c r="B11" s="51" t="s">
        <v>2812</v>
      </c>
    </row>
    <row r="12">
      <c r="A12" s="51" t="s">
        <v>2808</v>
      </c>
      <c r="B12" s="51" t="s">
        <v>2813</v>
      </c>
    </row>
    <row r="13">
      <c r="A13" s="51" t="s">
        <v>2808</v>
      </c>
      <c r="B13" s="51" t="s">
        <v>2814</v>
      </c>
    </row>
    <row r="14">
      <c r="A14" s="51" t="s">
        <v>2808</v>
      </c>
      <c r="B14" s="51" t="s">
        <v>2815</v>
      </c>
    </row>
    <row r="15">
      <c r="A15" s="51" t="s">
        <v>2808</v>
      </c>
      <c r="B15" s="51" t="s">
        <v>2816</v>
      </c>
    </row>
    <row r="16">
      <c r="A16" s="51" t="s">
        <v>2808</v>
      </c>
      <c r="B16" s="51" t="s">
        <v>2817</v>
      </c>
    </row>
    <row r="17">
      <c r="A17" s="51" t="s">
        <v>2808</v>
      </c>
      <c r="B17" s="51" t="s">
        <v>2818</v>
      </c>
    </row>
    <row r="18">
      <c r="A18" s="51" t="s">
        <v>2808</v>
      </c>
      <c r="B18" s="51" t="s">
        <v>2819</v>
      </c>
    </row>
    <row r="19">
      <c r="A19" s="51" t="s">
        <v>2808</v>
      </c>
      <c r="B19" s="51" t="s">
        <v>2820</v>
      </c>
    </row>
    <row r="20">
      <c r="A20" s="51" t="s">
        <v>2808</v>
      </c>
      <c r="B20" s="51" t="s">
        <v>2821</v>
      </c>
    </row>
    <row r="21">
      <c r="A21" s="654" t="s">
        <v>2808</v>
      </c>
      <c r="B21" s="654" t="s">
        <v>2822</v>
      </c>
    </row>
    <row r="22">
      <c r="A22" s="654" t="s">
        <v>2808</v>
      </c>
      <c r="B22" s="654" t="s">
        <v>2822</v>
      </c>
    </row>
    <row r="23">
      <c r="A23" s="51" t="s">
        <v>2808</v>
      </c>
      <c r="B23" s="51" t="s">
        <v>2823</v>
      </c>
    </row>
    <row r="24">
      <c r="A24" s="51" t="s">
        <v>2824</v>
      </c>
      <c r="B24" s="51" t="s">
        <v>2825</v>
      </c>
    </row>
    <row r="25">
      <c r="A25" s="51" t="s">
        <v>2824</v>
      </c>
      <c r="B25" s="51" t="s">
        <v>2826</v>
      </c>
    </row>
    <row r="26">
      <c r="A26" s="51" t="s">
        <v>2824</v>
      </c>
      <c r="B26" s="51" t="s">
        <v>2827</v>
      </c>
    </row>
    <row r="27">
      <c r="A27" s="51" t="s">
        <v>2824</v>
      </c>
      <c r="B27" s="51" t="s">
        <v>2828</v>
      </c>
    </row>
    <row r="28">
      <c r="A28" s="51" t="s">
        <v>2824</v>
      </c>
      <c r="B28" s="51" t="s">
        <v>2829</v>
      </c>
    </row>
    <row r="29">
      <c r="A29" s="51" t="s">
        <v>2824</v>
      </c>
      <c r="B29" s="51" t="s">
        <v>2830</v>
      </c>
    </row>
    <row r="30">
      <c r="A30" s="51" t="s">
        <v>2824</v>
      </c>
      <c r="B30" s="51" t="s">
        <v>2831</v>
      </c>
    </row>
    <row r="31">
      <c r="A31" s="51" t="s">
        <v>2824</v>
      </c>
      <c r="B31" s="51" t="s">
        <v>2832</v>
      </c>
    </row>
    <row r="32">
      <c r="A32" s="51" t="s">
        <v>2824</v>
      </c>
      <c r="B32" s="51" t="s">
        <v>2833</v>
      </c>
    </row>
    <row r="33">
      <c r="A33" s="51" t="s">
        <v>2824</v>
      </c>
      <c r="B33" s="51" t="s">
        <v>2834</v>
      </c>
    </row>
    <row r="34">
      <c r="A34" s="51" t="s">
        <v>2824</v>
      </c>
      <c r="B34" s="51" t="s">
        <v>2835</v>
      </c>
    </row>
    <row r="35">
      <c r="A35" s="51" t="s">
        <v>2824</v>
      </c>
      <c r="B35" s="51" t="s">
        <v>2836</v>
      </c>
    </row>
    <row r="36">
      <c r="A36" s="51" t="s">
        <v>2824</v>
      </c>
      <c r="B36" s="51" t="s">
        <v>2837</v>
      </c>
    </row>
    <row r="37">
      <c r="A37" s="51" t="s">
        <v>2824</v>
      </c>
      <c r="B37" s="51" t="s">
        <v>2838</v>
      </c>
    </row>
    <row r="38">
      <c r="A38" s="51" t="s">
        <v>2839</v>
      </c>
      <c r="B38" s="51" t="s">
        <v>2840</v>
      </c>
    </row>
    <row r="39">
      <c r="A39" s="51" t="s">
        <v>2841</v>
      </c>
      <c r="B39" s="51" t="s">
        <v>2842</v>
      </c>
    </row>
    <row r="40">
      <c r="A40" s="51" t="s">
        <v>2843</v>
      </c>
      <c r="B40" s="51" t="s">
        <v>2844</v>
      </c>
    </row>
    <row r="41">
      <c r="A41" s="51" t="s">
        <v>2843</v>
      </c>
      <c r="B41" s="51" t="s">
        <v>2845</v>
      </c>
    </row>
    <row r="42">
      <c r="A42" s="51" t="s">
        <v>2843</v>
      </c>
      <c r="B42" s="51" t="s">
        <v>2846</v>
      </c>
    </row>
    <row r="43">
      <c r="A43" s="51" t="s">
        <v>2843</v>
      </c>
      <c r="B43" s="51" t="s">
        <v>2847</v>
      </c>
    </row>
    <row r="44">
      <c r="A44" s="51" t="s">
        <v>2843</v>
      </c>
      <c r="B44" s="51" t="s">
        <v>2848</v>
      </c>
    </row>
    <row r="45">
      <c r="A45" s="51" t="s">
        <v>2849</v>
      </c>
      <c r="B45" s="51" t="s">
        <v>2850</v>
      </c>
    </row>
    <row r="46">
      <c r="A46" s="51" t="s">
        <v>2851</v>
      </c>
      <c r="B46" s="51" t="s">
        <v>2852</v>
      </c>
    </row>
    <row r="47">
      <c r="A47" s="51" t="s">
        <v>2851</v>
      </c>
      <c r="B47" s="51" t="s">
        <v>2853</v>
      </c>
    </row>
    <row r="48">
      <c r="A48" s="51" t="s">
        <v>2854</v>
      </c>
      <c r="B48" s="51" t="s">
        <v>2855</v>
      </c>
    </row>
    <row r="49">
      <c r="A49" s="51" t="s">
        <v>2854</v>
      </c>
      <c r="B49" s="51" t="s">
        <v>2856</v>
      </c>
    </row>
    <row r="50">
      <c r="A50" s="51" t="s">
        <v>2854</v>
      </c>
      <c r="B50" s="51" t="s">
        <v>2857</v>
      </c>
    </row>
    <row r="51">
      <c r="A51" s="51" t="s">
        <v>2858</v>
      </c>
      <c r="B51" s="51" t="s">
        <v>2859</v>
      </c>
    </row>
    <row r="52">
      <c r="A52" s="51" t="s">
        <v>2858</v>
      </c>
      <c r="B52" s="51" t="s">
        <v>2860</v>
      </c>
    </row>
    <row r="53">
      <c r="A53" s="51" t="s">
        <v>2858</v>
      </c>
      <c r="B53" s="51" t="s">
        <v>2861</v>
      </c>
    </row>
    <row r="54">
      <c r="A54" s="51" t="s">
        <v>2858</v>
      </c>
      <c r="B54" s="51" t="s">
        <v>2862</v>
      </c>
    </row>
    <row r="55">
      <c r="A55" s="51" t="s">
        <v>2858</v>
      </c>
      <c r="B55" s="51" t="s">
        <v>2863</v>
      </c>
    </row>
    <row r="56">
      <c r="A56" s="51" t="s">
        <v>2858</v>
      </c>
      <c r="B56" s="51" t="s">
        <v>2864</v>
      </c>
    </row>
    <row r="57">
      <c r="A57" s="51" t="s">
        <v>2858</v>
      </c>
      <c r="B57" s="51" t="s">
        <v>2865</v>
      </c>
    </row>
    <row r="58">
      <c r="A58" s="51" t="s">
        <v>2858</v>
      </c>
      <c r="B58" s="51" t="s">
        <v>2866</v>
      </c>
    </row>
    <row r="59">
      <c r="A59" s="51" t="s">
        <v>2858</v>
      </c>
      <c r="B59" s="51" t="s">
        <v>2867</v>
      </c>
    </row>
    <row r="60">
      <c r="A60" s="51" t="s">
        <v>2858</v>
      </c>
      <c r="B60" s="51" t="s">
        <v>2868</v>
      </c>
    </row>
    <row r="61">
      <c r="A61" s="51" t="s">
        <v>2858</v>
      </c>
      <c r="B61" s="51" t="s">
        <v>2869</v>
      </c>
    </row>
    <row r="62">
      <c r="A62" s="51" t="s">
        <v>2858</v>
      </c>
      <c r="B62" s="51" t="s">
        <v>2870</v>
      </c>
    </row>
    <row r="63">
      <c r="A63" s="51" t="s">
        <v>2858</v>
      </c>
      <c r="B63" s="51" t="s">
        <v>2871</v>
      </c>
    </row>
    <row r="64">
      <c r="A64" s="51" t="s">
        <v>2858</v>
      </c>
      <c r="B64" s="51" t="s">
        <v>2872</v>
      </c>
    </row>
    <row r="65">
      <c r="A65" s="51" t="s">
        <v>2858</v>
      </c>
      <c r="B65" s="51" t="s">
        <v>2873</v>
      </c>
    </row>
    <row r="66">
      <c r="A66" s="51" t="s">
        <v>2874</v>
      </c>
      <c r="B66" s="51" t="s">
        <v>2875</v>
      </c>
    </row>
    <row r="67">
      <c r="A67" s="51" t="s">
        <v>2876</v>
      </c>
      <c r="B67" s="51" t="s">
        <v>2877</v>
      </c>
    </row>
    <row r="68">
      <c r="A68" s="51" t="s">
        <v>2876</v>
      </c>
      <c r="B68" s="51" t="s">
        <v>2878</v>
      </c>
    </row>
    <row r="69">
      <c r="A69" s="51" t="s">
        <v>2879</v>
      </c>
      <c r="B69" s="51" t="s">
        <v>2880</v>
      </c>
    </row>
    <row r="70">
      <c r="A70" s="51" t="s">
        <v>2879</v>
      </c>
      <c r="B70" s="51" t="s">
        <v>2881</v>
      </c>
    </row>
    <row r="71">
      <c r="A71" s="51" t="s">
        <v>2882</v>
      </c>
      <c r="B71" s="51" t="s">
        <v>2883</v>
      </c>
    </row>
    <row r="72">
      <c r="A72" s="51" t="s">
        <v>2884</v>
      </c>
      <c r="B72" s="51" t="s">
        <v>2885</v>
      </c>
    </row>
    <row r="73">
      <c r="A73" s="51" t="s">
        <v>2886</v>
      </c>
      <c r="B73" s="51" t="s">
        <v>2887</v>
      </c>
    </row>
    <row r="74">
      <c r="A74" s="51" t="s">
        <v>2886</v>
      </c>
      <c r="B74" s="51" t="s">
        <v>2888</v>
      </c>
    </row>
    <row r="75">
      <c r="A75" s="51" t="s">
        <v>2886</v>
      </c>
      <c r="B75" s="51" t="s">
        <v>2889</v>
      </c>
    </row>
    <row r="76">
      <c r="A76" s="51" t="s">
        <v>2886</v>
      </c>
      <c r="B76" s="51" t="s">
        <v>2890</v>
      </c>
    </row>
    <row r="77">
      <c r="A77" s="51" t="s">
        <v>2886</v>
      </c>
      <c r="B77" s="51" t="s">
        <v>2891</v>
      </c>
    </row>
    <row r="78">
      <c r="A78" s="51" t="s">
        <v>2886</v>
      </c>
      <c r="B78" s="51" t="s">
        <v>2892</v>
      </c>
    </row>
    <row r="79">
      <c r="A79" s="51" t="s">
        <v>2886</v>
      </c>
      <c r="B79" s="51" t="s">
        <v>2893</v>
      </c>
    </row>
    <row r="80">
      <c r="A80" s="51" t="s">
        <v>2886</v>
      </c>
      <c r="B80" s="51" t="s">
        <v>2894</v>
      </c>
    </row>
    <row r="81">
      <c r="A81" s="51" t="s">
        <v>2886</v>
      </c>
      <c r="B81" s="51" t="s">
        <v>2895</v>
      </c>
    </row>
    <row r="82">
      <c r="A82" s="51" t="s">
        <v>2886</v>
      </c>
      <c r="B82" s="51" t="s">
        <v>2896</v>
      </c>
    </row>
    <row r="83">
      <c r="A83" s="51" t="s">
        <v>2886</v>
      </c>
      <c r="B83" s="51" t="s">
        <v>2897</v>
      </c>
    </row>
    <row r="84">
      <c r="A84" s="51" t="s">
        <v>2886</v>
      </c>
      <c r="B84" s="51" t="s">
        <v>2898</v>
      </c>
    </row>
    <row r="85">
      <c r="A85" s="51" t="s">
        <v>2886</v>
      </c>
      <c r="B85" s="51" t="s">
        <v>2899</v>
      </c>
    </row>
    <row r="86">
      <c r="A86" s="51" t="s">
        <v>2886</v>
      </c>
      <c r="B86" s="51" t="s">
        <v>2900</v>
      </c>
    </row>
    <row r="87">
      <c r="A87" s="51" t="s">
        <v>2886</v>
      </c>
      <c r="B87" s="51" t="s">
        <v>2901</v>
      </c>
    </row>
    <row r="88">
      <c r="A88" s="51" t="s">
        <v>2886</v>
      </c>
      <c r="B88" s="51" t="s">
        <v>2902</v>
      </c>
    </row>
    <row r="89">
      <c r="A89" s="51" t="s">
        <v>2886</v>
      </c>
      <c r="B89" s="51" t="s">
        <v>2903</v>
      </c>
    </row>
    <row r="90">
      <c r="A90" s="51" t="s">
        <v>2886</v>
      </c>
      <c r="B90" s="51" t="s">
        <v>2904</v>
      </c>
    </row>
    <row r="91">
      <c r="A91" s="51" t="s">
        <v>2886</v>
      </c>
      <c r="B91" s="51" t="s">
        <v>2905</v>
      </c>
    </row>
    <row r="92">
      <c r="A92" s="51" t="s">
        <v>2886</v>
      </c>
      <c r="B92" s="51" t="s">
        <v>2906</v>
      </c>
    </row>
    <row r="93">
      <c r="A93" s="51" t="s">
        <v>2886</v>
      </c>
      <c r="B93" s="51" t="s">
        <v>2907</v>
      </c>
    </row>
    <row r="94">
      <c r="A94" s="51" t="s">
        <v>2886</v>
      </c>
      <c r="B94" s="51" t="s">
        <v>2908</v>
      </c>
    </row>
    <row r="95">
      <c r="A95" s="51" t="s">
        <v>2886</v>
      </c>
      <c r="B95" s="51" t="s">
        <v>2909</v>
      </c>
    </row>
    <row r="96">
      <c r="A96" s="51" t="s">
        <v>2886</v>
      </c>
      <c r="B96" s="51" t="s">
        <v>2910</v>
      </c>
    </row>
    <row r="97">
      <c r="A97" s="51" t="s">
        <v>2886</v>
      </c>
      <c r="B97" s="51" t="s">
        <v>2911</v>
      </c>
    </row>
    <row r="98">
      <c r="A98" s="51" t="s">
        <v>2886</v>
      </c>
      <c r="B98" s="51" t="s">
        <v>2912</v>
      </c>
    </row>
    <row r="99">
      <c r="A99" s="51" t="s">
        <v>2886</v>
      </c>
      <c r="B99" s="51" t="s">
        <v>2913</v>
      </c>
    </row>
    <row r="100">
      <c r="A100" s="51" t="s">
        <v>2886</v>
      </c>
      <c r="B100" s="51" t="s">
        <v>2914</v>
      </c>
    </row>
    <row r="101">
      <c r="A101" s="51" t="s">
        <v>2886</v>
      </c>
      <c r="B101" s="51" t="s">
        <v>2915</v>
      </c>
    </row>
    <row r="102">
      <c r="A102" s="51" t="s">
        <v>2886</v>
      </c>
      <c r="B102" s="51" t="s">
        <v>2916</v>
      </c>
    </row>
    <row r="103">
      <c r="A103" s="51" t="s">
        <v>2886</v>
      </c>
      <c r="B103" s="51" t="s">
        <v>2917</v>
      </c>
    </row>
    <row r="104">
      <c r="A104" s="51" t="s">
        <v>2886</v>
      </c>
      <c r="B104" s="51" t="s">
        <v>2918</v>
      </c>
    </row>
    <row r="105">
      <c r="A105" s="51" t="s">
        <v>2886</v>
      </c>
      <c r="B105" s="51" t="s">
        <v>2919</v>
      </c>
    </row>
    <row r="106">
      <c r="A106" s="51" t="s">
        <v>2886</v>
      </c>
      <c r="B106" s="51" t="s">
        <v>2920</v>
      </c>
    </row>
    <row r="107">
      <c r="A107" s="51" t="s">
        <v>2886</v>
      </c>
      <c r="B107" s="51" t="s">
        <v>2921</v>
      </c>
    </row>
    <row r="108">
      <c r="A108" s="51" t="s">
        <v>2886</v>
      </c>
      <c r="B108" s="51" t="s">
        <v>2922</v>
      </c>
    </row>
    <row r="109">
      <c r="A109" s="51" t="s">
        <v>2923</v>
      </c>
      <c r="B109" s="51" t="s">
        <v>2924</v>
      </c>
    </row>
    <row r="110">
      <c r="A110" s="51" t="s">
        <v>2925</v>
      </c>
      <c r="B110" s="51" t="s">
        <v>2926</v>
      </c>
    </row>
    <row r="111">
      <c r="A111" s="51" t="s">
        <v>2925</v>
      </c>
      <c r="B111" s="51" t="s">
        <v>2927</v>
      </c>
    </row>
    <row r="112">
      <c r="A112" s="51" t="s">
        <v>2925</v>
      </c>
      <c r="B112" s="51" t="s">
        <v>2928</v>
      </c>
    </row>
    <row r="113">
      <c r="A113" s="51" t="s">
        <v>2929</v>
      </c>
      <c r="B113" s="51" t="s">
        <v>2930</v>
      </c>
    </row>
    <row r="114">
      <c r="A114" s="51" t="s">
        <v>2931</v>
      </c>
      <c r="B114" s="51" t="s">
        <v>665</v>
      </c>
    </row>
    <row r="115">
      <c r="A115" s="51" t="s">
        <v>2932</v>
      </c>
      <c r="B115" s="51" t="s">
        <v>2933</v>
      </c>
    </row>
    <row r="116">
      <c r="A116" s="51" t="s">
        <v>2932</v>
      </c>
      <c r="B116" s="51" t="s">
        <v>2934</v>
      </c>
    </row>
    <row r="117">
      <c r="A117" s="51" t="s">
        <v>2932</v>
      </c>
      <c r="B117" s="51" t="s">
        <v>2935</v>
      </c>
    </row>
    <row r="118">
      <c r="A118" s="51" t="s">
        <v>2932</v>
      </c>
      <c r="B118" s="51" t="s">
        <v>2936</v>
      </c>
    </row>
    <row r="119">
      <c r="A119" s="51" t="s">
        <v>2932</v>
      </c>
      <c r="B119" s="51" t="s">
        <v>2937</v>
      </c>
    </row>
    <row r="120">
      <c r="A120" s="51" t="s">
        <v>2932</v>
      </c>
      <c r="B120" s="51" t="s">
        <v>2938</v>
      </c>
    </row>
    <row r="121">
      <c r="A121" s="51" t="s">
        <v>2932</v>
      </c>
      <c r="B121" s="51" t="s">
        <v>2939</v>
      </c>
    </row>
    <row r="122">
      <c r="A122" s="51" t="s">
        <v>2932</v>
      </c>
      <c r="B122" s="51" t="s">
        <v>2940</v>
      </c>
    </row>
    <row r="123">
      <c r="A123" s="51" t="s">
        <v>2932</v>
      </c>
      <c r="B123" s="51" t="s">
        <v>2941</v>
      </c>
    </row>
    <row r="124">
      <c r="A124" s="51" t="s">
        <v>2932</v>
      </c>
      <c r="B124" s="51" t="s">
        <v>2942</v>
      </c>
    </row>
    <row r="125">
      <c r="A125" s="51" t="s">
        <v>2932</v>
      </c>
      <c r="B125" s="51" t="s">
        <v>2943</v>
      </c>
    </row>
    <row r="126">
      <c r="A126" s="51" t="s">
        <v>2932</v>
      </c>
      <c r="B126" s="51" t="s">
        <v>2944</v>
      </c>
    </row>
    <row r="127">
      <c r="A127" s="51" t="s">
        <v>2932</v>
      </c>
      <c r="B127" s="51" t="s">
        <v>2945</v>
      </c>
    </row>
    <row r="128">
      <c r="A128" s="51" t="s">
        <v>2932</v>
      </c>
      <c r="B128" s="51" t="s">
        <v>2946</v>
      </c>
    </row>
    <row r="129">
      <c r="A129" s="51" t="s">
        <v>2932</v>
      </c>
      <c r="B129" s="51" t="s">
        <v>2947</v>
      </c>
    </row>
    <row r="130">
      <c r="A130" s="51" t="s">
        <v>2932</v>
      </c>
      <c r="B130" s="51" t="s">
        <v>2948</v>
      </c>
    </row>
    <row r="131">
      <c r="A131" s="51" t="s">
        <v>2932</v>
      </c>
      <c r="B131" s="51" t="s">
        <v>2949</v>
      </c>
    </row>
    <row r="132">
      <c r="A132" s="51" t="s">
        <v>2932</v>
      </c>
      <c r="B132" s="51" t="s">
        <v>2950</v>
      </c>
    </row>
    <row r="133">
      <c r="A133" s="51" t="s">
        <v>2932</v>
      </c>
      <c r="B133" s="51" t="s">
        <v>2951</v>
      </c>
    </row>
    <row r="134">
      <c r="A134" s="51" t="s">
        <v>2952</v>
      </c>
      <c r="B134" s="51" t="s">
        <v>2953</v>
      </c>
    </row>
    <row r="135">
      <c r="A135" s="51" t="s">
        <v>2954</v>
      </c>
      <c r="B135" s="51" t="s">
        <v>2955</v>
      </c>
    </row>
    <row r="136">
      <c r="A136" s="51" t="s">
        <v>2956</v>
      </c>
      <c r="B136" s="51" t="s">
        <v>2957</v>
      </c>
    </row>
    <row r="137">
      <c r="A137" s="51" t="s">
        <v>2956</v>
      </c>
      <c r="B137" s="51" t="s">
        <v>2958</v>
      </c>
    </row>
    <row r="138">
      <c r="A138" s="32" t="s">
        <v>2956</v>
      </c>
      <c r="B138" s="40" t="s">
        <v>2959</v>
      </c>
    </row>
    <row r="139">
      <c r="A139" s="51" t="s">
        <v>2956</v>
      </c>
      <c r="B139" s="51" t="s">
        <v>2960</v>
      </c>
    </row>
    <row r="140">
      <c r="A140" s="51" t="s">
        <v>2956</v>
      </c>
      <c r="B140" s="51" t="s">
        <v>2961</v>
      </c>
    </row>
    <row r="141">
      <c r="A141" s="51" t="s">
        <v>2956</v>
      </c>
      <c r="B141" s="51" t="s">
        <v>2962</v>
      </c>
    </row>
    <row r="142">
      <c r="A142" s="51" t="s">
        <v>2956</v>
      </c>
      <c r="B142" s="51" t="s">
        <v>2963</v>
      </c>
    </row>
    <row r="143">
      <c r="A143" s="51" t="s">
        <v>2956</v>
      </c>
      <c r="B143" s="51" t="s">
        <v>2964</v>
      </c>
    </row>
    <row r="144">
      <c r="A144" s="51" t="s">
        <v>2956</v>
      </c>
      <c r="B144" s="51" t="s">
        <v>2965</v>
      </c>
    </row>
    <row r="145">
      <c r="A145" s="51" t="s">
        <v>2956</v>
      </c>
      <c r="B145" s="51" t="s">
        <v>2966</v>
      </c>
    </row>
    <row r="146">
      <c r="A146" s="51" t="s">
        <v>2967</v>
      </c>
      <c r="B146" s="51" t="s">
        <v>2968</v>
      </c>
    </row>
    <row r="147">
      <c r="A147" s="51" t="s">
        <v>678</v>
      </c>
      <c r="B147" s="51" t="s">
        <v>2969</v>
      </c>
    </row>
    <row r="148">
      <c r="A148" s="51" t="s">
        <v>678</v>
      </c>
      <c r="B148" s="51" t="s">
        <v>2970</v>
      </c>
    </row>
    <row r="149">
      <c r="A149" s="51" t="s">
        <v>678</v>
      </c>
      <c r="B149" s="51" t="s">
        <v>2971</v>
      </c>
    </row>
    <row r="150">
      <c r="A150" s="51" t="s">
        <v>678</v>
      </c>
      <c r="B150" s="51" t="s">
        <v>2972</v>
      </c>
    </row>
    <row r="151">
      <c r="A151" s="51" t="s">
        <v>678</v>
      </c>
      <c r="B151" s="51" t="s">
        <v>2973</v>
      </c>
    </row>
    <row r="152">
      <c r="A152" s="51" t="s">
        <v>678</v>
      </c>
      <c r="B152" s="51" t="s">
        <v>2974</v>
      </c>
    </row>
    <row r="153">
      <c r="A153" s="51" t="s">
        <v>678</v>
      </c>
      <c r="B153" s="51" t="s">
        <v>2975</v>
      </c>
    </row>
    <row r="154">
      <c r="A154" s="51" t="s">
        <v>678</v>
      </c>
      <c r="B154" s="51" t="s">
        <v>2976</v>
      </c>
    </row>
    <row r="155">
      <c r="A155" s="51" t="s">
        <v>678</v>
      </c>
      <c r="B155" s="51" t="s">
        <v>2977</v>
      </c>
    </row>
    <row r="156">
      <c r="A156" s="51" t="s">
        <v>678</v>
      </c>
      <c r="B156" s="51" t="s">
        <v>2978</v>
      </c>
    </row>
    <row r="157">
      <c r="A157" s="51" t="s">
        <v>678</v>
      </c>
      <c r="B157" s="51" t="s">
        <v>2979</v>
      </c>
    </row>
    <row r="158">
      <c r="A158" s="51" t="s">
        <v>678</v>
      </c>
      <c r="B158" s="51" t="s">
        <v>2980</v>
      </c>
    </row>
    <row r="159">
      <c r="A159" s="51" t="s">
        <v>678</v>
      </c>
      <c r="B159" s="51" t="s">
        <v>2981</v>
      </c>
    </row>
    <row r="160">
      <c r="A160" s="51" t="s">
        <v>678</v>
      </c>
      <c r="B160" s="51" t="s">
        <v>2982</v>
      </c>
    </row>
    <row r="161">
      <c r="A161" s="51" t="s">
        <v>2983</v>
      </c>
      <c r="B161" s="51" t="s">
        <v>2984</v>
      </c>
    </row>
    <row r="162">
      <c r="A162" s="51" t="s">
        <v>2983</v>
      </c>
      <c r="B162" s="51" t="s">
        <v>2985</v>
      </c>
    </row>
    <row r="163">
      <c r="A163" s="51" t="s">
        <v>2983</v>
      </c>
      <c r="B163" s="51" t="s">
        <v>2986</v>
      </c>
    </row>
    <row r="164">
      <c r="A164" s="51" t="s">
        <v>2983</v>
      </c>
      <c r="B164" s="51" t="s">
        <v>2987</v>
      </c>
    </row>
    <row r="165">
      <c r="A165" s="51" t="s">
        <v>2983</v>
      </c>
      <c r="B165" s="51" t="s">
        <v>2988</v>
      </c>
    </row>
    <row r="166">
      <c r="A166" s="51" t="s">
        <v>2989</v>
      </c>
      <c r="B166" s="51" t="s">
        <v>2990</v>
      </c>
    </row>
    <row r="167">
      <c r="A167" s="51" t="s">
        <v>2991</v>
      </c>
      <c r="B167" s="51" t="s">
        <v>2992</v>
      </c>
    </row>
    <row r="168">
      <c r="A168" s="51" t="s">
        <v>2991</v>
      </c>
      <c r="B168" s="51" t="s">
        <v>2993</v>
      </c>
    </row>
    <row r="169">
      <c r="A169" s="51" t="s">
        <v>2991</v>
      </c>
      <c r="B169" s="51" t="s">
        <v>2994</v>
      </c>
    </row>
    <row r="170">
      <c r="A170" s="51" t="s">
        <v>2991</v>
      </c>
      <c r="B170" s="51" t="s">
        <v>2995</v>
      </c>
    </row>
    <row r="171">
      <c r="A171" s="51" t="s">
        <v>2991</v>
      </c>
      <c r="B171" s="51" t="s">
        <v>2996</v>
      </c>
    </row>
    <row r="172">
      <c r="A172" s="51" t="s">
        <v>2991</v>
      </c>
      <c r="B172" s="51" t="s">
        <v>2997</v>
      </c>
    </row>
    <row r="173">
      <c r="A173" s="51" t="s">
        <v>2991</v>
      </c>
      <c r="B173" s="51" t="s">
        <v>2998</v>
      </c>
    </row>
    <row r="174">
      <c r="A174" s="51" t="s">
        <v>2991</v>
      </c>
      <c r="B174" s="51" t="s">
        <v>2999</v>
      </c>
    </row>
    <row r="175">
      <c r="A175" s="51" t="s">
        <v>2991</v>
      </c>
      <c r="B175" s="51" t="s">
        <v>3000</v>
      </c>
    </row>
    <row r="176">
      <c r="A176" s="51" t="s">
        <v>2991</v>
      </c>
      <c r="B176" s="51" t="s">
        <v>3001</v>
      </c>
    </row>
    <row r="177">
      <c r="A177" s="51" t="s">
        <v>2991</v>
      </c>
      <c r="B177" s="51" t="s">
        <v>3002</v>
      </c>
    </row>
    <row r="178">
      <c r="A178" s="51" t="s">
        <v>2991</v>
      </c>
      <c r="B178" s="51" t="s">
        <v>3003</v>
      </c>
    </row>
    <row r="179">
      <c r="A179" s="51" t="s">
        <v>3004</v>
      </c>
      <c r="B179" s="51" t="s">
        <v>3005</v>
      </c>
    </row>
    <row r="180">
      <c r="A180" s="51" t="s">
        <v>3004</v>
      </c>
      <c r="B180" s="51" t="s">
        <v>3006</v>
      </c>
    </row>
    <row r="181">
      <c r="A181" s="51" t="s">
        <v>3004</v>
      </c>
      <c r="B181" s="51" t="s">
        <v>3007</v>
      </c>
    </row>
    <row r="182">
      <c r="A182" s="51" t="s">
        <v>3008</v>
      </c>
      <c r="B182" s="51" t="s">
        <v>3009</v>
      </c>
    </row>
    <row r="183">
      <c r="A183" s="51" t="s">
        <v>3008</v>
      </c>
      <c r="B183" s="51" t="s">
        <v>3010</v>
      </c>
    </row>
    <row r="184">
      <c r="A184" s="51" t="s">
        <v>3011</v>
      </c>
      <c r="B184" s="51" t="s">
        <v>3012</v>
      </c>
    </row>
    <row r="185">
      <c r="A185" s="51" t="s">
        <v>3011</v>
      </c>
      <c r="B185" s="51" t="s">
        <v>3013</v>
      </c>
    </row>
    <row r="186">
      <c r="A186" s="51" t="s">
        <v>3011</v>
      </c>
      <c r="B186" s="51" t="s">
        <v>3014</v>
      </c>
    </row>
    <row r="187">
      <c r="A187" s="51" t="s">
        <v>3011</v>
      </c>
      <c r="B187" s="51" t="s">
        <v>3015</v>
      </c>
    </row>
    <row r="188">
      <c r="A188" s="51" t="s">
        <v>3011</v>
      </c>
      <c r="B188" s="51" t="s">
        <v>3016</v>
      </c>
    </row>
    <row r="189">
      <c r="A189" s="51" t="s">
        <v>3011</v>
      </c>
      <c r="B189" s="51" t="s">
        <v>3017</v>
      </c>
    </row>
    <row r="190">
      <c r="A190" s="51" t="s">
        <v>3011</v>
      </c>
      <c r="B190" s="51" t="s">
        <v>3018</v>
      </c>
    </row>
    <row r="191">
      <c r="A191" s="51" t="s">
        <v>3011</v>
      </c>
      <c r="B191" s="51" t="s">
        <v>3019</v>
      </c>
    </row>
    <row r="192">
      <c r="A192" s="51" t="s">
        <v>3011</v>
      </c>
      <c r="B192" s="51" t="s">
        <v>3020</v>
      </c>
    </row>
    <row r="193">
      <c r="A193" s="51" t="s">
        <v>3011</v>
      </c>
      <c r="B193" s="51" t="s">
        <v>3021</v>
      </c>
    </row>
    <row r="194">
      <c r="A194" s="51" t="s">
        <v>3011</v>
      </c>
      <c r="B194" s="51" t="s">
        <v>3022</v>
      </c>
    </row>
    <row r="195">
      <c r="A195" s="51" t="s">
        <v>3011</v>
      </c>
      <c r="B195" s="51" t="s">
        <v>3023</v>
      </c>
    </row>
    <row r="196">
      <c r="A196" s="51" t="s">
        <v>3011</v>
      </c>
      <c r="B196" s="51" t="s">
        <v>3024</v>
      </c>
    </row>
    <row r="197">
      <c r="A197" s="51" t="s">
        <v>3011</v>
      </c>
      <c r="B197" s="51" t="s">
        <v>3025</v>
      </c>
    </row>
    <row r="198">
      <c r="A198" s="51" t="s">
        <v>3011</v>
      </c>
      <c r="B198" s="51" t="s">
        <v>3026</v>
      </c>
    </row>
    <row r="199">
      <c r="A199" s="51" t="s">
        <v>3027</v>
      </c>
      <c r="B199" s="51" t="s">
        <v>3028</v>
      </c>
    </row>
    <row r="200">
      <c r="A200" s="51" t="s">
        <v>3027</v>
      </c>
      <c r="B200" s="51" t="s">
        <v>3029</v>
      </c>
    </row>
    <row r="201">
      <c r="A201" s="51" t="s">
        <v>3027</v>
      </c>
      <c r="B201" s="51" t="s">
        <v>3030</v>
      </c>
    </row>
    <row r="202">
      <c r="A202" s="51" t="s">
        <v>3027</v>
      </c>
      <c r="B202" s="51" t="s">
        <v>3031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42.43"/>
    <col customWidth="1" min="2" max="2" width="30.29"/>
    <col customWidth="1" min="3" max="3" width="24.86"/>
    <col customWidth="1" min="5" max="5" width="26.43"/>
    <col customWidth="1" min="7" max="7" width="22.57"/>
  </cols>
  <sheetData>
    <row r="1">
      <c r="A1" s="64"/>
      <c r="B1" s="64"/>
      <c r="D1" s="121"/>
      <c r="F1" s="365"/>
      <c r="G1" s="62"/>
      <c r="I1" s="62"/>
    </row>
    <row r="2">
      <c r="A2" s="597" t="s">
        <v>3032</v>
      </c>
      <c r="D2" s="605" t="s">
        <v>3033</v>
      </c>
      <c r="G2" s="620"/>
      <c r="H2" s="597" t="s">
        <v>3034</v>
      </c>
      <c r="J2" s="597" t="s">
        <v>3035</v>
      </c>
    </row>
    <row r="3">
      <c r="A3" s="655" t="s">
        <v>3036</v>
      </c>
      <c r="B3" s="655" t="s">
        <v>3037</v>
      </c>
      <c r="C3" s="597" t="s">
        <v>3038</v>
      </c>
      <c r="D3" s="605" t="s">
        <v>3039</v>
      </c>
      <c r="F3" s="656" t="s">
        <v>3040</v>
      </c>
      <c r="H3" s="597" t="s">
        <v>3041</v>
      </c>
      <c r="I3" s="620" t="s">
        <v>3040</v>
      </c>
      <c r="J3" s="597" t="s">
        <v>3042</v>
      </c>
      <c r="K3" s="597" t="s">
        <v>3043</v>
      </c>
      <c r="L3" s="597" t="s">
        <v>3044</v>
      </c>
      <c r="M3" s="597" t="s">
        <v>3045</v>
      </c>
    </row>
    <row r="4">
      <c r="A4" s="657"/>
      <c r="B4" s="657"/>
      <c r="C4" s="51"/>
      <c r="D4" s="605" t="s">
        <v>3046</v>
      </c>
      <c r="E4" s="597" t="s">
        <v>359</v>
      </c>
      <c r="F4" s="656" t="s">
        <v>3046</v>
      </c>
      <c r="G4" s="597" t="s">
        <v>359</v>
      </c>
      <c r="H4" s="605" t="s">
        <v>3046</v>
      </c>
      <c r="I4" s="597" t="s">
        <v>359</v>
      </c>
      <c r="J4" s="51" t="s">
        <v>3047</v>
      </c>
      <c r="K4" s="51" t="s">
        <v>3048</v>
      </c>
      <c r="L4" s="51" t="s">
        <v>3049</v>
      </c>
      <c r="M4" s="51" t="s">
        <v>3050</v>
      </c>
    </row>
    <row r="5">
      <c r="A5" s="657" t="s">
        <v>3051</v>
      </c>
      <c r="B5" s="657" t="s">
        <v>3052</v>
      </c>
      <c r="C5" s="51" t="s">
        <v>3053</v>
      </c>
      <c r="D5" s="658" t="s">
        <v>3054</v>
      </c>
      <c r="E5" s="51" t="s">
        <v>3055</v>
      </c>
      <c r="F5" s="490" t="s">
        <v>3056</v>
      </c>
      <c r="G5" s="62"/>
      <c r="H5" s="51" t="s">
        <v>3057</v>
      </c>
      <c r="I5" s="614" t="s">
        <v>3058</v>
      </c>
      <c r="J5" s="51" t="s">
        <v>3059</v>
      </c>
      <c r="K5" s="51" t="s">
        <v>3060</v>
      </c>
      <c r="L5" s="51" t="s">
        <v>3061</v>
      </c>
      <c r="M5" s="51" t="s">
        <v>3062</v>
      </c>
    </row>
    <row r="6">
      <c r="A6" s="657" t="s">
        <v>3063</v>
      </c>
      <c r="B6" s="657" t="s">
        <v>2373</v>
      </c>
      <c r="C6" s="51" t="s">
        <v>3064</v>
      </c>
      <c r="D6" s="658" t="s">
        <v>3065</v>
      </c>
      <c r="E6" s="51" t="s">
        <v>3066</v>
      </c>
      <c r="F6" s="490" t="s">
        <v>3067</v>
      </c>
      <c r="G6" s="614" t="s">
        <v>3068</v>
      </c>
      <c r="I6" s="62"/>
      <c r="J6" s="51" t="s">
        <v>3069</v>
      </c>
      <c r="K6" s="51" t="s">
        <v>3070</v>
      </c>
      <c r="L6" s="51" t="s">
        <v>3071</v>
      </c>
      <c r="M6" s="51" t="s">
        <v>3072</v>
      </c>
    </row>
    <row r="7">
      <c r="A7" s="657" t="s">
        <v>3073</v>
      </c>
      <c r="B7" s="657" t="s">
        <v>3074</v>
      </c>
      <c r="C7" s="51" t="s">
        <v>3075</v>
      </c>
      <c r="D7" s="658" t="s">
        <v>3054</v>
      </c>
      <c r="E7" s="51" t="s">
        <v>3076</v>
      </c>
      <c r="F7" s="490" t="s">
        <v>3077</v>
      </c>
      <c r="G7" s="614" t="s">
        <v>3078</v>
      </c>
      <c r="I7" s="62"/>
      <c r="J7" s="51" t="s">
        <v>3079</v>
      </c>
      <c r="K7" s="51" t="s">
        <v>3080</v>
      </c>
      <c r="L7" s="51" t="s">
        <v>3081</v>
      </c>
      <c r="M7" s="51" t="s">
        <v>3082</v>
      </c>
    </row>
    <row r="8">
      <c r="A8" s="657" t="s">
        <v>3083</v>
      </c>
      <c r="B8" s="657" t="s">
        <v>3084</v>
      </c>
      <c r="C8" s="51" t="s">
        <v>3085</v>
      </c>
      <c r="D8" s="658" t="s">
        <v>3054</v>
      </c>
      <c r="E8" s="51" t="s">
        <v>3086</v>
      </c>
      <c r="F8" s="490" t="s">
        <v>3087</v>
      </c>
      <c r="G8" s="62"/>
      <c r="I8" s="62"/>
      <c r="J8" s="51" t="s">
        <v>3088</v>
      </c>
      <c r="K8" s="51" t="s">
        <v>3089</v>
      </c>
      <c r="L8" s="51" t="s">
        <v>3090</v>
      </c>
      <c r="M8" s="51" t="s">
        <v>3091</v>
      </c>
    </row>
    <row r="9">
      <c r="A9" s="657" t="s">
        <v>3092</v>
      </c>
      <c r="B9" s="657" t="s">
        <v>3093</v>
      </c>
      <c r="C9" s="51" t="s">
        <v>3094</v>
      </c>
      <c r="D9" s="658" t="s">
        <v>3054</v>
      </c>
      <c r="E9" s="51" t="s">
        <v>3095</v>
      </c>
      <c r="F9" s="490" t="s">
        <v>3096</v>
      </c>
      <c r="G9" s="62"/>
      <c r="I9" s="62"/>
      <c r="J9" s="51" t="s">
        <v>3097</v>
      </c>
      <c r="K9" s="51" t="s">
        <v>3098</v>
      </c>
      <c r="M9" s="51" t="s">
        <v>3099</v>
      </c>
    </row>
    <row r="10">
      <c r="A10" s="657" t="s">
        <v>3100</v>
      </c>
      <c r="B10" s="657" t="s">
        <v>3101</v>
      </c>
      <c r="C10" s="51" t="s">
        <v>3102</v>
      </c>
      <c r="D10" s="658" t="s">
        <v>3054</v>
      </c>
      <c r="E10" s="51" t="s">
        <v>3103</v>
      </c>
      <c r="F10" s="490" t="s">
        <v>3104</v>
      </c>
      <c r="G10" s="614" t="s">
        <v>3105</v>
      </c>
      <c r="I10" s="62"/>
      <c r="J10" s="51" t="s">
        <v>3106</v>
      </c>
      <c r="K10" s="51" t="s">
        <v>3107</v>
      </c>
      <c r="M10" s="51" t="s">
        <v>3108</v>
      </c>
    </row>
    <row r="11">
      <c r="A11" s="657" t="s">
        <v>3109</v>
      </c>
      <c r="B11" s="657" t="s">
        <v>3110</v>
      </c>
      <c r="C11" s="51" t="s">
        <v>3111</v>
      </c>
      <c r="D11" s="659" t="s">
        <v>3112</v>
      </c>
      <c r="E11" s="51" t="s">
        <v>3113</v>
      </c>
      <c r="F11" s="490" t="s">
        <v>3114</v>
      </c>
      <c r="G11" s="660" t="s">
        <v>3115</v>
      </c>
      <c r="I11" s="62"/>
      <c r="J11" s="51" t="s">
        <v>3116</v>
      </c>
      <c r="K11" s="51" t="s">
        <v>3117</v>
      </c>
      <c r="M11" s="51" t="s">
        <v>3118</v>
      </c>
    </row>
    <row r="12">
      <c r="A12" s="657" t="s">
        <v>3119</v>
      </c>
      <c r="B12" s="657" t="s">
        <v>3120</v>
      </c>
      <c r="C12" s="51" t="s">
        <v>3121</v>
      </c>
      <c r="D12" s="658" t="s">
        <v>3122</v>
      </c>
      <c r="E12" s="51" t="s">
        <v>3123</v>
      </c>
      <c r="F12" s="490" t="s">
        <v>3124</v>
      </c>
      <c r="G12" s="62"/>
      <c r="I12" s="62"/>
      <c r="J12" s="51" t="s">
        <v>3125</v>
      </c>
      <c r="M12" s="51" t="s">
        <v>3126</v>
      </c>
    </row>
    <row r="13">
      <c r="A13" s="657" t="s">
        <v>3127</v>
      </c>
      <c r="B13" s="657" t="s">
        <v>3128</v>
      </c>
      <c r="D13" s="658" t="s">
        <v>3129</v>
      </c>
      <c r="E13" s="51" t="s">
        <v>3130</v>
      </c>
      <c r="F13" s="490" t="s">
        <v>3131</v>
      </c>
      <c r="G13" s="614" t="s">
        <v>3132</v>
      </c>
      <c r="I13" s="62"/>
      <c r="J13" s="51" t="s">
        <v>3133</v>
      </c>
    </row>
    <row r="14">
      <c r="A14" s="657" t="s">
        <v>3134</v>
      </c>
      <c r="B14" s="657" t="s">
        <v>3135</v>
      </c>
      <c r="D14" s="658" t="s">
        <v>3136</v>
      </c>
      <c r="E14" s="51" t="s">
        <v>3137</v>
      </c>
      <c r="F14" s="490" t="s">
        <v>3138</v>
      </c>
      <c r="G14" s="51" t="s">
        <v>3139</v>
      </c>
      <c r="H14" s="121"/>
      <c r="I14" s="62"/>
      <c r="J14" s="51" t="s">
        <v>3140</v>
      </c>
    </row>
    <row r="15">
      <c r="A15" s="657" t="s">
        <v>3141</v>
      </c>
      <c r="B15" s="657" t="s">
        <v>3142</v>
      </c>
      <c r="D15" s="658" t="s">
        <v>3143</v>
      </c>
      <c r="E15" s="51" t="s">
        <v>3144</v>
      </c>
      <c r="F15" s="490" t="s">
        <v>3138</v>
      </c>
      <c r="G15" s="614" t="s">
        <v>3145</v>
      </c>
      <c r="I15" s="62"/>
      <c r="J15" s="51" t="s">
        <v>3146</v>
      </c>
    </row>
    <row r="16">
      <c r="A16" s="657" t="s">
        <v>3147</v>
      </c>
      <c r="B16" s="657" t="s">
        <v>3148</v>
      </c>
      <c r="D16" s="658" t="s">
        <v>3149</v>
      </c>
      <c r="E16" s="51" t="s">
        <v>3150</v>
      </c>
      <c r="F16" s="490" t="s">
        <v>3151</v>
      </c>
      <c r="G16" s="614" t="s">
        <v>3152</v>
      </c>
      <c r="I16" s="62"/>
      <c r="J16" s="51" t="s">
        <v>3049</v>
      </c>
    </row>
    <row r="17">
      <c r="A17" s="657" t="s">
        <v>3153</v>
      </c>
      <c r="B17" s="657" t="s">
        <v>3154</v>
      </c>
      <c r="D17" s="658" t="s">
        <v>3155</v>
      </c>
      <c r="E17" s="51" t="s">
        <v>3156</v>
      </c>
      <c r="F17" s="490" t="s">
        <v>3157</v>
      </c>
      <c r="G17" s="62"/>
      <c r="I17" s="62"/>
      <c r="J17" s="51" t="s">
        <v>3158</v>
      </c>
    </row>
    <row r="18">
      <c r="A18" s="657" t="s">
        <v>3159</v>
      </c>
      <c r="B18" s="657" t="s">
        <v>3160</v>
      </c>
      <c r="D18" s="658" t="s">
        <v>3155</v>
      </c>
      <c r="E18" s="51" t="s">
        <v>3161</v>
      </c>
      <c r="F18" s="490" t="s">
        <v>3162</v>
      </c>
      <c r="G18" s="62"/>
      <c r="I18" s="62"/>
      <c r="J18" s="51" t="s">
        <v>3163</v>
      </c>
    </row>
    <row r="19">
      <c r="A19" s="657" t="s">
        <v>3164</v>
      </c>
      <c r="B19" s="657" t="s">
        <v>3165</v>
      </c>
      <c r="D19" s="658" t="s">
        <v>3166</v>
      </c>
      <c r="F19" s="490" t="s">
        <v>3167</v>
      </c>
      <c r="G19" s="62"/>
      <c r="I19" s="62"/>
      <c r="J19" s="51" t="s">
        <v>3168</v>
      </c>
    </row>
    <row r="20">
      <c r="A20" s="657" t="s">
        <v>3169</v>
      </c>
      <c r="B20" s="657" t="s">
        <v>3170</v>
      </c>
      <c r="D20" s="658" t="s">
        <v>3171</v>
      </c>
      <c r="F20" s="490" t="s">
        <v>3172</v>
      </c>
      <c r="G20" s="614" t="s">
        <v>3173</v>
      </c>
      <c r="I20" s="62"/>
      <c r="J20" s="51" t="s">
        <v>3174</v>
      </c>
    </row>
    <row r="21">
      <c r="A21" s="657" t="s">
        <v>3175</v>
      </c>
      <c r="B21" s="657" t="s">
        <v>3176</v>
      </c>
      <c r="D21" s="658" t="s">
        <v>3177</v>
      </c>
      <c r="E21" s="51" t="s">
        <v>3178</v>
      </c>
      <c r="F21" s="490" t="s">
        <v>3179</v>
      </c>
      <c r="G21" s="62"/>
      <c r="I21" s="62"/>
      <c r="J21" s="51" t="s">
        <v>3180</v>
      </c>
    </row>
    <row r="22">
      <c r="A22" s="657" t="s">
        <v>3181</v>
      </c>
      <c r="B22" s="657" t="s">
        <v>3182</v>
      </c>
      <c r="D22" s="658" t="s">
        <v>3183</v>
      </c>
      <c r="E22" s="51" t="s">
        <v>3184</v>
      </c>
      <c r="F22" s="490" t="s">
        <v>3185</v>
      </c>
      <c r="G22" s="614" t="s">
        <v>3186</v>
      </c>
      <c r="I22" s="62"/>
      <c r="J22" s="51" t="s">
        <v>3187</v>
      </c>
    </row>
    <row r="23">
      <c r="A23" s="657" t="s">
        <v>3188</v>
      </c>
      <c r="B23" s="657" t="s">
        <v>3189</v>
      </c>
      <c r="D23" s="658" t="s">
        <v>3149</v>
      </c>
      <c r="E23" s="51" t="s">
        <v>3190</v>
      </c>
      <c r="F23" s="490" t="s">
        <v>3191</v>
      </c>
      <c r="G23" s="62"/>
      <c r="I23" s="62"/>
      <c r="J23" s="51" t="s">
        <v>3192</v>
      </c>
    </row>
    <row r="24">
      <c r="A24" s="657" t="s">
        <v>3193</v>
      </c>
      <c r="B24" s="657" t="s">
        <v>3194</v>
      </c>
      <c r="D24" s="658" t="s">
        <v>3195</v>
      </c>
      <c r="E24" s="51" t="s">
        <v>3196</v>
      </c>
      <c r="F24" s="490" t="s">
        <v>3197</v>
      </c>
      <c r="G24" s="62"/>
      <c r="I24" s="62"/>
      <c r="J24" s="51" t="s">
        <v>3198</v>
      </c>
    </row>
    <row r="25">
      <c r="A25" s="657" t="s">
        <v>3199</v>
      </c>
      <c r="B25" s="657" t="s">
        <v>3200</v>
      </c>
      <c r="D25" s="658" t="s">
        <v>3201</v>
      </c>
      <c r="E25" s="51" t="s">
        <v>3202</v>
      </c>
      <c r="F25" s="490" t="s">
        <v>3203</v>
      </c>
      <c r="G25" s="614" t="s">
        <v>3204</v>
      </c>
      <c r="I25" s="62"/>
    </row>
    <row r="26">
      <c r="A26" s="657" t="s">
        <v>3205</v>
      </c>
      <c r="B26" s="657" t="s">
        <v>3206</v>
      </c>
      <c r="D26" s="658" t="s">
        <v>3054</v>
      </c>
      <c r="E26" s="51" t="s">
        <v>3207</v>
      </c>
      <c r="F26" s="490" t="s">
        <v>3208</v>
      </c>
      <c r="G26" s="614" t="s">
        <v>3209</v>
      </c>
      <c r="I26" s="62"/>
    </row>
    <row r="27">
      <c r="A27" s="657" t="s">
        <v>3174</v>
      </c>
      <c r="B27" s="657" t="s">
        <v>3210</v>
      </c>
      <c r="D27" s="121"/>
      <c r="F27" s="490" t="s">
        <v>3211</v>
      </c>
      <c r="G27" s="62"/>
      <c r="I27" s="62"/>
    </row>
    <row r="28">
      <c r="A28" s="657" t="s">
        <v>3212</v>
      </c>
      <c r="B28" s="657" t="s">
        <v>3213</v>
      </c>
      <c r="D28" s="121"/>
      <c r="F28" s="490" t="s">
        <v>3214</v>
      </c>
      <c r="G28" s="614" t="s">
        <v>3215</v>
      </c>
      <c r="I28" s="62"/>
    </row>
    <row r="29">
      <c r="A29" s="657" t="s">
        <v>3216</v>
      </c>
      <c r="B29" s="657" t="s">
        <v>3217</v>
      </c>
      <c r="D29" s="121"/>
      <c r="F29" s="490" t="s">
        <v>3218</v>
      </c>
      <c r="G29" s="614" t="s">
        <v>3219</v>
      </c>
      <c r="I29" s="62"/>
    </row>
    <row r="30">
      <c r="A30" s="657" t="s">
        <v>3220</v>
      </c>
      <c r="B30" s="657" t="s">
        <v>3221</v>
      </c>
      <c r="D30" s="121"/>
      <c r="F30" s="490" t="s">
        <v>3218</v>
      </c>
      <c r="G30" s="614" t="s">
        <v>3222</v>
      </c>
      <c r="I30" s="62"/>
    </row>
    <row r="31">
      <c r="A31" s="657" t="s">
        <v>3223</v>
      </c>
      <c r="B31" s="657" t="s">
        <v>3224</v>
      </c>
      <c r="D31" s="121"/>
      <c r="F31" s="490" t="s">
        <v>3225</v>
      </c>
      <c r="G31" s="62"/>
      <c r="I31" s="62"/>
    </row>
    <row r="32">
      <c r="A32" s="657" t="s">
        <v>3226</v>
      </c>
      <c r="B32" s="657" t="s">
        <v>3227</v>
      </c>
      <c r="D32" s="121"/>
      <c r="F32" s="490" t="s">
        <v>3228</v>
      </c>
      <c r="G32" s="62"/>
      <c r="I32" s="62"/>
    </row>
    <row r="33">
      <c r="A33" s="657" t="s">
        <v>3229</v>
      </c>
      <c r="B33" s="657" t="s">
        <v>3230</v>
      </c>
      <c r="D33" s="121"/>
      <c r="F33" s="490" t="s">
        <v>3231</v>
      </c>
      <c r="G33" s="62"/>
      <c r="I33" s="62"/>
    </row>
    <row r="34">
      <c r="A34" s="657" t="s">
        <v>3232</v>
      </c>
      <c r="B34" s="657" t="s">
        <v>3233</v>
      </c>
      <c r="D34" s="121"/>
      <c r="F34" s="490" t="s">
        <v>3234</v>
      </c>
      <c r="G34" s="62"/>
      <c r="I34" s="62"/>
    </row>
    <row r="35">
      <c r="A35" s="657" t="s">
        <v>3235</v>
      </c>
      <c r="B35" s="657" t="s">
        <v>3236</v>
      </c>
      <c r="D35" s="121"/>
      <c r="F35" s="490" t="s">
        <v>3237</v>
      </c>
      <c r="G35" s="614" t="s">
        <v>3238</v>
      </c>
      <c r="I35" s="62"/>
    </row>
    <row r="36">
      <c r="A36" s="657" t="s">
        <v>3239</v>
      </c>
      <c r="B36" s="657" t="s">
        <v>3240</v>
      </c>
      <c r="D36" s="121"/>
      <c r="F36" s="490" t="s">
        <v>3241</v>
      </c>
      <c r="G36" s="614" t="s">
        <v>3242</v>
      </c>
      <c r="I36" s="62"/>
    </row>
    <row r="37">
      <c r="A37" s="657" t="s">
        <v>3243</v>
      </c>
      <c r="B37" s="64"/>
      <c r="D37" s="121"/>
      <c r="F37" s="490" t="s">
        <v>3244</v>
      </c>
      <c r="G37" s="62"/>
      <c r="I37" s="62"/>
    </row>
    <row r="38">
      <c r="A38" s="657" t="s">
        <v>3245</v>
      </c>
      <c r="B38" s="64"/>
      <c r="D38" s="121"/>
      <c r="F38" s="490" t="s">
        <v>3246</v>
      </c>
      <c r="G38" s="62"/>
      <c r="I38" s="62"/>
    </row>
    <row r="39">
      <c r="A39" s="657" t="s">
        <v>3247</v>
      </c>
      <c r="B39" s="64"/>
      <c r="D39" s="121"/>
      <c r="F39" s="490" t="s">
        <v>3248</v>
      </c>
      <c r="G39" s="62"/>
      <c r="I39" s="62"/>
    </row>
    <row r="40">
      <c r="A40" s="657" t="s">
        <v>3249</v>
      </c>
      <c r="B40" s="64"/>
      <c r="D40" s="121"/>
      <c r="F40" s="490" t="s">
        <v>3250</v>
      </c>
      <c r="G40" s="614" t="s">
        <v>3251</v>
      </c>
      <c r="I40" s="62"/>
    </row>
    <row r="41">
      <c r="A41" s="657" t="s">
        <v>3252</v>
      </c>
      <c r="B41" s="64"/>
      <c r="D41" s="121"/>
      <c r="F41" s="490" t="s">
        <v>3194</v>
      </c>
      <c r="G41" s="614" t="s">
        <v>3253</v>
      </c>
      <c r="I41" s="62"/>
    </row>
    <row r="42">
      <c r="A42" s="657" t="s">
        <v>3254</v>
      </c>
      <c r="B42" s="64"/>
      <c r="D42" s="121"/>
      <c r="F42" s="490" t="s">
        <v>3255</v>
      </c>
      <c r="G42" s="62"/>
      <c r="I42" s="62"/>
    </row>
    <row r="43">
      <c r="A43" s="657" t="s">
        <v>3256</v>
      </c>
      <c r="B43" s="64"/>
      <c r="D43" s="121"/>
      <c r="F43" s="490" t="s">
        <v>3257</v>
      </c>
      <c r="G43" s="614" t="s">
        <v>3258</v>
      </c>
      <c r="I43" s="62"/>
    </row>
    <row r="44">
      <c r="A44" s="657" t="s">
        <v>3259</v>
      </c>
      <c r="B44" s="64"/>
      <c r="D44" s="121"/>
      <c r="F44" s="490" t="s">
        <v>3260</v>
      </c>
      <c r="G44" s="614" t="s">
        <v>3261</v>
      </c>
      <c r="I44" s="62"/>
    </row>
    <row r="45">
      <c r="A45" s="657" t="s">
        <v>3262</v>
      </c>
      <c r="B45" s="64"/>
      <c r="D45" s="121"/>
      <c r="F45" s="490" t="s">
        <v>3263</v>
      </c>
      <c r="G45" s="614"/>
      <c r="I45" s="62"/>
    </row>
    <row r="46">
      <c r="A46" s="657" t="s">
        <v>3264</v>
      </c>
      <c r="B46" s="64"/>
      <c r="D46" s="121"/>
      <c r="F46" s="490" t="s">
        <v>3265</v>
      </c>
      <c r="G46" s="62"/>
      <c r="I46" s="62"/>
    </row>
    <row r="47">
      <c r="A47" s="657" t="s">
        <v>3266</v>
      </c>
      <c r="B47" s="64"/>
      <c r="D47" s="121"/>
      <c r="F47" s="490" t="s">
        <v>3267</v>
      </c>
      <c r="G47" s="62"/>
      <c r="I47" s="62"/>
    </row>
    <row r="48">
      <c r="A48" s="657" t="s">
        <v>3268</v>
      </c>
      <c r="B48" s="64"/>
      <c r="D48" s="121"/>
      <c r="F48" s="490" t="s">
        <v>3269</v>
      </c>
      <c r="G48" s="614" t="s">
        <v>3270</v>
      </c>
      <c r="I48" s="62"/>
    </row>
    <row r="49">
      <c r="A49" s="657" t="s">
        <v>3271</v>
      </c>
      <c r="B49" s="64"/>
      <c r="D49" s="121"/>
      <c r="F49" s="490" t="s">
        <v>3272</v>
      </c>
      <c r="G49" s="62"/>
      <c r="I49" s="62"/>
    </row>
    <row r="50">
      <c r="A50" s="657" t="s">
        <v>3273</v>
      </c>
      <c r="B50" s="64"/>
      <c r="D50" s="121"/>
      <c r="F50" s="490" t="s">
        <v>3274</v>
      </c>
      <c r="G50" s="614" t="s">
        <v>3275</v>
      </c>
      <c r="I50" s="62"/>
    </row>
    <row r="51">
      <c r="A51" s="657" t="s">
        <v>3276</v>
      </c>
      <c r="B51" s="64"/>
      <c r="D51" s="121"/>
      <c r="F51" s="490" t="s">
        <v>3277</v>
      </c>
      <c r="G51" s="614" t="s">
        <v>3278</v>
      </c>
      <c r="I51" s="62"/>
    </row>
    <row r="52">
      <c r="A52" s="657" t="s">
        <v>3279</v>
      </c>
      <c r="B52" s="64"/>
      <c r="D52" s="121"/>
      <c r="F52" s="490" t="s">
        <v>3280</v>
      </c>
      <c r="G52" s="614" t="s">
        <v>3281</v>
      </c>
      <c r="I52" s="62"/>
    </row>
    <row r="53">
      <c r="A53" s="657" t="s">
        <v>3282</v>
      </c>
      <c r="B53" s="64"/>
      <c r="D53" s="121"/>
      <c r="F53" s="490" t="s">
        <v>3283</v>
      </c>
      <c r="G53" s="62"/>
      <c r="I53" s="62"/>
    </row>
    <row r="54">
      <c r="A54" s="657" t="s">
        <v>3284</v>
      </c>
      <c r="B54" s="64"/>
      <c r="D54" s="121"/>
      <c r="F54" s="490" t="s">
        <v>3285</v>
      </c>
      <c r="G54" s="614" t="s">
        <v>3286</v>
      </c>
      <c r="I54" s="62"/>
    </row>
    <row r="55">
      <c r="A55" s="657" t="s">
        <v>3287</v>
      </c>
      <c r="B55" s="64"/>
      <c r="D55" s="121"/>
      <c r="F55" s="490" t="s">
        <v>3288</v>
      </c>
      <c r="G55" s="614" t="s">
        <v>3289</v>
      </c>
      <c r="I55" s="62"/>
    </row>
    <row r="56">
      <c r="A56" s="657" t="s">
        <v>3290</v>
      </c>
      <c r="B56" s="64"/>
      <c r="D56" s="121"/>
      <c r="F56" s="490" t="s">
        <v>3291</v>
      </c>
      <c r="G56" s="62"/>
      <c r="I56" s="62"/>
    </row>
    <row r="57">
      <c r="A57" s="657" t="s">
        <v>3292</v>
      </c>
      <c r="B57" s="64"/>
      <c r="D57" s="121"/>
      <c r="F57" s="490" t="s">
        <v>3293</v>
      </c>
      <c r="G57" s="614" t="s">
        <v>3294</v>
      </c>
      <c r="I57" s="62"/>
    </row>
    <row r="58">
      <c r="A58" s="657" t="s">
        <v>3295</v>
      </c>
      <c r="B58" s="64"/>
      <c r="D58" s="121"/>
      <c r="F58" s="490" t="s">
        <v>3296</v>
      </c>
      <c r="G58" s="614" t="s">
        <v>3297</v>
      </c>
      <c r="I58" s="62"/>
    </row>
    <row r="59">
      <c r="A59" s="657" t="s">
        <v>3298</v>
      </c>
      <c r="B59" s="64"/>
      <c r="D59" s="121"/>
      <c r="F59" s="490" t="s">
        <v>3299</v>
      </c>
      <c r="G59" s="614" t="s">
        <v>3297</v>
      </c>
      <c r="I59" s="62"/>
    </row>
    <row r="60">
      <c r="A60" s="657" t="s">
        <v>3300</v>
      </c>
      <c r="B60" s="64"/>
      <c r="D60" s="121"/>
      <c r="F60" s="365"/>
      <c r="G60" s="62"/>
      <c r="I60" s="62"/>
    </row>
    <row r="61">
      <c r="A61" s="657" t="s">
        <v>3301</v>
      </c>
      <c r="B61" s="64"/>
      <c r="D61" s="121"/>
      <c r="F61" s="365"/>
      <c r="G61" s="62"/>
      <c r="I61" s="62"/>
    </row>
    <row r="62">
      <c r="A62" s="657" t="s">
        <v>3302</v>
      </c>
      <c r="B62" s="64"/>
      <c r="D62" s="121"/>
      <c r="F62" s="365"/>
      <c r="G62" s="62"/>
      <c r="I62" s="62"/>
    </row>
    <row r="63">
      <c r="A63" s="657" t="s">
        <v>3303</v>
      </c>
      <c r="B63" s="64"/>
      <c r="D63" s="121"/>
      <c r="F63" s="365"/>
      <c r="G63" s="62"/>
      <c r="I63" s="62"/>
    </row>
    <row r="64">
      <c r="A64" s="657" t="s">
        <v>510</v>
      </c>
      <c r="B64" s="64"/>
      <c r="D64" s="121"/>
      <c r="F64" s="365"/>
      <c r="G64" s="62"/>
      <c r="I64" s="62"/>
    </row>
    <row r="65">
      <c r="A65" s="657" t="s">
        <v>3304</v>
      </c>
      <c r="B65" s="64"/>
      <c r="D65" s="121"/>
      <c r="F65" s="365"/>
      <c r="G65" s="62"/>
      <c r="I65" s="62"/>
    </row>
    <row r="66">
      <c r="A66" s="657" t="s">
        <v>3305</v>
      </c>
      <c r="B66" s="64"/>
      <c r="D66" s="121"/>
      <c r="F66" s="365"/>
      <c r="G66" s="62"/>
      <c r="I66" s="62"/>
    </row>
    <row r="67">
      <c r="A67" s="657" t="s">
        <v>3306</v>
      </c>
      <c r="B67" s="64"/>
      <c r="D67" s="121"/>
      <c r="F67" s="365"/>
      <c r="G67" s="62"/>
      <c r="I67" s="62"/>
    </row>
    <row r="68">
      <c r="A68" s="657" t="s">
        <v>3307</v>
      </c>
      <c r="B68" s="64"/>
      <c r="D68" s="121"/>
      <c r="F68" s="365"/>
      <c r="G68" s="62"/>
      <c r="I68" s="62"/>
    </row>
    <row r="69">
      <c r="A69" s="657" t="s">
        <v>3308</v>
      </c>
      <c r="B69" s="64"/>
      <c r="D69" s="121"/>
      <c r="F69" s="365"/>
      <c r="G69" s="62"/>
      <c r="I69" s="62"/>
    </row>
    <row r="70">
      <c r="A70" s="657" t="s">
        <v>3309</v>
      </c>
      <c r="B70" s="64"/>
      <c r="D70" s="121"/>
      <c r="F70" s="365"/>
      <c r="G70" s="62"/>
      <c r="I70" s="62"/>
    </row>
    <row r="71">
      <c r="A71" s="657" t="s">
        <v>3310</v>
      </c>
      <c r="B71" s="64"/>
      <c r="D71" s="121"/>
      <c r="F71" s="365"/>
      <c r="G71" s="62"/>
      <c r="I71" s="62"/>
    </row>
    <row r="72">
      <c r="A72" s="657" t="s">
        <v>3311</v>
      </c>
      <c r="B72" s="64"/>
      <c r="D72" s="121"/>
      <c r="F72" s="365"/>
      <c r="G72" s="62"/>
      <c r="I72" s="62"/>
    </row>
    <row r="73">
      <c r="A73" s="657" t="s">
        <v>3312</v>
      </c>
      <c r="B73" s="64"/>
      <c r="D73" s="121"/>
      <c r="F73" s="365"/>
      <c r="G73" s="62"/>
      <c r="I73" s="62"/>
    </row>
    <row r="74">
      <c r="A74" s="657" t="s">
        <v>3313</v>
      </c>
      <c r="B74" s="64"/>
      <c r="D74" s="121"/>
      <c r="F74" s="365"/>
      <c r="G74" s="62"/>
      <c r="I74" s="62"/>
    </row>
    <row r="75">
      <c r="A75" s="657" t="s">
        <v>3314</v>
      </c>
      <c r="B75" s="64"/>
      <c r="D75" s="121"/>
      <c r="F75" s="365"/>
      <c r="G75" s="62"/>
      <c r="I75" s="62"/>
    </row>
    <row r="76">
      <c r="A76" s="657" t="s">
        <v>3315</v>
      </c>
      <c r="B76" s="64"/>
      <c r="D76" s="121"/>
      <c r="F76" s="365"/>
      <c r="G76" s="62"/>
      <c r="I76" s="62"/>
    </row>
    <row r="77">
      <c r="A77" s="657" t="s">
        <v>3316</v>
      </c>
      <c r="B77" s="64"/>
      <c r="D77" s="121"/>
      <c r="F77" s="365"/>
      <c r="G77" s="62"/>
      <c r="I77" s="62"/>
    </row>
    <row r="78">
      <c r="A78" s="657" t="s">
        <v>3317</v>
      </c>
      <c r="B78" s="64"/>
      <c r="D78" s="121"/>
      <c r="F78" s="365"/>
      <c r="G78" s="62"/>
      <c r="I78" s="62"/>
    </row>
    <row r="79">
      <c r="A79" s="657" t="s">
        <v>3318</v>
      </c>
      <c r="B79" s="64"/>
      <c r="D79" s="121"/>
      <c r="F79" s="365"/>
      <c r="G79" s="62"/>
      <c r="I79" s="62"/>
    </row>
    <row r="80">
      <c r="A80" s="657" t="s">
        <v>3319</v>
      </c>
      <c r="B80" s="64"/>
      <c r="D80" s="121"/>
      <c r="F80" s="365"/>
      <c r="G80" s="62"/>
      <c r="I80" s="62"/>
    </row>
    <row r="81">
      <c r="A81" s="657" t="s">
        <v>3320</v>
      </c>
      <c r="B81" s="64"/>
      <c r="D81" s="121"/>
      <c r="F81" s="365"/>
      <c r="G81" s="62"/>
      <c r="I81" s="62"/>
    </row>
    <row r="82">
      <c r="A82" s="657" t="s">
        <v>3321</v>
      </c>
      <c r="B82" s="64"/>
      <c r="D82" s="121"/>
      <c r="F82" s="365"/>
      <c r="G82" s="62"/>
      <c r="I82" s="62"/>
    </row>
    <row r="83">
      <c r="A83" s="657" t="s">
        <v>3322</v>
      </c>
      <c r="B83" s="64"/>
      <c r="D83" s="121"/>
      <c r="F83" s="365"/>
      <c r="G83" s="62"/>
      <c r="I83" s="62"/>
    </row>
    <row r="84">
      <c r="A84" s="657" t="s">
        <v>3323</v>
      </c>
      <c r="B84" s="64"/>
      <c r="D84" s="121"/>
      <c r="F84" s="365"/>
      <c r="G84" s="62"/>
      <c r="I84" s="62"/>
    </row>
    <row r="85">
      <c r="A85" s="657" t="s">
        <v>3324</v>
      </c>
      <c r="B85" s="64"/>
      <c r="D85" s="121"/>
      <c r="F85" s="365"/>
      <c r="G85" s="62"/>
      <c r="I85" s="62"/>
    </row>
    <row r="86">
      <c r="A86" s="657" t="s">
        <v>3325</v>
      </c>
      <c r="B86" s="64"/>
      <c r="D86" s="121"/>
      <c r="F86" s="365"/>
      <c r="G86" s="62"/>
      <c r="I86" s="62"/>
    </row>
    <row r="87">
      <c r="A87" s="657" t="s">
        <v>3326</v>
      </c>
      <c r="B87" s="64"/>
      <c r="D87" s="121"/>
      <c r="F87" s="365"/>
      <c r="G87" s="62"/>
      <c r="I87" s="62"/>
    </row>
    <row r="88">
      <c r="A88" s="657" t="s">
        <v>3327</v>
      </c>
      <c r="B88" s="64"/>
      <c r="D88" s="121"/>
      <c r="F88" s="365"/>
      <c r="G88" s="62"/>
      <c r="I88" s="62"/>
    </row>
    <row r="89">
      <c r="A89" s="657" t="s">
        <v>3328</v>
      </c>
      <c r="B89" s="64"/>
      <c r="D89" s="121"/>
      <c r="F89" s="365"/>
      <c r="G89" s="62"/>
      <c r="I89" s="62"/>
    </row>
    <row r="90">
      <c r="A90" s="657" t="s">
        <v>3329</v>
      </c>
      <c r="B90" s="64"/>
      <c r="D90" s="121"/>
      <c r="F90" s="365"/>
      <c r="G90" s="62"/>
      <c r="I90" s="62"/>
    </row>
    <row r="91">
      <c r="A91" s="657" t="s">
        <v>3330</v>
      </c>
      <c r="B91" s="64"/>
      <c r="D91" s="121"/>
      <c r="F91" s="365"/>
      <c r="G91" s="62"/>
      <c r="I91" s="62"/>
    </row>
    <row r="92">
      <c r="A92" s="657" t="s">
        <v>3331</v>
      </c>
      <c r="B92" s="64"/>
      <c r="D92" s="121"/>
      <c r="F92" s="365"/>
      <c r="G92" s="62"/>
      <c r="I92" s="62"/>
    </row>
    <row r="93">
      <c r="A93" s="657" t="s">
        <v>3332</v>
      </c>
      <c r="B93" s="64"/>
      <c r="D93" s="121"/>
      <c r="F93" s="365"/>
      <c r="G93" s="62"/>
      <c r="I93" s="62"/>
    </row>
    <row r="94">
      <c r="A94" s="657" t="s">
        <v>3333</v>
      </c>
      <c r="B94" s="64"/>
      <c r="D94" s="121"/>
      <c r="F94" s="365"/>
      <c r="G94" s="62"/>
      <c r="I94" s="62"/>
    </row>
    <row r="95">
      <c r="A95" s="657" t="s">
        <v>3334</v>
      </c>
      <c r="B95" s="64"/>
      <c r="D95" s="121"/>
      <c r="F95" s="365"/>
      <c r="G95" s="62"/>
      <c r="I95" s="62"/>
    </row>
    <row r="96">
      <c r="A96" s="657" t="s">
        <v>3335</v>
      </c>
      <c r="B96" s="64"/>
      <c r="D96" s="121"/>
      <c r="F96" s="365"/>
      <c r="G96" s="62"/>
      <c r="I96" s="62"/>
    </row>
    <row r="97">
      <c r="A97" s="657" t="s">
        <v>3336</v>
      </c>
      <c r="B97" s="64"/>
      <c r="D97" s="121"/>
      <c r="F97" s="365"/>
      <c r="G97" s="62"/>
      <c r="I97" s="62"/>
    </row>
    <row r="98">
      <c r="A98" s="657" t="s">
        <v>3337</v>
      </c>
      <c r="B98" s="64"/>
      <c r="D98" s="121"/>
      <c r="F98" s="365"/>
      <c r="G98" s="62"/>
      <c r="I98" s="62"/>
    </row>
    <row r="99">
      <c r="A99" s="657" t="s">
        <v>3338</v>
      </c>
      <c r="B99" s="64"/>
      <c r="D99" s="121"/>
      <c r="F99" s="365"/>
      <c r="G99" s="62"/>
      <c r="I99" s="62"/>
    </row>
    <row r="100">
      <c r="A100" s="657" t="s">
        <v>3339</v>
      </c>
      <c r="B100" s="64"/>
      <c r="D100" s="121"/>
      <c r="F100" s="365"/>
      <c r="G100" s="62"/>
      <c r="I100" s="62"/>
    </row>
    <row r="101">
      <c r="A101" s="657" t="s">
        <v>3340</v>
      </c>
      <c r="B101" s="64"/>
      <c r="D101" s="121"/>
      <c r="F101" s="365"/>
      <c r="G101" s="62"/>
      <c r="I101" s="62"/>
    </row>
    <row r="102">
      <c r="A102" s="657" t="s">
        <v>3341</v>
      </c>
      <c r="B102" s="64"/>
      <c r="D102" s="121"/>
      <c r="F102" s="365"/>
      <c r="G102" s="62"/>
      <c r="I102" s="62"/>
    </row>
    <row r="103">
      <c r="A103" s="657" t="s">
        <v>3342</v>
      </c>
      <c r="B103" s="64"/>
      <c r="D103" s="121"/>
      <c r="F103" s="365"/>
      <c r="G103" s="62"/>
      <c r="I103" s="62"/>
    </row>
    <row r="104">
      <c r="A104" s="657" t="s">
        <v>3343</v>
      </c>
      <c r="B104" s="64"/>
      <c r="D104" s="121"/>
      <c r="F104" s="365"/>
      <c r="G104" s="62"/>
      <c r="I104" s="62"/>
    </row>
    <row r="105">
      <c r="A105" s="657" t="s">
        <v>3344</v>
      </c>
      <c r="B105" s="64"/>
      <c r="D105" s="121"/>
      <c r="F105" s="365"/>
      <c r="G105" s="62"/>
      <c r="I105" s="62"/>
    </row>
    <row r="106">
      <c r="A106" s="657" t="s">
        <v>3345</v>
      </c>
      <c r="B106" s="64"/>
      <c r="D106" s="121"/>
      <c r="F106" s="365"/>
      <c r="G106" s="62"/>
      <c r="I106" s="62"/>
    </row>
    <row r="107">
      <c r="A107" s="657" t="s">
        <v>3346</v>
      </c>
      <c r="B107" s="64"/>
      <c r="D107" s="121"/>
      <c r="F107" s="365"/>
      <c r="G107" s="62"/>
      <c r="I107" s="62"/>
    </row>
    <row r="108">
      <c r="A108" s="657" t="s">
        <v>3347</v>
      </c>
      <c r="B108" s="64"/>
      <c r="D108" s="121"/>
      <c r="F108" s="365"/>
      <c r="G108" s="62"/>
      <c r="I108" s="62"/>
    </row>
    <row r="109">
      <c r="A109" s="657" t="s">
        <v>3348</v>
      </c>
      <c r="B109" s="64"/>
      <c r="D109" s="121"/>
      <c r="F109" s="365"/>
      <c r="G109" s="62"/>
      <c r="I109" s="62"/>
    </row>
    <row r="110">
      <c r="A110" s="657" t="s">
        <v>3349</v>
      </c>
      <c r="B110" s="64"/>
      <c r="D110" s="121"/>
      <c r="F110" s="365"/>
      <c r="G110" s="62"/>
      <c r="I110" s="62"/>
    </row>
    <row r="111">
      <c r="A111" s="657" t="s">
        <v>3350</v>
      </c>
      <c r="B111" s="64"/>
      <c r="D111" s="121"/>
      <c r="F111" s="365"/>
      <c r="G111" s="62"/>
      <c r="I111" s="62"/>
    </row>
    <row r="112">
      <c r="A112" s="657" t="s">
        <v>3351</v>
      </c>
      <c r="B112" s="64"/>
      <c r="D112" s="121"/>
      <c r="F112" s="365"/>
      <c r="G112" s="62"/>
      <c r="I112" s="62"/>
    </row>
    <row r="113">
      <c r="A113" s="657" t="s">
        <v>3352</v>
      </c>
      <c r="B113" s="64"/>
      <c r="D113" s="121"/>
      <c r="F113" s="365"/>
      <c r="G113" s="62"/>
      <c r="I113" s="62"/>
    </row>
    <row r="114">
      <c r="A114" s="657" t="s">
        <v>3353</v>
      </c>
      <c r="B114" s="64"/>
      <c r="D114" s="121"/>
      <c r="F114" s="365"/>
      <c r="G114" s="62"/>
      <c r="I114" s="62"/>
    </row>
    <row r="115">
      <c r="A115" s="657" t="s">
        <v>3354</v>
      </c>
      <c r="B115" s="64"/>
      <c r="D115" s="121"/>
      <c r="F115" s="365"/>
      <c r="G115" s="62"/>
      <c r="I115" s="62"/>
    </row>
    <row r="116">
      <c r="A116" s="657" t="s">
        <v>3355</v>
      </c>
      <c r="B116" s="64"/>
      <c r="D116" s="121"/>
      <c r="F116" s="365"/>
      <c r="G116" s="62"/>
      <c r="I116" s="62"/>
    </row>
    <row r="117">
      <c r="A117" s="657" t="s">
        <v>3356</v>
      </c>
      <c r="B117" s="64"/>
      <c r="D117" s="121"/>
      <c r="F117" s="365"/>
      <c r="G117" s="62"/>
      <c r="I117" s="62"/>
    </row>
    <row r="118">
      <c r="A118" s="657" t="s">
        <v>3357</v>
      </c>
      <c r="B118" s="64"/>
      <c r="D118" s="121"/>
      <c r="F118" s="365"/>
      <c r="G118" s="62"/>
      <c r="I118" s="62"/>
    </row>
    <row r="119">
      <c r="A119" s="64"/>
      <c r="B119" s="64"/>
      <c r="D119" s="121"/>
      <c r="F119" s="365"/>
      <c r="G119" s="62"/>
      <c r="I119" s="62"/>
    </row>
    <row r="120">
      <c r="A120" s="64"/>
      <c r="B120" s="64"/>
      <c r="D120" s="121"/>
      <c r="F120" s="365"/>
      <c r="G120" s="62"/>
      <c r="I120" s="62"/>
    </row>
    <row r="121">
      <c r="A121" s="64"/>
      <c r="B121" s="64"/>
      <c r="D121" s="121"/>
      <c r="F121" s="365"/>
      <c r="G121" s="62"/>
      <c r="I121" s="62"/>
    </row>
    <row r="122">
      <c r="A122" s="64"/>
      <c r="B122" s="64"/>
      <c r="D122" s="121"/>
      <c r="F122" s="365"/>
      <c r="G122" s="62"/>
      <c r="I122" s="62"/>
    </row>
    <row r="123">
      <c r="A123" s="64"/>
      <c r="B123" s="64"/>
      <c r="D123" s="121"/>
      <c r="F123" s="365"/>
      <c r="G123" s="62"/>
      <c r="I123" s="62"/>
    </row>
    <row r="124">
      <c r="A124" s="64"/>
      <c r="B124" s="64"/>
      <c r="D124" s="121"/>
      <c r="F124" s="365"/>
      <c r="G124" s="62"/>
      <c r="I124" s="62"/>
    </row>
    <row r="125">
      <c r="A125" s="64"/>
      <c r="B125" s="64"/>
      <c r="D125" s="121"/>
      <c r="F125" s="365"/>
      <c r="G125" s="62"/>
      <c r="I125" s="62"/>
    </row>
    <row r="126">
      <c r="A126" s="64"/>
      <c r="B126" s="64"/>
      <c r="D126" s="121"/>
      <c r="F126" s="365"/>
      <c r="G126" s="62"/>
      <c r="I126" s="62"/>
    </row>
    <row r="127">
      <c r="A127" s="64"/>
      <c r="B127" s="64"/>
      <c r="D127" s="121"/>
      <c r="F127" s="365"/>
      <c r="G127" s="62"/>
      <c r="I127" s="62"/>
    </row>
    <row r="128">
      <c r="A128" s="64"/>
      <c r="B128" s="64"/>
      <c r="D128" s="121"/>
      <c r="F128" s="365"/>
      <c r="G128" s="62"/>
      <c r="I128" s="62"/>
    </row>
    <row r="129">
      <c r="A129" s="64"/>
      <c r="B129" s="64"/>
      <c r="D129" s="121"/>
      <c r="F129" s="365"/>
      <c r="G129" s="62"/>
      <c r="I129" s="62"/>
    </row>
    <row r="130">
      <c r="A130" s="64"/>
      <c r="B130" s="64"/>
      <c r="D130" s="121"/>
      <c r="F130" s="365"/>
      <c r="G130" s="62"/>
      <c r="I130" s="62"/>
    </row>
    <row r="131">
      <c r="A131" s="64"/>
      <c r="B131" s="64"/>
      <c r="D131" s="121"/>
      <c r="F131" s="365"/>
      <c r="G131" s="62"/>
      <c r="I131" s="62"/>
    </row>
    <row r="132">
      <c r="A132" s="64"/>
      <c r="B132" s="64"/>
      <c r="D132" s="121"/>
      <c r="F132" s="365"/>
      <c r="G132" s="62"/>
      <c r="I132" s="62"/>
    </row>
    <row r="133">
      <c r="A133" s="64"/>
      <c r="B133" s="64"/>
      <c r="D133" s="121"/>
      <c r="F133" s="365"/>
      <c r="G133" s="62"/>
      <c r="I133" s="62"/>
    </row>
    <row r="134">
      <c r="A134" s="64"/>
      <c r="B134" s="64"/>
      <c r="D134" s="121"/>
      <c r="F134" s="365"/>
      <c r="G134" s="62"/>
      <c r="I134" s="62"/>
    </row>
    <row r="135">
      <c r="A135" s="64"/>
      <c r="B135" s="64"/>
      <c r="D135" s="121"/>
      <c r="F135" s="365"/>
      <c r="G135" s="62"/>
      <c r="I135" s="62"/>
    </row>
    <row r="136">
      <c r="A136" s="64"/>
      <c r="B136" s="64"/>
      <c r="D136" s="121"/>
      <c r="F136" s="365"/>
      <c r="G136" s="62"/>
      <c r="I136" s="62"/>
    </row>
    <row r="137">
      <c r="A137" s="64"/>
      <c r="B137" s="64"/>
      <c r="D137" s="121"/>
      <c r="F137" s="365"/>
      <c r="G137" s="62"/>
      <c r="I137" s="62"/>
    </row>
    <row r="138">
      <c r="A138" s="64"/>
      <c r="B138" s="64"/>
      <c r="D138" s="121"/>
      <c r="F138" s="365"/>
      <c r="G138" s="62"/>
      <c r="I138" s="62"/>
    </row>
    <row r="139">
      <c r="A139" s="64"/>
      <c r="B139" s="64"/>
      <c r="D139" s="121"/>
      <c r="F139" s="365"/>
      <c r="G139" s="62"/>
      <c r="I139" s="62"/>
    </row>
    <row r="140">
      <c r="A140" s="64"/>
      <c r="B140" s="64"/>
      <c r="D140" s="121"/>
      <c r="F140" s="365"/>
      <c r="G140" s="62"/>
      <c r="I140" s="62"/>
    </row>
    <row r="141">
      <c r="A141" s="64"/>
      <c r="B141" s="64"/>
      <c r="D141" s="121"/>
      <c r="F141" s="365"/>
      <c r="G141" s="62"/>
      <c r="I141" s="62"/>
    </row>
    <row r="142">
      <c r="A142" s="64"/>
      <c r="B142" s="64"/>
      <c r="D142" s="121"/>
      <c r="F142" s="365"/>
      <c r="G142" s="62"/>
      <c r="I142" s="62"/>
    </row>
    <row r="143">
      <c r="A143" s="64"/>
      <c r="B143" s="64"/>
      <c r="D143" s="121"/>
      <c r="F143" s="365"/>
      <c r="G143" s="62"/>
      <c r="I143" s="62"/>
    </row>
    <row r="144">
      <c r="A144" s="64"/>
      <c r="B144" s="64"/>
      <c r="D144" s="121"/>
      <c r="F144" s="365"/>
      <c r="G144" s="62"/>
      <c r="I144" s="62"/>
    </row>
    <row r="145">
      <c r="A145" s="64"/>
      <c r="B145" s="64"/>
      <c r="D145" s="121"/>
      <c r="F145" s="365"/>
      <c r="G145" s="62"/>
      <c r="I145" s="62"/>
    </row>
    <row r="146">
      <c r="A146" s="64"/>
      <c r="B146" s="64"/>
      <c r="D146" s="121"/>
      <c r="F146" s="365"/>
      <c r="G146" s="62"/>
      <c r="I146" s="62"/>
    </row>
    <row r="147">
      <c r="A147" s="64"/>
      <c r="B147" s="64"/>
      <c r="D147" s="121"/>
      <c r="F147" s="365"/>
      <c r="G147" s="62"/>
      <c r="I147" s="62"/>
    </row>
    <row r="148">
      <c r="A148" s="64"/>
      <c r="B148" s="64"/>
      <c r="D148" s="121"/>
      <c r="F148" s="365"/>
      <c r="G148" s="62"/>
      <c r="I148" s="62"/>
    </row>
    <row r="149">
      <c r="A149" s="64"/>
      <c r="B149" s="64"/>
      <c r="D149" s="121"/>
      <c r="F149" s="365"/>
      <c r="G149" s="62"/>
      <c r="I149" s="62"/>
    </row>
    <row r="150">
      <c r="A150" s="64"/>
      <c r="B150" s="64"/>
      <c r="D150" s="121"/>
      <c r="F150" s="365"/>
      <c r="G150" s="62"/>
      <c r="I150" s="62"/>
    </row>
    <row r="151">
      <c r="A151" s="64"/>
      <c r="B151" s="64"/>
      <c r="D151" s="121"/>
      <c r="F151" s="365"/>
      <c r="G151" s="62"/>
      <c r="I151" s="62"/>
    </row>
    <row r="152">
      <c r="A152" s="64"/>
      <c r="B152" s="64"/>
      <c r="D152" s="121"/>
      <c r="F152" s="365"/>
      <c r="G152" s="62"/>
      <c r="I152" s="62"/>
    </row>
    <row r="153">
      <c r="A153" s="64"/>
      <c r="B153" s="64"/>
      <c r="D153" s="121"/>
      <c r="F153" s="365"/>
      <c r="G153" s="62"/>
      <c r="I153" s="62"/>
    </row>
    <row r="154">
      <c r="A154" s="64"/>
      <c r="B154" s="64"/>
      <c r="D154" s="121"/>
      <c r="F154" s="365"/>
      <c r="G154" s="62"/>
      <c r="I154" s="62"/>
    </row>
    <row r="155">
      <c r="A155" s="64"/>
      <c r="B155" s="64"/>
      <c r="D155" s="121"/>
      <c r="F155" s="365"/>
      <c r="G155" s="62"/>
      <c r="I155" s="62"/>
    </row>
    <row r="156">
      <c r="A156" s="64"/>
      <c r="B156" s="64"/>
      <c r="D156" s="121"/>
      <c r="F156" s="365"/>
      <c r="G156" s="62"/>
      <c r="I156" s="62"/>
    </row>
    <row r="157">
      <c r="A157" s="64"/>
      <c r="B157" s="64"/>
      <c r="D157" s="121"/>
      <c r="F157" s="365"/>
      <c r="G157" s="62"/>
      <c r="I157" s="62"/>
    </row>
    <row r="158">
      <c r="A158" s="64"/>
      <c r="B158" s="64"/>
      <c r="D158" s="121"/>
      <c r="F158" s="365"/>
      <c r="G158" s="62"/>
      <c r="I158" s="62"/>
    </row>
    <row r="159">
      <c r="A159" s="64"/>
      <c r="B159" s="64"/>
      <c r="D159" s="121"/>
      <c r="F159" s="365"/>
      <c r="G159" s="62"/>
      <c r="I159" s="62"/>
    </row>
    <row r="160">
      <c r="A160" s="64"/>
      <c r="B160" s="64"/>
      <c r="D160" s="121"/>
      <c r="F160" s="365"/>
      <c r="G160" s="62"/>
      <c r="I160" s="62"/>
    </row>
    <row r="161">
      <c r="A161" s="64"/>
      <c r="B161" s="64"/>
      <c r="D161" s="121"/>
      <c r="F161" s="365"/>
      <c r="G161" s="62"/>
      <c r="I161" s="62"/>
    </row>
    <row r="162">
      <c r="A162" s="64"/>
      <c r="B162" s="64"/>
      <c r="D162" s="121"/>
      <c r="F162" s="365"/>
      <c r="G162" s="62"/>
      <c r="I162" s="62"/>
    </row>
    <row r="163">
      <c r="A163" s="64"/>
      <c r="B163" s="64"/>
      <c r="D163" s="121"/>
      <c r="F163" s="365"/>
      <c r="G163" s="62"/>
      <c r="I163" s="62"/>
    </row>
    <row r="164">
      <c r="A164" s="64"/>
      <c r="B164" s="64"/>
      <c r="D164" s="121"/>
      <c r="F164" s="365"/>
      <c r="G164" s="62"/>
      <c r="I164" s="62"/>
    </row>
    <row r="165">
      <c r="A165" s="64"/>
      <c r="B165" s="64"/>
      <c r="D165" s="121"/>
      <c r="F165" s="365"/>
      <c r="G165" s="62"/>
      <c r="I165" s="62"/>
    </row>
    <row r="166">
      <c r="A166" s="64"/>
      <c r="B166" s="64"/>
      <c r="D166" s="121"/>
      <c r="F166" s="365"/>
      <c r="G166" s="62"/>
      <c r="I166" s="62"/>
    </row>
    <row r="167">
      <c r="A167" s="64"/>
      <c r="B167" s="64"/>
      <c r="D167" s="121"/>
      <c r="F167" s="365"/>
      <c r="G167" s="62"/>
      <c r="I167" s="62"/>
    </row>
    <row r="168">
      <c r="A168" s="64"/>
      <c r="B168" s="64"/>
      <c r="D168" s="121"/>
      <c r="F168" s="365"/>
      <c r="G168" s="62"/>
      <c r="I168" s="62"/>
    </row>
    <row r="169">
      <c r="A169" s="64"/>
      <c r="B169" s="64"/>
      <c r="D169" s="121"/>
      <c r="F169" s="365"/>
      <c r="G169" s="62"/>
      <c r="I169" s="62"/>
    </row>
    <row r="170">
      <c r="A170" s="64"/>
      <c r="B170" s="64"/>
      <c r="D170" s="121"/>
      <c r="F170" s="365"/>
      <c r="G170" s="62"/>
      <c r="I170" s="62"/>
    </row>
    <row r="171">
      <c r="A171" s="64"/>
      <c r="B171" s="64"/>
      <c r="D171" s="121"/>
      <c r="F171" s="365"/>
      <c r="G171" s="62"/>
      <c r="I171" s="62"/>
    </row>
    <row r="172">
      <c r="A172" s="64"/>
      <c r="B172" s="64"/>
      <c r="D172" s="121"/>
      <c r="F172" s="365"/>
      <c r="G172" s="62"/>
      <c r="I172" s="62"/>
    </row>
    <row r="173">
      <c r="A173" s="64"/>
      <c r="B173" s="64"/>
      <c r="D173" s="121"/>
      <c r="F173" s="365"/>
      <c r="G173" s="62"/>
      <c r="I173" s="62"/>
    </row>
    <row r="174">
      <c r="A174" s="64"/>
      <c r="B174" s="64"/>
      <c r="D174" s="121"/>
      <c r="F174" s="365"/>
      <c r="G174" s="62"/>
      <c r="I174" s="62"/>
    </row>
    <row r="175">
      <c r="A175" s="64"/>
      <c r="B175" s="64"/>
      <c r="D175" s="121"/>
      <c r="F175" s="365"/>
      <c r="G175" s="62"/>
      <c r="I175" s="62"/>
    </row>
    <row r="176">
      <c r="A176" s="64"/>
      <c r="B176" s="64"/>
      <c r="D176" s="121"/>
      <c r="F176" s="365"/>
      <c r="G176" s="62"/>
      <c r="I176" s="62"/>
    </row>
    <row r="177">
      <c r="A177" s="64"/>
      <c r="B177" s="64"/>
      <c r="D177" s="121"/>
      <c r="F177" s="365"/>
      <c r="G177" s="62"/>
      <c r="I177" s="62"/>
    </row>
    <row r="178">
      <c r="A178" s="64"/>
      <c r="B178" s="64"/>
      <c r="D178" s="121"/>
      <c r="F178" s="365"/>
      <c r="G178" s="62"/>
      <c r="I178" s="62"/>
    </row>
    <row r="179">
      <c r="A179" s="64"/>
      <c r="B179" s="64"/>
      <c r="D179" s="121"/>
      <c r="F179" s="365"/>
      <c r="G179" s="62"/>
      <c r="I179" s="62"/>
    </row>
    <row r="180">
      <c r="A180" s="64"/>
      <c r="B180" s="64"/>
      <c r="D180" s="121"/>
      <c r="F180" s="365"/>
      <c r="G180" s="62"/>
      <c r="I180" s="62"/>
    </row>
    <row r="181">
      <c r="A181" s="64"/>
      <c r="B181" s="64"/>
      <c r="D181" s="121"/>
      <c r="F181" s="365"/>
      <c r="G181" s="62"/>
      <c r="I181" s="62"/>
    </row>
    <row r="182">
      <c r="A182" s="64"/>
      <c r="B182" s="64"/>
      <c r="D182" s="121"/>
      <c r="F182" s="365"/>
      <c r="G182" s="62"/>
      <c r="I182" s="62"/>
    </row>
    <row r="183">
      <c r="A183" s="64"/>
      <c r="B183" s="64"/>
      <c r="D183" s="121"/>
      <c r="F183" s="365"/>
      <c r="G183" s="62"/>
      <c r="I183" s="62"/>
    </row>
    <row r="184">
      <c r="A184" s="64"/>
      <c r="B184" s="64"/>
      <c r="D184" s="121"/>
      <c r="F184" s="365"/>
      <c r="G184" s="62"/>
      <c r="I184" s="62"/>
    </row>
    <row r="185">
      <c r="A185" s="64"/>
      <c r="B185" s="64"/>
      <c r="D185" s="121"/>
      <c r="F185" s="365"/>
      <c r="G185" s="62"/>
      <c r="I185" s="62"/>
    </row>
    <row r="186">
      <c r="A186" s="64"/>
      <c r="B186" s="64"/>
      <c r="D186" s="121"/>
      <c r="F186" s="365"/>
      <c r="G186" s="62"/>
      <c r="I186" s="62"/>
    </row>
    <row r="187">
      <c r="A187" s="64"/>
      <c r="B187" s="64"/>
      <c r="D187" s="121"/>
      <c r="F187" s="365"/>
      <c r="G187" s="62"/>
      <c r="I187" s="62"/>
    </row>
    <row r="188">
      <c r="A188" s="64"/>
      <c r="B188" s="64"/>
      <c r="D188" s="121"/>
      <c r="F188" s="365"/>
      <c r="G188" s="62"/>
      <c r="I188" s="62"/>
    </row>
    <row r="189">
      <c r="A189" s="64"/>
      <c r="B189" s="64"/>
      <c r="D189" s="121"/>
      <c r="F189" s="365"/>
      <c r="G189" s="62"/>
      <c r="I189" s="62"/>
    </row>
    <row r="190">
      <c r="A190" s="64"/>
      <c r="B190" s="64"/>
      <c r="D190" s="121"/>
      <c r="F190" s="365"/>
      <c r="G190" s="62"/>
      <c r="I190" s="62"/>
    </row>
    <row r="191">
      <c r="A191" s="64"/>
      <c r="B191" s="64"/>
      <c r="D191" s="121"/>
      <c r="F191" s="365"/>
      <c r="G191" s="62"/>
      <c r="I191" s="62"/>
    </row>
    <row r="192">
      <c r="A192" s="64"/>
      <c r="B192" s="64"/>
      <c r="D192" s="121"/>
      <c r="F192" s="365"/>
      <c r="G192" s="62"/>
      <c r="I192" s="62"/>
    </row>
    <row r="193">
      <c r="A193" s="64"/>
      <c r="B193" s="64"/>
      <c r="D193" s="121"/>
      <c r="F193" s="365"/>
      <c r="G193" s="62"/>
      <c r="I193" s="62"/>
    </row>
    <row r="194">
      <c r="A194" s="64"/>
      <c r="B194" s="64"/>
      <c r="D194" s="121"/>
      <c r="F194" s="365"/>
      <c r="G194" s="62"/>
      <c r="I194" s="62"/>
    </row>
    <row r="195">
      <c r="A195" s="64"/>
      <c r="B195" s="64"/>
      <c r="D195" s="121"/>
      <c r="F195" s="365"/>
      <c r="G195" s="62"/>
      <c r="I195" s="62"/>
    </row>
    <row r="196">
      <c r="A196" s="64"/>
      <c r="B196" s="64"/>
      <c r="D196" s="121"/>
      <c r="F196" s="365"/>
      <c r="G196" s="62"/>
      <c r="I196" s="62"/>
    </row>
    <row r="197">
      <c r="A197" s="64"/>
      <c r="B197" s="64"/>
      <c r="D197" s="121"/>
      <c r="F197" s="365"/>
      <c r="G197" s="62"/>
      <c r="I197" s="62"/>
    </row>
    <row r="198">
      <c r="A198" s="64"/>
      <c r="B198" s="64"/>
      <c r="D198" s="121"/>
      <c r="F198" s="365"/>
      <c r="G198" s="62"/>
      <c r="I198" s="62"/>
    </row>
    <row r="199">
      <c r="A199" s="64"/>
      <c r="B199" s="64"/>
      <c r="D199" s="121"/>
      <c r="F199" s="365"/>
      <c r="G199" s="62"/>
      <c r="I199" s="62"/>
    </row>
    <row r="200">
      <c r="A200" s="64"/>
      <c r="B200" s="64"/>
      <c r="D200" s="121"/>
      <c r="F200" s="365"/>
      <c r="G200" s="62"/>
      <c r="I200" s="62"/>
    </row>
    <row r="201">
      <c r="A201" s="64"/>
      <c r="B201" s="64"/>
      <c r="D201" s="121"/>
      <c r="F201" s="365"/>
      <c r="G201" s="62"/>
      <c r="I201" s="62"/>
    </row>
    <row r="202">
      <c r="A202" s="64"/>
      <c r="B202" s="64"/>
      <c r="D202" s="121"/>
      <c r="F202" s="365"/>
      <c r="G202" s="62"/>
      <c r="I202" s="62"/>
    </row>
    <row r="203">
      <c r="A203" s="64"/>
      <c r="B203" s="64"/>
      <c r="D203" s="121"/>
      <c r="F203" s="365"/>
      <c r="G203" s="62"/>
      <c r="I203" s="62"/>
    </row>
    <row r="204">
      <c r="A204" s="64"/>
      <c r="B204" s="64"/>
      <c r="D204" s="121"/>
      <c r="F204" s="365"/>
      <c r="G204" s="62"/>
      <c r="I204" s="62"/>
    </row>
    <row r="205">
      <c r="A205" s="64"/>
      <c r="B205" s="64"/>
      <c r="D205" s="121"/>
      <c r="F205" s="365"/>
      <c r="G205" s="62"/>
      <c r="I205" s="62"/>
    </row>
    <row r="206">
      <c r="A206" s="64"/>
      <c r="B206" s="64"/>
      <c r="D206" s="121"/>
      <c r="F206" s="365"/>
      <c r="G206" s="62"/>
      <c r="I206" s="62"/>
    </row>
    <row r="207">
      <c r="A207" s="64"/>
      <c r="B207" s="64"/>
      <c r="D207" s="121"/>
      <c r="F207" s="365"/>
      <c r="G207" s="62"/>
      <c r="I207" s="62"/>
    </row>
    <row r="208">
      <c r="A208" s="64"/>
      <c r="B208" s="64"/>
      <c r="D208" s="121"/>
      <c r="F208" s="365"/>
      <c r="G208" s="62"/>
      <c r="I208" s="62"/>
    </row>
    <row r="209">
      <c r="A209" s="64"/>
      <c r="B209" s="64"/>
      <c r="D209" s="121"/>
      <c r="F209" s="365"/>
      <c r="G209" s="62"/>
      <c r="I209" s="62"/>
    </row>
    <row r="210">
      <c r="A210" s="64"/>
      <c r="B210" s="64"/>
      <c r="D210" s="121"/>
      <c r="F210" s="365"/>
      <c r="G210" s="62"/>
      <c r="I210" s="62"/>
    </row>
    <row r="211">
      <c r="A211" s="64"/>
      <c r="B211" s="64"/>
      <c r="D211" s="121"/>
      <c r="F211" s="365"/>
      <c r="G211" s="62"/>
      <c r="I211" s="62"/>
    </row>
    <row r="212">
      <c r="A212" s="64"/>
      <c r="B212" s="64"/>
      <c r="D212" s="121"/>
      <c r="F212" s="365"/>
      <c r="G212" s="62"/>
      <c r="I212" s="62"/>
    </row>
    <row r="213">
      <c r="A213" s="64"/>
      <c r="B213" s="64"/>
      <c r="D213" s="121"/>
      <c r="F213" s="365"/>
      <c r="G213" s="62"/>
      <c r="I213" s="62"/>
    </row>
    <row r="214">
      <c r="A214" s="64"/>
      <c r="B214" s="64"/>
      <c r="D214" s="121"/>
      <c r="F214" s="365"/>
      <c r="G214" s="62"/>
      <c r="I214" s="62"/>
    </row>
    <row r="215">
      <c r="A215" s="64"/>
      <c r="B215" s="64"/>
      <c r="D215" s="121"/>
      <c r="F215" s="365"/>
      <c r="G215" s="62"/>
      <c r="I215" s="62"/>
    </row>
    <row r="216">
      <c r="A216" s="64"/>
      <c r="B216" s="64"/>
      <c r="D216" s="121"/>
      <c r="F216" s="365"/>
      <c r="G216" s="62"/>
      <c r="I216" s="62"/>
    </row>
    <row r="217">
      <c r="A217" s="64"/>
      <c r="B217" s="64"/>
      <c r="D217" s="121"/>
      <c r="F217" s="365"/>
      <c r="G217" s="62"/>
      <c r="I217" s="62"/>
    </row>
    <row r="218">
      <c r="A218" s="64"/>
      <c r="B218" s="64"/>
      <c r="D218" s="121"/>
      <c r="F218" s="365"/>
      <c r="G218" s="62"/>
      <c r="I218" s="62"/>
    </row>
    <row r="219">
      <c r="A219" s="64"/>
      <c r="B219" s="64"/>
      <c r="D219" s="121"/>
      <c r="F219" s="365"/>
      <c r="G219" s="62"/>
      <c r="I219" s="62"/>
    </row>
    <row r="220">
      <c r="A220" s="64"/>
      <c r="B220" s="64"/>
      <c r="D220" s="121"/>
      <c r="F220" s="365"/>
      <c r="G220" s="62"/>
      <c r="I220" s="62"/>
    </row>
    <row r="221">
      <c r="A221" s="64"/>
      <c r="B221" s="64"/>
      <c r="D221" s="121"/>
      <c r="F221" s="365"/>
      <c r="G221" s="62"/>
      <c r="I221" s="62"/>
    </row>
    <row r="222">
      <c r="A222" s="64"/>
      <c r="B222" s="64"/>
      <c r="D222" s="121"/>
      <c r="F222" s="365"/>
      <c r="G222" s="62"/>
      <c r="I222" s="62"/>
    </row>
    <row r="223">
      <c r="A223" s="64"/>
      <c r="B223" s="64"/>
      <c r="D223" s="121"/>
      <c r="F223" s="365"/>
      <c r="G223" s="62"/>
      <c r="I223" s="62"/>
    </row>
    <row r="224">
      <c r="A224" s="64"/>
      <c r="B224" s="64"/>
      <c r="D224" s="121"/>
      <c r="F224" s="365"/>
      <c r="G224" s="62"/>
      <c r="I224" s="62"/>
    </row>
    <row r="225">
      <c r="A225" s="64"/>
      <c r="B225" s="64"/>
      <c r="D225" s="121"/>
      <c r="F225" s="365"/>
      <c r="G225" s="62"/>
      <c r="I225" s="62"/>
    </row>
    <row r="226">
      <c r="A226" s="64"/>
      <c r="B226" s="64"/>
      <c r="D226" s="121"/>
      <c r="F226" s="365"/>
      <c r="G226" s="62"/>
      <c r="I226" s="62"/>
    </row>
    <row r="227">
      <c r="A227" s="64"/>
      <c r="B227" s="64"/>
      <c r="D227" s="121"/>
      <c r="F227" s="365"/>
      <c r="G227" s="62"/>
      <c r="I227" s="62"/>
    </row>
    <row r="228">
      <c r="A228" s="64"/>
      <c r="B228" s="64"/>
      <c r="D228" s="121"/>
      <c r="F228" s="365"/>
      <c r="G228" s="62"/>
      <c r="I228" s="62"/>
    </row>
    <row r="229">
      <c r="A229" s="64"/>
      <c r="B229" s="64"/>
      <c r="D229" s="121"/>
      <c r="F229" s="365"/>
      <c r="G229" s="62"/>
      <c r="I229" s="62"/>
    </row>
    <row r="230">
      <c r="A230" s="64"/>
      <c r="B230" s="64"/>
      <c r="D230" s="121"/>
      <c r="F230" s="365"/>
      <c r="G230" s="62"/>
      <c r="I230" s="62"/>
    </row>
    <row r="231">
      <c r="A231" s="64"/>
      <c r="B231" s="64"/>
      <c r="D231" s="121"/>
      <c r="F231" s="365"/>
      <c r="G231" s="62"/>
      <c r="I231" s="62"/>
    </row>
    <row r="232">
      <c r="A232" s="64"/>
      <c r="B232" s="64"/>
      <c r="D232" s="121"/>
      <c r="F232" s="365"/>
      <c r="G232" s="62"/>
      <c r="I232" s="62"/>
    </row>
    <row r="233">
      <c r="A233" s="64"/>
      <c r="B233" s="64"/>
      <c r="D233" s="121"/>
      <c r="F233" s="365"/>
      <c r="G233" s="62"/>
      <c r="I233" s="62"/>
    </row>
    <row r="234">
      <c r="A234" s="64"/>
      <c r="B234" s="64"/>
      <c r="D234" s="121"/>
      <c r="F234" s="365"/>
      <c r="G234" s="62"/>
      <c r="I234" s="62"/>
    </row>
    <row r="235">
      <c r="A235" s="64"/>
      <c r="B235" s="64"/>
      <c r="D235" s="121"/>
      <c r="F235" s="365"/>
      <c r="G235" s="62"/>
      <c r="I235" s="62"/>
    </row>
    <row r="236">
      <c r="A236" s="64"/>
      <c r="B236" s="64"/>
      <c r="D236" s="121"/>
      <c r="F236" s="365"/>
      <c r="G236" s="62"/>
      <c r="I236" s="62"/>
    </row>
    <row r="237">
      <c r="A237" s="64"/>
      <c r="B237" s="64"/>
      <c r="D237" s="121"/>
      <c r="F237" s="365"/>
      <c r="G237" s="62"/>
      <c r="I237" s="62"/>
    </row>
    <row r="238">
      <c r="A238" s="64"/>
      <c r="B238" s="64"/>
      <c r="D238" s="121"/>
      <c r="F238" s="365"/>
      <c r="G238" s="62"/>
      <c r="I238" s="62"/>
    </row>
    <row r="239">
      <c r="A239" s="64"/>
      <c r="B239" s="64"/>
      <c r="D239" s="121"/>
      <c r="F239" s="365"/>
      <c r="G239" s="62"/>
      <c r="I239" s="62"/>
    </row>
    <row r="240">
      <c r="A240" s="64"/>
      <c r="B240" s="64"/>
      <c r="D240" s="121"/>
      <c r="F240" s="365"/>
      <c r="G240" s="62"/>
      <c r="I240" s="62"/>
    </row>
    <row r="241">
      <c r="A241" s="64"/>
      <c r="B241" s="64"/>
      <c r="D241" s="121"/>
      <c r="F241" s="365"/>
      <c r="G241" s="62"/>
      <c r="I241" s="62"/>
    </row>
    <row r="242">
      <c r="A242" s="64"/>
      <c r="B242" s="64"/>
      <c r="D242" s="121"/>
      <c r="F242" s="365"/>
      <c r="G242" s="62"/>
      <c r="I242" s="62"/>
    </row>
    <row r="243">
      <c r="A243" s="64"/>
      <c r="B243" s="64"/>
      <c r="D243" s="121"/>
      <c r="F243" s="365"/>
      <c r="G243" s="62"/>
      <c r="I243" s="62"/>
    </row>
    <row r="244">
      <c r="A244" s="64"/>
      <c r="B244" s="64"/>
      <c r="D244" s="121"/>
      <c r="F244" s="365"/>
      <c r="G244" s="62"/>
      <c r="I244" s="62"/>
    </row>
    <row r="245">
      <c r="A245" s="64"/>
      <c r="B245" s="64"/>
      <c r="D245" s="121"/>
      <c r="F245" s="365"/>
      <c r="G245" s="62"/>
      <c r="I245" s="62"/>
    </row>
    <row r="246">
      <c r="A246" s="64"/>
      <c r="B246" s="64"/>
      <c r="D246" s="121"/>
      <c r="F246" s="365"/>
      <c r="G246" s="62"/>
      <c r="I246" s="62"/>
    </row>
    <row r="247">
      <c r="A247" s="64"/>
      <c r="B247" s="64"/>
      <c r="D247" s="121"/>
      <c r="F247" s="365"/>
      <c r="G247" s="62"/>
      <c r="I247" s="62"/>
    </row>
    <row r="248">
      <c r="A248" s="64"/>
      <c r="B248" s="64"/>
      <c r="D248" s="121"/>
      <c r="F248" s="365"/>
      <c r="G248" s="62"/>
      <c r="I248" s="62"/>
    </row>
    <row r="249">
      <c r="A249" s="64"/>
      <c r="B249" s="64"/>
      <c r="D249" s="121"/>
      <c r="F249" s="365"/>
      <c r="G249" s="62"/>
      <c r="I249" s="62"/>
    </row>
    <row r="250">
      <c r="A250" s="64"/>
      <c r="B250" s="64"/>
      <c r="D250" s="121"/>
      <c r="F250" s="365"/>
      <c r="G250" s="62"/>
      <c r="I250" s="62"/>
    </row>
    <row r="251">
      <c r="A251" s="64"/>
      <c r="B251" s="64"/>
      <c r="D251" s="121"/>
      <c r="F251" s="365"/>
      <c r="G251" s="62"/>
      <c r="I251" s="62"/>
    </row>
    <row r="252">
      <c r="A252" s="64"/>
      <c r="B252" s="64"/>
      <c r="D252" s="121"/>
      <c r="F252" s="365"/>
      <c r="G252" s="62"/>
      <c r="I252" s="62"/>
    </row>
    <row r="253">
      <c r="A253" s="64"/>
      <c r="B253" s="64"/>
      <c r="D253" s="121"/>
      <c r="F253" s="365"/>
      <c r="G253" s="62"/>
      <c r="I253" s="62"/>
    </row>
    <row r="254">
      <c r="A254" s="64"/>
      <c r="B254" s="64"/>
      <c r="D254" s="121"/>
      <c r="F254" s="365"/>
      <c r="G254" s="62"/>
      <c r="I254" s="62"/>
    </row>
    <row r="255">
      <c r="A255" s="64"/>
      <c r="B255" s="64"/>
      <c r="D255" s="121"/>
      <c r="F255" s="365"/>
      <c r="G255" s="62"/>
      <c r="I255" s="62"/>
    </row>
    <row r="256">
      <c r="A256" s="64"/>
      <c r="B256" s="64"/>
      <c r="D256" s="121"/>
      <c r="F256" s="365"/>
      <c r="G256" s="62"/>
      <c r="I256" s="62"/>
    </row>
    <row r="257">
      <c r="A257" s="64"/>
      <c r="B257" s="64"/>
      <c r="D257" s="121"/>
      <c r="F257" s="365"/>
      <c r="G257" s="62"/>
      <c r="I257" s="62"/>
    </row>
    <row r="258">
      <c r="A258" s="64"/>
      <c r="B258" s="64"/>
      <c r="D258" s="121"/>
      <c r="F258" s="365"/>
      <c r="G258" s="62"/>
      <c r="I258" s="62"/>
    </row>
    <row r="259">
      <c r="A259" s="64"/>
      <c r="B259" s="64"/>
      <c r="D259" s="121"/>
      <c r="F259" s="365"/>
      <c r="G259" s="62"/>
      <c r="I259" s="62"/>
    </row>
    <row r="260">
      <c r="A260" s="64"/>
      <c r="B260" s="64"/>
      <c r="D260" s="121"/>
      <c r="F260" s="365"/>
      <c r="G260" s="62"/>
      <c r="I260" s="62"/>
    </row>
    <row r="261">
      <c r="A261" s="64"/>
      <c r="B261" s="64"/>
      <c r="D261" s="121"/>
      <c r="F261" s="365"/>
      <c r="G261" s="62"/>
      <c r="I261" s="62"/>
    </row>
    <row r="262">
      <c r="A262" s="64"/>
      <c r="B262" s="64"/>
      <c r="D262" s="121"/>
      <c r="F262" s="365"/>
      <c r="G262" s="62"/>
      <c r="I262" s="62"/>
    </row>
    <row r="263">
      <c r="A263" s="64"/>
      <c r="B263" s="64"/>
      <c r="D263" s="121"/>
      <c r="F263" s="365"/>
      <c r="G263" s="62"/>
      <c r="I263" s="62"/>
    </row>
    <row r="264">
      <c r="A264" s="64"/>
      <c r="B264" s="64"/>
      <c r="D264" s="121"/>
      <c r="F264" s="365"/>
      <c r="G264" s="62"/>
      <c r="I264" s="62"/>
    </row>
    <row r="265">
      <c r="A265" s="64"/>
      <c r="B265" s="64"/>
      <c r="D265" s="121"/>
      <c r="F265" s="365"/>
      <c r="G265" s="62"/>
      <c r="I265" s="62"/>
    </row>
    <row r="266">
      <c r="A266" s="64"/>
      <c r="B266" s="64"/>
      <c r="D266" s="121"/>
      <c r="F266" s="365"/>
      <c r="G266" s="62"/>
      <c r="I266" s="62"/>
    </row>
    <row r="267">
      <c r="A267" s="64"/>
      <c r="B267" s="64"/>
      <c r="D267" s="121"/>
      <c r="F267" s="365"/>
      <c r="G267" s="62"/>
      <c r="I267" s="62"/>
    </row>
    <row r="268">
      <c r="A268" s="64"/>
      <c r="B268" s="64"/>
      <c r="D268" s="121"/>
      <c r="F268" s="365"/>
      <c r="G268" s="62"/>
      <c r="I268" s="62"/>
    </row>
    <row r="269">
      <c r="A269" s="64"/>
      <c r="B269" s="64"/>
      <c r="D269" s="121"/>
      <c r="F269" s="365"/>
      <c r="G269" s="62"/>
      <c r="I269" s="62"/>
    </row>
    <row r="270">
      <c r="A270" s="64"/>
      <c r="B270" s="64"/>
      <c r="D270" s="121"/>
      <c r="F270" s="365"/>
      <c r="G270" s="62"/>
      <c r="I270" s="62"/>
    </row>
    <row r="271">
      <c r="A271" s="64"/>
      <c r="B271" s="64"/>
      <c r="D271" s="121"/>
      <c r="F271" s="365"/>
      <c r="G271" s="62"/>
      <c r="I271" s="62"/>
    </row>
    <row r="272">
      <c r="A272" s="64"/>
      <c r="B272" s="64"/>
      <c r="D272" s="121"/>
      <c r="F272" s="365"/>
      <c r="G272" s="62"/>
      <c r="I272" s="62"/>
    </row>
    <row r="273">
      <c r="A273" s="64"/>
      <c r="B273" s="64"/>
      <c r="D273" s="121"/>
      <c r="F273" s="365"/>
      <c r="G273" s="62"/>
      <c r="I273" s="62"/>
    </row>
    <row r="274">
      <c r="A274" s="64"/>
      <c r="B274" s="64"/>
      <c r="D274" s="121"/>
      <c r="F274" s="365"/>
      <c r="G274" s="62"/>
      <c r="I274" s="62"/>
    </row>
    <row r="275">
      <c r="A275" s="64"/>
      <c r="B275" s="64"/>
      <c r="D275" s="121"/>
      <c r="F275" s="365"/>
      <c r="G275" s="62"/>
      <c r="I275" s="62"/>
    </row>
    <row r="276">
      <c r="A276" s="64"/>
      <c r="B276" s="64"/>
      <c r="D276" s="121"/>
      <c r="F276" s="365"/>
      <c r="G276" s="62"/>
      <c r="I276" s="62"/>
    </row>
    <row r="277">
      <c r="A277" s="64"/>
      <c r="B277" s="64"/>
      <c r="D277" s="121"/>
      <c r="F277" s="365"/>
      <c r="G277" s="62"/>
      <c r="I277" s="62"/>
    </row>
    <row r="278">
      <c r="A278" s="64"/>
      <c r="B278" s="64"/>
      <c r="D278" s="121"/>
      <c r="F278" s="365"/>
      <c r="G278" s="62"/>
      <c r="I278" s="62"/>
    </row>
    <row r="279">
      <c r="A279" s="64"/>
      <c r="B279" s="64"/>
      <c r="D279" s="121"/>
      <c r="F279" s="365"/>
      <c r="G279" s="62"/>
      <c r="I279" s="62"/>
    </row>
    <row r="280">
      <c r="A280" s="64"/>
      <c r="B280" s="64"/>
      <c r="D280" s="121"/>
      <c r="F280" s="365"/>
      <c r="G280" s="62"/>
      <c r="I280" s="62"/>
    </row>
    <row r="281">
      <c r="A281" s="64"/>
      <c r="B281" s="64"/>
      <c r="D281" s="121"/>
      <c r="F281" s="365"/>
      <c r="G281" s="62"/>
      <c r="I281" s="62"/>
    </row>
    <row r="282">
      <c r="A282" s="64"/>
      <c r="B282" s="64"/>
      <c r="D282" s="121"/>
      <c r="F282" s="365"/>
      <c r="G282" s="62"/>
      <c r="I282" s="62"/>
    </row>
    <row r="283">
      <c r="A283" s="64"/>
      <c r="B283" s="64"/>
      <c r="D283" s="121"/>
      <c r="F283" s="365"/>
      <c r="G283" s="62"/>
      <c r="I283" s="62"/>
    </row>
    <row r="284">
      <c r="A284" s="64"/>
      <c r="B284" s="64"/>
      <c r="D284" s="121"/>
      <c r="F284" s="365"/>
      <c r="G284" s="62"/>
      <c r="I284" s="62"/>
    </row>
    <row r="285">
      <c r="A285" s="64"/>
      <c r="B285" s="64"/>
      <c r="D285" s="121"/>
      <c r="F285" s="365"/>
      <c r="G285" s="62"/>
      <c r="I285" s="62"/>
    </row>
    <row r="286">
      <c r="A286" s="64"/>
      <c r="B286" s="64"/>
      <c r="D286" s="121"/>
      <c r="F286" s="365"/>
      <c r="G286" s="62"/>
      <c r="I286" s="62"/>
    </row>
    <row r="287">
      <c r="A287" s="64"/>
      <c r="B287" s="64"/>
      <c r="D287" s="121"/>
      <c r="F287" s="365"/>
      <c r="G287" s="62"/>
      <c r="I287" s="62"/>
    </row>
    <row r="288">
      <c r="A288" s="64"/>
      <c r="B288" s="64"/>
      <c r="D288" s="121"/>
      <c r="F288" s="365"/>
      <c r="G288" s="62"/>
      <c r="I288" s="62"/>
    </row>
    <row r="289">
      <c r="A289" s="64"/>
      <c r="B289" s="64"/>
      <c r="D289" s="121"/>
      <c r="F289" s="365"/>
      <c r="G289" s="62"/>
      <c r="I289" s="62"/>
    </row>
    <row r="290">
      <c r="A290" s="64"/>
      <c r="B290" s="64"/>
      <c r="D290" s="121"/>
      <c r="F290" s="365"/>
      <c r="G290" s="62"/>
      <c r="I290" s="62"/>
    </row>
    <row r="291">
      <c r="A291" s="64"/>
      <c r="B291" s="64"/>
      <c r="D291" s="121"/>
      <c r="F291" s="365"/>
      <c r="G291" s="62"/>
      <c r="I291" s="62"/>
    </row>
    <row r="292">
      <c r="A292" s="64"/>
      <c r="B292" s="64"/>
      <c r="D292" s="121"/>
      <c r="F292" s="365"/>
      <c r="G292" s="62"/>
      <c r="I292" s="62"/>
    </row>
    <row r="293">
      <c r="A293" s="64"/>
      <c r="B293" s="64"/>
      <c r="D293" s="121"/>
      <c r="F293" s="365"/>
      <c r="G293" s="62"/>
      <c r="I293" s="62"/>
    </row>
    <row r="294">
      <c r="A294" s="64"/>
      <c r="B294" s="64"/>
      <c r="D294" s="121"/>
      <c r="F294" s="365"/>
      <c r="G294" s="62"/>
      <c r="I294" s="62"/>
    </row>
    <row r="295">
      <c r="A295" s="64"/>
      <c r="B295" s="64"/>
      <c r="D295" s="121"/>
      <c r="F295" s="365"/>
      <c r="G295" s="62"/>
      <c r="I295" s="62"/>
    </row>
    <row r="296">
      <c r="A296" s="64"/>
      <c r="B296" s="64"/>
      <c r="D296" s="121"/>
      <c r="F296" s="365"/>
      <c r="G296" s="62"/>
      <c r="I296" s="62"/>
    </row>
    <row r="297">
      <c r="A297" s="64"/>
      <c r="B297" s="64"/>
      <c r="D297" s="121"/>
      <c r="F297" s="365"/>
      <c r="G297" s="62"/>
      <c r="I297" s="62"/>
    </row>
    <row r="298">
      <c r="A298" s="64"/>
      <c r="B298" s="64"/>
      <c r="D298" s="121"/>
      <c r="F298" s="365"/>
      <c r="G298" s="62"/>
      <c r="I298" s="62"/>
    </row>
    <row r="299">
      <c r="A299" s="64"/>
      <c r="B299" s="64"/>
      <c r="D299" s="121"/>
      <c r="F299" s="365"/>
      <c r="G299" s="62"/>
      <c r="I299" s="62"/>
    </row>
    <row r="300">
      <c r="A300" s="64"/>
      <c r="B300" s="64"/>
      <c r="D300" s="121"/>
      <c r="F300" s="365"/>
      <c r="G300" s="62"/>
      <c r="I300" s="62"/>
    </row>
    <row r="301">
      <c r="A301" s="64"/>
      <c r="B301" s="64"/>
      <c r="D301" s="121"/>
      <c r="F301" s="365"/>
      <c r="G301" s="62"/>
      <c r="I301" s="62"/>
    </row>
    <row r="302">
      <c r="A302" s="64"/>
      <c r="B302" s="64"/>
      <c r="D302" s="121"/>
      <c r="F302" s="365"/>
      <c r="G302" s="62"/>
      <c r="I302" s="62"/>
    </row>
    <row r="303">
      <c r="A303" s="64"/>
      <c r="B303" s="64"/>
      <c r="D303" s="121"/>
      <c r="F303" s="365"/>
      <c r="G303" s="62"/>
      <c r="I303" s="62"/>
    </row>
    <row r="304">
      <c r="A304" s="64"/>
      <c r="B304" s="64"/>
      <c r="D304" s="121"/>
      <c r="F304" s="365"/>
      <c r="G304" s="62"/>
      <c r="I304" s="62"/>
    </row>
    <row r="305">
      <c r="A305" s="64"/>
      <c r="B305" s="64"/>
      <c r="D305" s="121"/>
      <c r="F305" s="365"/>
      <c r="G305" s="62"/>
      <c r="I305" s="62"/>
    </row>
    <row r="306">
      <c r="A306" s="64"/>
      <c r="B306" s="64"/>
      <c r="D306" s="121"/>
      <c r="F306" s="365"/>
      <c r="G306" s="62"/>
      <c r="I306" s="62"/>
    </row>
    <row r="307">
      <c r="A307" s="64"/>
      <c r="B307" s="64"/>
      <c r="D307" s="121"/>
      <c r="F307" s="365"/>
      <c r="G307" s="62"/>
      <c r="I307" s="62"/>
    </row>
    <row r="308">
      <c r="A308" s="64"/>
      <c r="B308" s="64"/>
      <c r="D308" s="121"/>
      <c r="F308" s="365"/>
      <c r="G308" s="62"/>
      <c r="I308" s="62"/>
    </row>
    <row r="309">
      <c r="A309" s="64"/>
      <c r="B309" s="64"/>
      <c r="D309" s="121"/>
      <c r="F309" s="365"/>
      <c r="G309" s="62"/>
      <c r="I309" s="62"/>
    </row>
    <row r="310">
      <c r="A310" s="64"/>
      <c r="B310" s="64"/>
      <c r="D310" s="121"/>
      <c r="F310" s="365"/>
      <c r="G310" s="62"/>
      <c r="I310" s="62"/>
    </row>
    <row r="311">
      <c r="A311" s="64"/>
      <c r="B311" s="64"/>
      <c r="D311" s="121"/>
      <c r="F311" s="365"/>
      <c r="G311" s="62"/>
      <c r="I311" s="62"/>
    </row>
    <row r="312">
      <c r="A312" s="64"/>
      <c r="B312" s="64"/>
      <c r="D312" s="121"/>
      <c r="F312" s="365"/>
      <c r="G312" s="62"/>
      <c r="I312" s="62"/>
    </row>
    <row r="313">
      <c r="A313" s="64"/>
      <c r="B313" s="64"/>
      <c r="D313" s="121"/>
      <c r="F313" s="365"/>
      <c r="G313" s="62"/>
      <c r="I313" s="62"/>
    </row>
    <row r="314">
      <c r="A314" s="64"/>
      <c r="B314" s="64"/>
      <c r="D314" s="121"/>
      <c r="F314" s="365"/>
      <c r="G314" s="62"/>
      <c r="I314" s="62"/>
    </row>
    <row r="315">
      <c r="A315" s="64"/>
      <c r="B315" s="64"/>
      <c r="D315" s="121"/>
      <c r="F315" s="365"/>
      <c r="G315" s="62"/>
      <c r="I315" s="62"/>
    </row>
    <row r="316">
      <c r="A316" s="64"/>
      <c r="B316" s="64"/>
      <c r="D316" s="121"/>
      <c r="F316" s="365"/>
      <c r="G316" s="62"/>
      <c r="I316" s="62"/>
    </row>
    <row r="317">
      <c r="A317" s="64"/>
      <c r="B317" s="64"/>
      <c r="D317" s="121"/>
      <c r="F317" s="365"/>
      <c r="G317" s="62"/>
      <c r="I317" s="62"/>
    </row>
    <row r="318">
      <c r="A318" s="64"/>
      <c r="B318" s="64"/>
      <c r="D318" s="121"/>
      <c r="F318" s="365"/>
      <c r="G318" s="62"/>
      <c r="I318" s="62"/>
    </row>
    <row r="319">
      <c r="A319" s="64"/>
      <c r="B319" s="64"/>
      <c r="D319" s="121"/>
      <c r="F319" s="365"/>
      <c r="G319" s="62"/>
      <c r="I319" s="62"/>
    </row>
    <row r="320">
      <c r="A320" s="64"/>
      <c r="B320" s="64"/>
      <c r="D320" s="121"/>
      <c r="F320" s="365"/>
      <c r="G320" s="62"/>
      <c r="I320" s="62"/>
    </row>
    <row r="321">
      <c r="A321" s="64"/>
      <c r="B321" s="64"/>
      <c r="D321" s="121"/>
      <c r="F321" s="365"/>
      <c r="G321" s="62"/>
      <c r="I321" s="62"/>
    </row>
    <row r="322">
      <c r="A322" s="64"/>
      <c r="B322" s="64"/>
      <c r="D322" s="121"/>
      <c r="F322" s="365"/>
      <c r="G322" s="62"/>
      <c r="I322" s="62"/>
    </row>
    <row r="323">
      <c r="A323" s="64"/>
      <c r="B323" s="64"/>
      <c r="D323" s="121"/>
      <c r="F323" s="365"/>
      <c r="G323" s="62"/>
      <c r="I323" s="62"/>
    </row>
    <row r="324">
      <c r="A324" s="64"/>
      <c r="B324" s="64"/>
      <c r="D324" s="121"/>
      <c r="F324" s="365"/>
      <c r="G324" s="62"/>
      <c r="I324" s="62"/>
    </row>
    <row r="325">
      <c r="A325" s="64"/>
      <c r="B325" s="64"/>
      <c r="D325" s="121"/>
      <c r="F325" s="365"/>
      <c r="G325" s="62"/>
      <c r="I325" s="62"/>
    </row>
    <row r="326">
      <c r="A326" s="64"/>
      <c r="B326" s="64"/>
      <c r="D326" s="121"/>
      <c r="F326" s="365"/>
      <c r="G326" s="62"/>
      <c r="I326" s="62"/>
    </row>
    <row r="327">
      <c r="A327" s="64"/>
      <c r="B327" s="64"/>
      <c r="D327" s="121"/>
      <c r="F327" s="365"/>
      <c r="G327" s="62"/>
      <c r="I327" s="62"/>
    </row>
    <row r="328">
      <c r="A328" s="64"/>
      <c r="B328" s="64"/>
      <c r="D328" s="121"/>
      <c r="F328" s="365"/>
      <c r="G328" s="62"/>
      <c r="I328" s="62"/>
    </row>
    <row r="329">
      <c r="A329" s="64"/>
      <c r="B329" s="64"/>
      <c r="D329" s="121"/>
      <c r="F329" s="365"/>
      <c r="G329" s="62"/>
      <c r="I329" s="62"/>
    </row>
    <row r="330">
      <c r="A330" s="64"/>
      <c r="B330" s="64"/>
      <c r="D330" s="121"/>
      <c r="F330" s="365"/>
      <c r="G330" s="62"/>
      <c r="I330" s="62"/>
    </row>
    <row r="331">
      <c r="A331" s="64"/>
      <c r="B331" s="64"/>
      <c r="D331" s="121"/>
      <c r="F331" s="365"/>
      <c r="G331" s="62"/>
      <c r="I331" s="62"/>
    </row>
    <row r="332">
      <c r="A332" s="64"/>
      <c r="B332" s="64"/>
      <c r="D332" s="121"/>
      <c r="F332" s="365"/>
      <c r="G332" s="62"/>
      <c r="I332" s="62"/>
    </row>
    <row r="333">
      <c r="A333" s="64"/>
      <c r="B333" s="64"/>
      <c r="D333" s="121"/>
      <c r="F333" s="365"/>
      <c r="G333" s="62"/>
      <c r="I333" s="62"/>
    </row>
    <row r="334">
      <c r="A334" s="64"/>
      <c r="B334" s="64"/>
      <c r="D334" s="121"/>
      <c r="F334" s="365"/>
      <c r="G334" s="62"/>
      <c r="I334" s="62"/>
    </row>
    <row r="335">
      <c r="A335" s="64"/>
      <c r="B335" s="64"/>
      <c r="D335" s="121"/>
      <c r="F335" s="365"/>
      <c r="G335" s="62"/>
      <c r="I335" s="62"/>
    </row>
    <row r="336">
      <c r="A336" s="64"/>
      <c r="B336" s="64"/>
      <c r="D336" s="121"/>
      <c r="F336" s="365"/>
      <c r="G336" s="62"/>
      <c r="I336" s="62"/>
    </row>
    <row r="337">
      <c r="A337" s="64"/>
      <c r="B337" s="64"/>
      <c r="D337" s="121"/>
      <c r="F337" s="365"/>
      <c r="G337" s="62"/>
      <c r="I337" s="62"/>
    </row>
    <row r="338">
      <c r="A338" s="64"/>
      <c r="B338" s="64"/>
      <c r="D338" s="121"/>
      <c r="F338" s="365"/>
      <c r="G338" s="62"/>
      <c r="I338" s="62"/>
    </row>
    <row r="339">
      <c r="A339" s="64"/>
      <c r="B339" s="64"/>
      <c r="D339" s="121"/>
      <c r="F339" s="365"/>
      <c r="G339" s="62"/>
      <c r="I339" s="62"/>
    </row>
    <row r="340">
      <c r="A340" s="64"/>
      <c r="B340" s="64"/>
      <c r="D340" s="121"/>
      <c r="F340" s="365"/>
      <c r="G340" s="62"/>
      <c r="I340" s="62"/>
    </row>
    <row r="341">
      <c r="A341" s="64"/>
      <c r="B341" s="64"/>
      <c r="D341" s="121"/>
      <c r="F341" s="365"/>
      <c r="G341" s="62"/>
      <c r="I341" s="62"/>
    </row>
    <row r="342">
      <c r="A342" s="64"/>
      <c r="B342" s="64"/>
      <c r="D342" s="121"/>
      <c r="F342" s="365"/>
      <c r="G342" s="62"/>
      <c r="I342" s="62"/>
    </row>
    <row r="343">
      <c r="A343" s="64"/>
      <c r="B343" s="64"/>
      <c r="D343" s="121"/>
      <c r="F343" s="365"/>
      <c r="G343" s="62"/>
      <c r="I343" s="62"/>
    </row>
    <row r="344">
      <c r="A344" s="64"/>
      <c r="B344" s="64"/>
      <c r="D344" s="121"/>
      <c r="F344" s="365"/>
      <c r="G344" s="62"/>
      <c r="I344" s="62"/>
    </row>
    <row r="345">
      <c r="A345" s="64"/>
      <c r="B345" s="64"/>
      <c r="D345" s="121"/>
      <c r="F345" s="365"/>
      <c r="G345" s="62"/>
      <c r="I345" s="62"/>
    </row>
    <row r="346">
      <c r="A346" s="64"/>
      <c r="B346" s="64"/>
      <c r="D346" s="121"/>
      <c r="F346" s="365"/>
      <c r="G346" s="62"/>
      <c r="I346" s="62"/>
    </row>
    <row r="347">
      <c r="A347" s="64"/>
      <c r="B347" s="64"/>
      <c r="D347" s="121"/>
      <c r="F347" s="365"/>
      <c r="G347" s="62"/>
      <c r="I347" s="62"/>
    </row>
    <row r="348">
      <c r="A348" s="64"/>
      <c r="B348" s="64"/>
      <c r="D348" s="121"/>
      <c r="F348" s="365"/>
      <c r="G348" s="62"/>
      <c r="I348" s="62"/>
    </row>
    <row r="349">
      <c r="A349" s="64"/>
      <c r="B349" s="64"/>
      <c r="D349" s="121"/>
      <c r="F349" s="365"/>
      <c r="G349" s="62"/>
      <c r="I349" s="62"/>
    </row>
    <row r="350">
      <c r="A350" s="64"/>
      <c r="B350" s="64"/>
      <c r="D350" s="121"/>
      <c r="F350" s="365"/>
      <c r="G350" s="62"/>
      <c r="I350" s="62"/>
    </row>
    <row r="351">
      <c r="A351" s="64"/>
      <c r="B351" s="64"/>
      <c r="D351" s="121"/>
      <c r="F351" s="365"/>
      <c r="G351" s="62"/>
      <c r="I351" s="62"/>
    </row>
    <row r="352">
      <c r="A352" s="64"/>
      <c r="B352" s="64"/>
      <c r="D352" s="121"/>
      <c r="F352" s="365"/>
      <c r="G352" s="62"/>
      <c r="I352" s="62"/>
    </row>
    <row r="353">
      <c r="A353" s="64"/>
      <c r="B353" s="64"/>
      <c r="D353" s="121"/>
      <c r="F353" s="365"/>
      <c r="G353" s="62"/>
      <c r="I353" s="62"/>
    </row>
    <row r="354">
      <c r="A354" s="64"/>
      <c r="B354" s="64"/>
      <c r="D354" s="121"/>
      <c r="F354" s="365"/>
      <c r="G354" s="62"/>
      <c r="I354" s="62"/>
    </row>
    <row r="355">
      <c r="A355" s="64"/>
      <c r="B355" s="64"/>
      <c r="D355" s="121"/>
      <c r="F355" s="365"/>
      <c r="G355" s="62"/>
      <c r="I355" s="62"/>
    </row>
    <row r="356">
      <c r="A356" s="64"/>
      <c r="B356" s="64"/>
      <c r="D356" s="121"/>
      <c r="F356" s="365"/>
      <c r="G356" s="62"/>
      <c r="I356" s="62"/>
    </row>
    <row r="357">
      <c r="A357" s="64"/>
      <c r="B357" s="64"/>
      <c r="D357" s="121"/>
      <c r="F357" s="365"/>
      <c r="G357" s="62"/>
      <c r="I357" s="62"/>
    </row>
    <row r="358">
      <c r="A358" s="64"/>
      <c r="B358" s="64"/>
      <c r="D358" s="121"/>
      <c r="F358" s="365"/>
      <c r="G358" s="62"/>
      <c r="I358" s="62"/>
    </row>
    <row r="359">
      <c r="A359" s="64"/>
      <c r="B359" s="64"/>
      <c r="D359" s="121"/>
      <c r="F359" s="365"/>
      <c r="G359" s="62"/>
      <c r="I359" s="62"/>
    </row>
    <row r="360">
      <c r="A360" s="64"/>
      <c r="B360" s="64"/>
      <c r="D360" s="121"/>
      <c r="F360" s="365"/>
      <c r="G360" s="62"/>
      <c r="I360" s="62"/>
    </row>
    <row r="361">
      <c r="A361" s="64"/>
      <c r="B361" s="64"/>
      <c r="D361" s="121"/>
      <c r="F361" s="365"/>
      <c r="G361" s="62"/>
      <c r="I361" s="62"/>
    </row>
    <row r="362">
      <c r="A362" s="64"/>
      <c r="B362" s="64"/>
      <c r="D362" s="121"/>
      <c r="F362" s="365"/>
      <c r="G362" s="62"/>
      <c r="I362" s="62"/>
    </row>
    <row r="363">
      <c r="A363" s="64"/>
      <c r="B363" s="64"/>
      <c r="D363" s="121"/>
      <c r="F363" s="365"/>
      <c r="G363" s="62"/>
      <c r="I363" s="62"/>
    </row>
    <row r="364">
      <c r="A364" s="64"/>
      <c r="B364" s="64"/>
      <c r="D364" s="121"/>
      <c r="F364" s="365"/>
      <c r="G364" s="62"/>
      <c r="I364" s="62"/>
    </row>
    <row r="365">
      <c r="A365" s="64"/>
      <c r="B365" s="64"/>
      <c r="D365" s="121"/>
      <c r="F365" s="365"/>
      <c r="G365" s="62"/>
      <c r="I365" s="62"/>
    </row>
    <row r="366">
      <c r="A366" s="64"/>
      <c r="B366" s="64"/>
      <c r="D366" s="121"/>
      <c r="F366" s="365"/>
      <c r="G366" s="62"/>
      <c r="I366" s="62"/>
    </row>
    <row r="367">
      <c r="A367" s="64"/>
      <c r="B367" s="64"/>
      <c r="D367" s="121"/>
      <c r="F367" s="365"/>
      <c r="G367" s="62"/>
      <c r="I367" s="62"/>
    </row>
    <row r="368">
      <c r="A368" s="64"/>
      <c r="B368" s="64"/>
      <c r="D368" s="121"/>
      <c r="F368" s="365"/>
      <c r="G368" s="62"/>
      <c r="I368" s="62"/>
    </row>
    <row r="369">
      <c r="A369" s="64"/>
      <c r="B369" s="64"/>
      <c r="D369" s="121"/>
      <c r="F369" s="365"/>
      <c r="G369" s="62"/>
      <c r="I369" s="62"/>
    </row>
    <row r="370">
      <c r="A370" s="64"/>
      <c r="B370" s="64"/>
      <c r="D370" s="121"/>
      <c r="F370" s="365"/>
      <c r="G370" s="62"/>
      <c r="I370" s="62"/>
    </row>
    <row r="371">
      <c r="A371" s="64"/>
      <c r="B371" s="64"/>
      <c r="D371" s="121"/>
      <c r="F371" s="365"/>
      <c r="G371" s="62"/>
      <c r="I371" s="62"/>
    </row>
    <row r="372">
      <c r="A372" s="64"/>
      <c r="B372" s="64"/>
      <c r="D372" s="121"/>
      <c r="F372" s="365"/>
      <c r="G372" s="62"/>
      <c r="I372" s="62"/>
    </row>
    <row r="373">
      <c r="A373" s="64"/>
      <c r="B373" s="64"/>
      <c r="D373" s="121"/>
      <c r="F373" s="365"/>
      <c r="G373" s="62"/>
      <c r="I373" s="62"/>
    </row>
    <row r="374">
      <c r="A374" s="64"/>
      <c r="B374" s="64"/>
      <c r="D374" s="121"/>
      <c r="F374" s="365"/>
      <c r="G374" s="62"/>
      <c r="I374" s="62"/>
    </row>
    <row r="375">
      <c r="A375" s="64"/>
      <c r="B375" s="64"/>
      <c r="D375" s="121"/>
      <c r="F375" s="365"/>
      <c r="G375" s="62"/>
      <c r="I375" s="62"/>
    </row>
    <row r="376">
      <c r="A376" s="64"/>
      <c r="B376" s="64"/>
      <c r="D376" s="121"/>
      <c r="F376" s="365"/>
      <c r="G376" s="62"/>
      <c r="I376" s="62"/>
    </row>
    <row r="377">
      <c r="A377" s="64"/>
      <c r="B377" s="64"/>
      <c r="D377" s="121"/>
      <c r="F377" s="365"/>
      <c r="G377" s="62"/>
      <c r="I377" s="62"/>
    </row>
    <row r="378">
      <c r="A378" s="64"/>
      <c r="B378" s="64"/>
      <c r="D378" s="121"/>
      <c r="F378" s="365"/>
      <c r="G378" s="62"/>
      <c r="I378" s="62"/>
    </row>
    <row r="379">
      <c r="A379" s="64"/>
      <c r="B379" s="64"/>
      <c r="D379" s="121"/>
      <c r="F379" s="365"/>
      <c r="G379" s="62"/>
      <c r="I379" s="62"/>
    </row>
    <row r="380">
      <c r="A380" s="64"/>
      <c r="B380" s="64"/>
      <c r="D380" s="121"/>
      <c r="F380" s="365"/>
      <c r="G380" s="62"/>
      <c r="I380" s="62"/>
    </row>
    <row r="381">
      <c r="A381" s="64"/>
      <c r="B381" s="64"/>
      <c r="D381" s="121"/>
      <c r="F381" s="365"/>
      <c r="G381" s="62"/>
      <c r="I381" s="62"/>
    </row>
    <row r="382">
      <c r="A382" s="64"/>
      <c r="B382" s="64"/>
      <c r="D382" s="121"/>
      <c r="F382" s="365"/>
      <c r="G382" s="62"/>
      <c r="I382" s="62"/>
    </row>
    <row r="383">
      <c r="A383" s="64"/>
      <c r="B383" s="64"/>
      <c r="D383" s="121"/>
      <c r="F383" s="365"/>
      <c r="G383" s="62"/>
      <c r="I383" s="62"/>
    </row>
    <row r="384">
      <c r="A384" s="64"/>
      <c r="B384" s="64"/>
      <c r="D384" s="121"/>
      <c r="F384" s="365"/>
      <c r="G384" s="62"/>
      <c r="I384" s="62"/>
    </row>
    <row r="385">
      <c r="A385" s="64"/>
      <c r="B385" s="64"/>
      <c r="D385" s="121"/>
      <c r="F385" s="365"/>
      <c r="G385" s="62"/>
      <c r="I385" s="62"/>
    </row>
    <row r="386">
      <c r="A386" s="64"/>
      <c r="B386" s="64"/>
      <c r="D386" s="121"/>
      <c r="F386" s="365"/>
      <c r="G386" s="62"/>
      <c r="I386" s="62"/>
    </row>
    <row r="387">
      <c r="A387" s="64"/>
      <c r="B387" s="64"/>
      <c r="D387" s="121"/>
      <c r="F387" s="365"/>
      <c r="G387" s="62"/>
      <c r="I387" s="62"/>
    </row>
    <row r="388">
      <c r="A388" s="64"/>
      <c r="B388" s="64"/>
      <c r="D388" s="121"/>
      <c r="F388" s="365"/>
      <c r="G388" s="62"/>
      <c r="I388" s="62"/>
    </row>
    <row r="389">
      <c r="A389" s="64"/>
      <c r="B389" s="64"/>
      <c r="D389" s="121"/>
      <c r="F389" s="365"/>
      <c r="G389" s="62"/>
      <c r="I389" s="62"/>
    </row>
    <row r="390">
      <c r="A390" s="64"/>
      <c r="B390" s="64"/>
      <c r="D390" s="121"/>
      <c r="F390" s="365"/>
      <c r="G390" s="62"/>
      <c r="I390" s="62"/>
    </row>
    <row r="391">
      <c r="A391" s="64"/>
      <c r="B391" s="64"/>
      <c r="D391" s="121"/>
      <c r="F391" s="365"/>
      <c r="G391" s="62"/>
      <c r="I391" s="62"/>
    </row>
    <row r="392">
      <c r="A392" s="64"/>
      <c r="B392" s="64"/>
      <c r="D392" s="121"/>
      <c r="F392" s="365"/>
      <c r="G392" s="62"/>
      <c r="I392" s="62"/>
    </row>
    <row r="393">
      <c r="A393" s="64"/>
      <c r="B393" s="64"/>
      <c r="D393" s="121"/>
      <c r="F393" s="365"/>
      <c r="G393" s="62"/>
      <c r="I393" s="62"/>
    </row>
    <row r="394">
      <c r="A394" s="64"/>
      <c r="B394" s="64"/>
      <c r="D394" s="121"/>
      <c r="F394" s="365"/>
      <c r="G394" s="62"/>
      <c r="I394" s="62"/>
    </row>
    <row r="395">
      <c r="A395" s="64"/>
      <c r="B395" s="64"/>
      <c r="D395" s="121"/>
      <c r="F395" s="365"/>
      <c r="G395" s="62"/>
      <c r="I395" s="62"/>
    </row>
    <row r="396">
      <c r="A396" s="64"/>
      <c r="B396" s="64"/>
      <c r="D396" s="121"/>
      <c r="F396" s="365"/>
      <c r="G396" s="62"/>
      <c r="I396" s="62"/>
    </row>
    <row r="397">
      <c r="A397" s="64"/>
      <c r="B397" s="64"/>
      <c r="D397" s="121"/>
      <c r="F397" s="365"/>
      <c r="G397" s="62"/>
      <c r="I397" s="62"/>
    </row>
    <row r="398">
      <c r="A398" s="64"/>
      <c r="B398" s="64"/>
      <c r="D398" s="121"/>
      <c r="F398" s="365"/>
      <c r="G398" s="62"/>
      <c r="I398" s="62"/>
    </row>
    <row r="399">
      <c r="A399" s="64"/>
      <c r="B399" s="64"/>
      <c r="D399" s="121"/>
      <c r="F399" s="365"/>
      <c r="G399" s="62"/>
      <c r="I399" s="62"/>
    </row>
    <row r="400">
      <c r="A400" s="64"/>
      <c r="B400" s="64"/>
      <c r="D400" s="121"/>
      <c r="F400" s="365"/>
      <c r="G400" s="62"/>
      <c r="I400" s="62"/>
    </row>
    <row r="401">
      <c r="A401" s="64"/>
      <c r="B401" s="64"/>
      <c r="D401" s="121"/>
      <c r="F401" s="365"/>
      <c r="G401" s="62"/>
      <c r="I401" s="62"/>
    </row>
    <row r="402">
      <c r="A402" s="64"/>
      <c r="B402" s="64"/>
      <c r="D402" s="121"/>
      <c r="F402" s="365"/>
      <c r="G402" s="62"/>
      <c r="I402" s="62"/>
    </row>
    <row r="403">
      <c r="A403" s="64"/>
      <c r="B403" s="64"/>
      <c r="D403" s="121"/>
      <c r="F403" s="365"/>
      <c r="G403" s="62"/>
      <c r="I403" s="62"/>
    </row>
    <row r="404">
      <c r="A404" s="64"/>
      <c r="B404" s="64"/>
      <c r="D404" s="121"/>
      <c r="F404" s="365"/>
      <c r="G404" s="62"/>
      <c r="I404" s="62"/>
    </row>
    <row r="405">
      <c r="A405" s="64"/>
      <c r="B405" s="64"/>
      <c r="D405" s="121"/>
      <c r="F405" s="365"/>
      <c r="G405" s="62"/>
      <c r="I405" s="62"/>
    </row>
    <row r="406">
      <c r="A406" s="64"/>
      <c r="B406" s="64"/>
      <c r="D406" s="121"/>
      <c r="F406" s="365"/>
      <c r="G406" s="62"/>
      <c r="I406" s="62"/>
    </row>
    <row r="407">
      <c r="A407" s="64"/>
      <c r="B407" s="64"/>
      <c r="D407" s="121"/>
      <c r="F407" s="365"/>
      <c r="G407" s="62"/>
      <c r="I407" s="62"/>
    </row>
    <row r="408">
      <c r="A408" s="64"/>
      <c r="B408" s="64"/>
      <c r="D408" s="121"/>
      <c r="F408" s="365"/>
      <c r="G408" s="62"/>
      <c r="I408" s="62"/>
    </row>
    <row r="409">
      <c r="A409" s="64"/>
      <c r="B409" s="64"/>
      <c r="D409" s="121"/>
      <c r="F409" s="365"/>
      <c r="G409" s="62"/>
      <c r="I409" s="62"/>
    </row>
    <row r="410">
      <c r="A410" s="64"/>
      <c r="B410" s="64"/>
      <c r="D410" s="121"/>
      <c r="F410" s="365"/>
      <c r="G410" s="62"/>
      <c r="I410" s="62"/>
    </row>
    <row r="411">
      <c r="A411" s="64"/>
      <c r="B411" s="64"/>
      <c r="D411" s="121"/>
      <c r="F411" s="365"/>
      <c r="G411" s="62"/>
      <c r="I411" s="62"/>
    </row>
    <row r="412">
      <c r="A412" s="64"/>
      <c r="B412" s="64"/>
      <c r="D412" s="121"/>
      <c r="F412" s="365"/>
      <c r="G412" s="62"/>
      <c r="I412" s="62"/>
    </row>
    <row r="413">
      <c r="A413" s="64"/>
      <c r="B413" s="64"/>
      <c r="D413" s="121"/>
      <c r="F413" s="365"/>
      <c r="G413" s="62"/>
      <c r="I413" s="62"/>
    </row>
    <row r="414">
      <c r="A414" s="64"/>
      <c r="B414" s="64"/>
      <c r="D414" s="121"/>
      <c r="F414" s="365"/>
      <c r="G414" s="62"/>
      <c r="I414" s="62"/>
    </row>
    <row r="415">
      <c r="A415" s="64"/>
      <c r="B415" s="64"/>
      <c r="D415" s="121"/>
      <c r="F415" s="365"/>
      <c r="G415" s="62"/>
      <c r="I415" s="62"/>
    </row>
    <row r="416">
      <c r="A416" s="64"/>
      <c r="B416" s="64"/>
      <c r="D416" s="121"/>
      <c r="F416" s="365"/>
      <c r="G416" s="62"/>
      <c r="I416" s="62"/>
    </row>
    <row r="417">
      <c r="A417" s="64"/>
      <c r="B417" s="64"/>
      <c r="D417" s="121"/>
      <c r="F417" s="365"/>
      <c r="G417" s="62"/>
      <c r="I417" s="62"/>
    </row>
    <row r="418">
      <c r="A418" s="64"/>
      <c r="B418" s="64"/>
      <c r="D418" s="121"/>
      <c r="F418" s="365"/>
      <c r="G418" s="62"/>
      <c r="I418" s="62"/>
    </row>
    <row r="419">
      <c r="A419" s="64"/>
      <c r="B419" s="64"/>
      <c r="D419" s="121"/>
      <c r="F419" s="365"/>
      <c r="G419" s="62"/>
      <c r="I419" s="62"/>
    </row>
    <row r="420">
      <c r="A420" s="64"/>
      <c r="B420" s="64"/>
      <c r="D420" s="121"/>
      <c r="F420" s="365"/>
      <c r="G420" s="62"/>
      <c r="I420" s="62"/>
    </row>
    <row r="421">
      <c r="A421" s="64"/>
      <c r="B421" s="64"/>
      <c r="D421" s="121"/>
      <c r="F421" s="365"/>
      <c r="G421" s="62"/>
      <c r="I421" s="62"/>
    </row>
    <row r="422">
      <c r="A422" s="64"/>
      <c r="B422" s="64"/>
      <c r="D422" s="121"/>
      <c r="F422" s="365"/>
      <c r="G422" s="62"/>
      <c r="I422" s="62"/>
    </row>
    <row r="423">
      <c r="A423" s="64"/>
      <c r="B423" s="64"/>
      <c r="D423" s="121"/>
      <c r="F423" s="365"/>
      <c r="G423" s="62"/>
      <c r="I423" s="62"/>
    </row>
    <row r="424">
      <c r="A424" s="64"/>
      <c r="B424" s="64"/>
      <c r="D424" s="121"/>
      <c r="F424" s="365"/>
      <c r="G424" s="62"/>
      <c r="I424" s="62"/>
    </row>
    <row r="425">
      <c r="A425" s="64"/>
      <c r="B425" s="64"/>
      <c r="D425" s="121"/>
      <c r="F425" s="365"/>
      <c r="G425" s="62"/>
      <c r="I425" s="62"/>
    </row>
    <row r="426">
      <c r="A426" s="64"/>
      <c r="B426" s="64"/>
      <c r="D426" s="121"/>
      <c r="F426" s="365"/>
      <c r="G426" s="62"/>
      <c r="I426" s="62"/>
    </row>
    <row r="427">
      <c r="A427" s="64"/>
      <c r="B427" s="64"/>
      <c r="D427" s="121"/>
      <c r="F427" s="365"/>
      <c r="G427" s="62"/>
      <c r="I427" s="62"/>
    </row>
    <row r="428">
      <c r="A428" s="64"/>
      <c r="B428" s="64"/>
      <c r="D428" s="121"/>
      <c r="F428" s="365"/>
      <c r="G428" s="62"/>
      <c r="I428" s="62"/>
    </row>
    <row r="429">
      <c r="A429" s="64"/>
      <c r="B429" s="64"/>
      <c r="D429" s="121"/>
      <c r="F429" s="365"/>
      <c r="G429" s="62"/>
      <c r="I429" s="62"/>
    </row>
    <row r="430">
      <c r="A430" s="64"/>
      <c r="B430" s="64"/>
      <c r="D430" s="121"/>
      <c r="F430" s="365"/>
      <c r="G430" s="62"/>
      <c r="I430" s="62"/>
    </row>
    <row r="431">
      <c r="A431" s="64"/>
      <c r="B431" s="64"/>
      <c r="D431" s="121"/>
      <c r="F431" s="365"/>
      <c r="G431" s="62"/>
      <c r="I431" s="62"/>
    </row>
    <row r="432">
      <c r="A432" s="64"/>
      <c r="B432" s="64"/>
      <c r="D432" s="121"/>
      <c r="F432" s="365"/>
      <c r="G432" s="62"/>
      <c r="I432" s="62"/>
    </row>
    <row r="433">
      <c r="A433" s="64"/>
      <c r="B433" s="64"/>
      <c r="D433" s="121"/>
      <c r="F433" s="365"/>
      <c r="G433" s="62"/>
      <c r="I433" s="62"/>
    </row>
    <row r="434">
      <c r="A434" s="64"/>
      <c r="B434" s="64"/>
      <c r="D434" s="121"/>
      <c r="F434" s="365"/>
      <c r="G434" s="62"/>
      <c r="I434" s="62"/>
    </row>
    <row r="435">
      <c r="A435" s="64"/>
      <c r="B435" s="64"/>
      <c r="D435" s="121"/>
      <c r="F435" s="365"/>
      <c r="G435" s="62"/>
      <c r="I435" s="62"/>
    </row>
    <row r="436">
      <c r="A436" s="64"/>
      <c r="B436" s="64"/>
      <c r="D436" s="121"/>
      <c r="F436" s="365"/>
      <c r="G436" s="62"/>
      <c r="I436" s="62"/>
    </row>
    <row r="437">
      <c r="A437" s="64"/>
      <c r="B437" s="64"/>
      <c r="D437" s="121"/>
      <c r="F437" s="365"/>
      <c r="G437" s="62"/>
      <c r="I437" s="62"/>
    </row>
    <row r="438">
      <c r="A438" s="64"/>
      <c r="B438" s="64"/>
      <c r="D438" s="121"/>
      <c r="F438" s="365"/>
      <c r="G438" s="62"/>
      <c r="I438" s="62"/>
    </row>
    <row r="439">
      <c r="A439" s="64"/>
      <c r="B439" s="64"/>
      <c r="D439" s="121"/>
      <c r="F439" s="365"/>
      <c r="G439" s="62"/>
      <c r="I439" s="62"/>
    </row>
    <row r="440">
      <c r="A440" s="64"/>
      <c r="B440" s="64"/>
      <c r="D440" s="121"/>
      <c r="F440" s="365"/>
      <c r="G440" s="62"/>
      <c r="I440" s="62"/>
    </row>
    <row r="441">
      <c r="A441" s="64"/>
      <c r="B441" s="64"/>
      <c r="D441" s="121"/>
      <c r="F441" s="365"/>
      <c r="G441" s="62"/>
      <c r="I441" s="62"/>
    </row>
    <row r="442">
      <c r="A442" s="64"/>
      <c r="B442" s="64"/>
      <c r="D442" s="121"/>
      <c r="F442" s="365"/>
      <c r="G442" s="62"/>
      <c r="I442" s="62"/>
    </row>
    <row r="443">
      <c r="A443" s="64"/>
      <c r="B443" s="64"/>
      <c r="D443" s="121"/>
      <c r="F443" s="365"/>
      <c r="G443" s="62"/>
      <c r="I443" s="62"/>
    </row>
    <row r="444">
      <c r="A444" s="64"/>
      <c r="B444" s="64"/>
      <c r="D444" s="121"/>
      <c r="F444" s="365"/>
      <c r="G444" s="62"/>
      <c r="I444" s="62"/>
    </row>
    <row r="445">
      <c r="A445" s="64"/>
      <c r="B445" s="64"/>
      <c r="D445" s="121"/>
      <c r="F445" s="365"/>
      <c r="G445" s="62"/>
      <c r="I445" s="62"/>
    </row>
    <row r="446">
      <c r="A446" s="64"/>
      <c r="B446" s="64"/>
      <c r="D446" s="121"/>
      <c r="F446" s="365"/>
      <c r="G446" s="62"/>
      <c r="I446" s="62"/>
    </row>
    <row r="447">
      <c r="A447" s="64"/>
      <c r="B447" s="64"/>
      <c r="D447" s="121"/>
      <c r="F447" s="365"/>
      <c r="G447" s="62"/>
      <c r="I447" s="62"/>
    </row>
    <row r="448">
      <c r="A448" s="64"/>
      <c r="B448" s="64"/>
      <c r="D448" s="121"/>
      <c r="F448" s="365"/>
      <c r="G448" s="62"/>
      <c r="I448" s="62"/>
    </row>
    <row r="449">
      <c r="A449" s="64"/>
      <c r="B449" s="64"/>
      <c r="D449" s="121"/>
      <c r="F449" s="365"/>
      <c r="G449" s="62"/>
      <c r="I449" s="62"/>
    </row>
    <row r="450">
      <c r="A450" s="64"/>
      <c r="B450" s="64"/>
      <c r="D450" s="121"/>
      <c r="F450" s="365"/>
      <c r="G450" s="62"/>
      <c r="I450" s="62"/>
    </row>
    <row r="451">
      <c r="A451" s="64"/>
      <c r="B451" s="64"/>
      <c r="D451" s="121"/>
      <c r="F451" s="365"/>
      <c r="G451" s="62"/>
      <c r="I451" s="62"/>
    </row>
    <row r="452">
      <c r="A452" s="64"/>
      <c r="B452" s="64"/>
      <c r="D452" s="121"/>
      <c r="F452" s="365"/>
      <c r="G452" s="62"/>
      <c r="I452" s="62"/>
    </row>
    <row r="453">
      <c r="A453" s="64"/>
      <c r="B453" s="64"/>
      <c r="D453" s="121"/>
      <c r="F453" s="365"/>
      <c r="G453" s="62"/>
      <c r="I453" s="62"/>
    </row>
    <row r="454">
      <c r="A454" s="64"/>
      <c r="B454" s="64"/>
      <c r="D454" s="121"/>
      <c r="F454" s="365"/>
      <c r="G454" s="62"/>
      <c r="I454" s="62"/>
    </row>
    <row r="455">
      <c r="A455" s="64"/>
      <c r="B455" s="64"/>
      <c r="D455" s="121"/>
      <c r="F455" s="365"/>
      <c r="G455" s="62"/>
      <c r="I455" s="62"/>
    </row>
    <row r="456">
      <c r="A456" s="64"/>
      <c r="B456" s="64"/>
      <c r="D456" s="121"/>
      <c r="F456" s="365"/>
      <c r="G456" s="62"/>
      <c r="I456" s="62"/>
    </row>
    <row r="457">
      <c r="A457" s="64"/>
      <c r="B457" s="64"/>
      <c r="D457" s="121"/>
      <c r="F457" s="365"/>
      <c r="G457" s="62"/>
      <c r="I457" s="62"/>
    </row>
    <row r="458">
      <c r="A458" s="64"/>
      <c r="B458" s="64"/>
      <c r="D458" s="121"/>
      <c r="F458" s="365"/>
      <c r="G458" s="62"/>
      <c r="I458" s="62"/>
    </row>
    <row r="459">
      <c r="A459" s="64"/>
      <c r="B459" s="64"/>
      <c r="D459" s="121"/>
      <c r="F459" s="365"/>
      <c r="G459" s="62"/>
      <c r="I459" s="62"/>
    </row>
    <row r="460">
      <c r="A460" s="64"/>
      <c r="B460" s="64"/>
      <c r="D460" s="121"/>
      <c r="F460" s="365"/>
      <c r="G460" s="62"/>
      <c r="I460" s="62"/>
    </row>
    <row r="461">
      <c r="A461" s="64"/>
      <c r="B461" s="64"/>
      <c r="D461" s="121"/>
      <c r="F461" s="365"/>
      <c r="G461" s="62"/>
      <c r="I461" s="62"/>
    </row>
    <row r="462">
      <c r="A462" s="64"/>
      <c r="B462" s="64"/>
      <c r="D462" s="121"/>
      <c r="F462" s="365"/>
      <c r="G462" s="62"/>
      <c r="I462" s="62"/>
    </row>
    <row r="463">
      <c r="A463" s="64"/>
      <c r="B463" s="64"/>
      <c r="D463" s="121"/>
      <c r="F463" s="365"/>
      <c r="G463" s="62"/>
      <c r="I463" s="62"/>
    </row>
    <row r="464">
      <c r="A464" s="64"/>
      <c r="B464" s="64"/>
      <c r="D464" s="121"/>
      <c r="F464" s="365"/>
      <c r="G464" s="62"/>
      <c r="I464" s="62"/>
    </row>
    <row r="465">
      <c r="A465" s="64"/>
      <c r="B465" s="64"/>
      <c r="D465" s="121"/>
      <c r="F465" s="365"/>
      <c r="G465" s="62"/>
      <c r="I465" s="62"/>
    </row>
    <row r="466">
      <c r="A466" s="64"/>
      <c r="B466" s="64"/>
      <c r="D466" s="121"/>
      <c r="F466" s="365"/>
      <c r="G466" s="62"/>
      <c r="I466" s="62"/>
    </row>
    <row r="467">
      <c r="A467" s="64"/>
      <c r="B467" s="64"/>
      <c r="D467" s="121"/>
      <c r="F467" s="365"/>
      <c r="G467" s="62"/>
      <c r="I467" s="62"/>
    </row>
    <row r="468">
      <c r="A468" s="64"/>
      <c r="B468" s="64"/>
      <c r="D468" s="121"/>
      <c r="F468" s="365"/>
      <c r="G468" s="62"/>
      <c r="I468" s="62"/>
    </row>
    <row r="469">
      <c r="A469" s="64"/>
      <c r="B469" s="64"/>
      <c r="D469" s="121"/>
      <c r="F469" s="365"/>
      <c r="G469" s="62"/>
      <c r="I469" s="62"/>
    </row>
    <row r="470">
      <c r="A470" s="64"/>
      <c r="B470" s="64"/>
      <c r="D470" s="121"/>
      <c r="F470" s="365"/>
      <c r="G470" s="62"/>
      <c r="I470" s="62"/>
    </row>
    <row r="471">
      <c r="A471" s="64"/>
      <c r="B471" s="64"/>
      <c r="D471" s="121"/>
      <c r="F471" s="365"/>
      <c r="G471" s="62"/>
      <c r="I471" s="62"/>
    </row>
    <row r="472">
      <c r="A472" s="64"/>
      <c r="B472" s="64"/>
      <c r="D472" s="121"/>
      <c r="F472" s="365"/>
      <c r="G472" s="62"/>
      <c r="I472" s="62"/>
    </row>
    <row r="473">
      <c r="A473" s="64"/>
      <c r="B473" s="64"/>
      <c r="D473" s="121"/>
      <c r="F473" s="365"/>
      <c r="G473" s="62"/>
      <c r="I473" s="62"/>
    </row>
    <row r="474">
      <c r="A474" s="64"/>
      <c r="B474" s="64"/>
      <c r="D474" s="121"/>
      <c r="F474" s="365"/>
      <c r="G474" s="62"/>
      <c r="I474" s="62"/>
    </row>
    <row r="475">
      <c r="A475" s="64"/>
      <c r="B475" s="64"/>
      <c r="D475" s="121"/>
      <c r="F475" s="365"/>
      <c r="G475" s="62"/>
      <c r="I475" s="62"/>
    </row>
    <row r="476">
      <c r="A476" s="64"/>
      <c r="B476" s="64"/>
      <c r="D476" s="121"/>
      <c r="F476" s="365"/>
      <c r="G476" s="62"/>
      <c r="I476" s="62"/>
    </row>
    <row r="477">
      <c r="A477" s="64"/>
      <c r="B477" s="64"/>
      <c r="D477" s="121"/>
      <c r="F477" s="365"/>
      <c r="G477" s="62"/>
      <c r="I477" s="62"/>
    </row>
    <row r="478">
      <c r="A478" s="64"/>
      <c r="B478" s="64"/>
      <c r="D478" s="121"/>
      <c r="F478" s="365"/>
      <c r="G478" s="62"/>
      <c r="I478" s="62"/>
    </row>
    <row r="479">
      <c r="A479" s="64"/>
      <c r="B479" s="64"/>
      <c r="D479" s="121"/>
      <c r="F479" s="365"/>
      <c r="G479" s="62"/>
      <c r="I479" s="62"/>
    </row>
    <row r="480">
      <c r="A480" s="64"/>
      <c r="B480" s="64"/>
      <c r="D480" s="121"/>
      <c r="F480" s="365"/>
      <c r="G480" s="62"/>
      <c r="I480" s="62"/>
    </row>
    <row r="481">
      <c r="A481" s="64"/>
      <c r="B481" s="64"/>
      <c r="D481" s="121"/>
      <c r="F481" s="365"/>
      <c r="G481" s="62"/>
      <c r="I481" s="62"/>
    </row>
    <row r="482">
      <c r="A482" s="64"/>
      <c r="B482" s="64"/>
      <c r="D482" s="121"/>
      <c r="F482" s="365"/>
      <c r="G482" s="62"/>
      <c r="I482" s="62"/>
    </row>
    <row r="483">
      <c r="A483" s="64"/>
      <c r="B483" s="64"/>
      <c r="D483" s="121"/>
      <c r="F483" s="365"/>
      <c r="G483" s="62"/>
      <c r="I483" s="62"/>
    </row>
    <row r="484">
      <c r="A484" s="64"/>
      <c r="B484" s="64"/>
      <c r="D484" s="121"/>
      <c r="F484" s="365"/>
      <c r="G484" s="62"/>
      <c r="I484" s="62"/>
    </row>
    <row r="485">
      <c r="A485" s="64"/>
      <c r="B485" s="64"/>
      <c r="D485" s="121"/>
      <c r="F485" s="365"/>
      <c r="G485" s="62"/>
      <c r="I485" s="62"/>
    </row>
    <row r="486">
      <c r="A486" s="64"/>
      <c r="B486" s="64"/>
      <c r="D486" s="121"/>
      <c r="F486" s="365"/>
      <c r="G486" s="62"/>
      <c r="I486" s="62"/>
    </row>
    <row r="487">
      <c r="A487" s="64"/>
      <c r="B487" s="64"/>
      <c r="D487" s="121"/>
      <c r="F487" s="365"/>
      <c r="G487" s="62"/>
      <c r="I487" s="62"/>
    </row>
    <row r="488">
      <c r="A488" s="64"/>
      <c r="B488" s="64"/>
      <c r="D488" s="121"/>
      <c r="F488" s="365"/>
      <c r="G488" s="62"/>
      <c r="I488" s="62"/>
    </row>
    <row r="489">
      <c r="A489" s="64"/>
      <c r="B489" s="64"/>
      <c r="D489" s="121"/>
      <c r="F489" s="365"/>
      <c r="G489" s="62"/>
      <c r="I489" s="62"/>
    </row>
    <row r="490">
      <c r="A490" s="64"/>
      <c r="B490" s="64"/>
      <c r="D490" s="121"/>
      <c r="F490" s="365"/>
      <c r="G490" s="62"/>
      <c r="I490" s="62"/>
    </row>
    <row r="491">
      <c r="A491" s="64"/>
      <c r="B491" s="64"/>
      <c r="D491" s="121"/>
      <c r="F491" s="365"/>
      <c r="G491" s="62"/>
      <c r="I491" s="62"/>
    </row>
    <row r="492">
      <c r="A492" s="64"/>
      <c r="B492" s="64"/>
      <c r="D492" s="121"/>
      <c r="F492" s="365"/>
      <c r="G492" s="62"/>
      <c r="I492" s="62"/>
    </row>
    <row r="493">
      <c r="A493" s="64"/>
      <c r="B493" s="64"/>
      <c r="D493" s="121"/>
      <c r="F493" s="365"/>
      <c r="G493" s="62"/>
      <c r="I493" s="62"/>
    </row>
    <row r="494">
      <c r="A494" s="64"/>
      <c r="B494" s="64"/>
      <c r="D494" s="121"/>
      <c r="F494" s="365"/>
      <c r="G494" s="62"/>
      <c r="I494" s="62"/>
    </row>
    <row r="495">
      <c r="A495" s="64"/>
      <c r="B495" s="64"/>
      <c r="D495" s="121"/>
      <c r="F495" s="365"/>
      <c r="G495" s="62"/>
      <c r="I495" s="62"/>
    </row>
    <row r="496">
      <c r="A496" s="64"/>
      <c r="B496" s="64"/>
      <c r="D496" s="121"/>
      <c r="F496" s="365"/>
      <c r="G496" s="62"/>
      <c r="I496" s="62"/>
    </row>
    <row r="497">
      <c r="A497" s="64"/>
      <c r="B497" s="64"/>
      <c r="D497" s="121"/>
      <c r="F497" s="365"/>
      <c r="G497" s="62"/>
      <c r="I497" s="62"/>
    </row>
    <row r="498">
      <c r="A498" s="64"/>
      <c r="B498" s="64"/>
      <c r="D498" s="121"/>
      <c r="F498" s="365"/>
      <c r="G498" s="62"/>
      <c r="I498" s="62"/>
    </row>
    <row r="499">
      <c r="A499" s="64"/>
      <c r="B499" s="64"/>
      <c r="D499" s="121"/>
      <c r="F499" s="365"/>
      <c r="G499" s="62"/>
      <c r="I499" s="62"/>
    </row>
    <row r="500">
      <c r="A500" s="64"/>
      <c r="B500" s="64"/>
      <c r="D500" s="121"/>
      <c r="F500" s="365"/>
      <c r="G500" s="62"/>
      <c r="I500" s="62"/>
    </row>
    <row r="501">
      <c r="A501" s="64"/>
      <c r="B501" s="64"/>
      <c r="D501" s="121"/>
      <c r="F501" s="365"/>
      <c r="G501" s="62"/>
      <c r="I501" s="62"/>
    </row>
    <row r="502">
      <c r="A502" s="64"/>
      <c r="B502" s="64"/>
      <c r="D502" s="121"/>
      <c r="F502" s="365"/>
      <c r="G502" s="62"/>
      <c r="I502" s="62"/>
    </row>
    <row r="503">
      <c r="A503" s="64"/>
      <c r="B503" s="64"/>
      <c r="D503" s="121"/>
      <c r="F503" s="365"/>
      <c r="G503" s="62"/>
      <c r="I503" s="62"/>
    </row>
    <row r="504">
      <c r="A504" s="64"/>
      <c r="B504" s="64"/>
      <c r="D504" s="121"/>
      <c r="F504" s="365"/>
      <c r="G504" s="62"/>
      <c r="I504" s="62"/>
    </row>
    <row r="505">
      <c r="A505" s="64"/>
      <c r="B505" s="64"/>
      <c r="D505" s="121"/>
      <c r="F505" s="365"/>
      <c r="G505" s="62"/>
      <c r="I505" s="62"/>
    </row>
    <row r="506">
      <c r="A506" s="64"/>
      <c r="B506" s="64"/>
      <c r="D506" s="121"/>
      <c r="F506" s="365"/>
      <c r="G506" s="62"/>
      <c r="I506" s="62"/>
    </row>
    <row r="507">
      <c r="A507" s="64"/>
      <c r="B507" s="64"/>
      <c r="D507" s="121"/>
      <c r="F507" s="365"/>
      <c r="G507" s="62"/>
      <c r="I507" s="62"/>
    </row>
    <row r="508">
      <c r="A508" s="64"/>
      <c r="B508" s="64"/>
      <c r="D508" s="121"/>
      <c r="F508" s="365"/>
      <c r="G508" s="62"/>
      <c r="I508" s="62"/>
    </row>
    <row r="509">
      <c r="A509" s="64"/>
      <c r="B509" s="64"/>
      <c r="D509" s="121"/>
      <c r="F509" s="365"/>
      <c r="G509" s="62"/>
      <c r="I509" s="62"/>
    </row>
    <row r="510">
      <c r="A510" s="64"/>
      <c r="B510" s="64"/>
      <c r="D510" s="121"/>
      <c r="F510" s="365"/>
      <c r="G510" s="62"/>
      <c r="I510" s="62"/>
    </row>
    <row r="511">
      <c r="A511" s="64"/>
      <c r="B511" s="64"/>
      <c r="D511" s="121"/>
      <c r="F511" s="365"/>
      <c r="G511" s="62"/>
      <c r="I511" s="62"/>
    </row>
    <row r="512">
      <c r="A512" s="64"/>
      <c r="B512" s="64"/>
      <c r="D512" s="121"/>
      <c r="F512" s="365"/>
      <c r="G512" s="62"/>
      <c r="I512" s="62"/>
    </row>
    <row r="513">
      <c r="A513" s="64"/>
      <c r="B513" s="64"/>
      <c r="D513" s="121"/>
      <c r="F513" s="365"/>
      <c r="G513" s="62"/>
      <c r="I513" s="62"/>
    </row>
    <row r="514">
      <c r="A514" s="64"/>
      <c r="B514" s="64"/>
      <c r="D514" s="121"/>
      <c r="F514" s="365"/>
      <c r="G514" s="62"/>
      <c r="I514" s="62"/>
    </row>
    <row r="515">
      <c r="A515" s="64"/>
      <c r="B515" s="64"/>
      <c r="D515" s="121"/>
      <c r="F515" s="365"/>
      <c r="G515" s="62"/>
      <c r="I515" s="62"/>
    </row>
    <row r="516">
      <c r="A516" s="64"/>
      <c r="B516" s="64"/>
      <c r="D516" s="121"/>
      <c r="F516" s="365"/>
      <c r="G516" s="62"/>
      <c r="I516" s="62"/>
    </row>
    <row r="517">
      <c r="A517" s="64"/>
      <c r="B517" s="64"/>
      <c r="D517" s="121"/>
      <c r="F517" s="365"/>
      <c r="G517" s="62"/>
      <c r="I517" s="62"/>
    </row>
    <row r="518">
      <c r="A518" s="64"/>
      <c r="B518" s="64"/>
      <c r="D518" s="121"/>
      <c r="F518" s="365"/>
      <c r="G518" s="62"/>
      <c r="I518" s="62"/>
    </row>
    <row r="519">
      <c r="A519" s="64"/>
      <c r="B519" s="64"/>
      <c r="D519" s="121"/>
      <c r="F519" s="365"/>
      <c r="G519" s="62"/>
      <c r="I519" s="62"/>
    </row>
    <row r="520">
      <c r="A520" s="64"/>
      <c r="B520" s="64"/>
      <c r="D520" s="121"/>
      <c r="F520" s="365"/>
      <c r="G520" s="62"/>
      <c r="I520" s="62"/>
    </row>
    <row r="521">
      <c r="A521" s="64"/>
      <c r="B521" s="64"/>
      <c r="D521" s="121"/>
      <c r="F521" s="365"/>
      <c r="G521" s="62"/>
      <c r="I521" s="62"/>
    </row>
    <row r="522">
      <c r="A522" s="64"/>
      <c r="B522" s="64"/>
      <c r="D522" s="121"/>
      <c r="F522" s="365"/>
      <c r="G522" s="62"/>
      <c r="I522" s="62"/>
    </row>
    <row r="523">
      <c r="A523" s="64"/>
      <c r="B523" s="64"/>
      <c r="D523" s="121"/>
      <c r="F523" s="365"/>
      <c r="G523" s="62"/>
      <c r="I523" s="62"/>
    </row>
    <row r="524">
      <c r="A524" s="64"/>
      <c r="B524" s="64"/>
      <c r="D524" s="121"/>
      <c r="F524" s="365"/>
      <c r="G524" s="62"/>
      <c r="I524" s="62"/>
    </row>
    <row r="525">
      <c r="A525" s="64"/>
      <c r="B525" s="64"/>
      <c r="D525" s="121"/>
      <c r="F525" s="365"/>
      <c r="G525" s="62"/>
      <c r="I525" s="62"/>
    </row>
    <row r="526">
      <c r="A526" s="64"/>
      <c r="B526" s="64"/>
      <c r="D526" s="121"/>
      <c r="F526" s="365"/>
      <c r="G526" s="62"/>
      <c r="I526" s="62"/>
    </row>
    <row r="527">
      <c r="A527" s="64"/>
      <c r="B527" s="64"/>
      <c r="D527" s="121"/>
      <c r="F527" s="365"/>
      <c r="G527" s="62"/>
      <c r="I527" s="62"/>
    </row>
    <row r="528">
      <c r="A528" s="64"/>
      <c r="B528" s="64"/>
      <c r="D528" s="121"/>
      <c r="F528" s="365"/>
      <c r="G528" s="62"/>
      <c r="I528" s="62"/>
    </row>
    <row r="529">
      <c r="A529" s="64"/>
      <c r="B529" s="64"/>
      <c r="D529" s="121"/>
      <c r="F529" s="365"/>
      <c r="G529" s="62"/>
      <c r="I529" s="62"/>
    </row>
    <row r="530">
      <c r="A530" s="64"/>
      <c r="B530" s="64"/>
      <c r="D530" s="121"/>
      <c r="F530" s="365"/>
      <c r="G530" s="62"/>
      <c r="I530" s="62"/>
    </row>
    <row r="531">
      <c r="A531" s="64"/>
      <c r="B531" s="64"/>
      <c r="D531" s="121"/>
      <c r="F531" s="365"/>
      <c r="G531" s="62"/>
      <c r="I531" s="62"/>
    </row>
    <row r="532">
      <c r="A532" s="64"/>
      <c r="B532" s="64"/>
      <c r="D532" s="121"/>
      <c r="F532" s="365"/>
      <c r="G532" s="62"/>
      <c r="I532" s="62"/>
    </row>
    <row r="533">
      <c r="A533" s="64"/>
      <c r="B533" s="64"/>
      <c r="D533" s="121"/>
      <c r="F533" s="365"/>
      <c r="G533" s="62"/>
      <c r="I533" s="62"/>
    </row>
    <row r="534">
      <c r="A534" s="64"/>
      <c r="B534" s="64"/>
      <c r="D534" s="121"/>
      <c r="F534" s="365"/>
      <c r="G534" s="62"/>
      <c r="I534" s="62"/>
    </row>
    <row r="535">
      <c r="A535" s="64"/>
      <c r="B535" s="64"/>
      <c r="D535" s="121"/>
      <c r="F535" s="365"/>
      <c r="G535" s="62"/>
      <c r="I535" s="62"/>
    </row>
    <row r="536">
      <c r="A536" s="64"/>
      <c r="B536" s="64"/>
      <c r="D536" s="121"/>
      <c r="F536" s="365"/>
      <c r="G536" s="62"/>
      <c r="I536" s="62"/>
    </row>
    <row r="537">
      <c r="A537" s="64"/>
      <c r="B537" s="64"/>
      <c r="D537" s="121"/>
      <c r="F537" s="365"/>
      <c r="G537" s="62"/>
      <c r="I537" s="62"/>
    </row>
    <row r="538">
      <c r="A538" s="64"/>
      <c r="B538" s="64"/>
      <c r="D538" s="121"/>
      <c r="F538" s="365"/>
      <c r="G538" s="62"/>
      <c r="I538" s="62"/>
    </row>
    <row r="539">
      <c r="A539" s="64"/>
      <c r="B539" s="64"/>
      <c r="D539" s="121"/>
      <c r="F539" s="365"/>
      <c r="G539" s="62"/>
      <c r="I539" s="62"/>
    </row>
    <row r="540">
      <c r="A540" s="64"/>
      <c r="B540" s="64"/>
      <c r="D540" s="121"/>
      <c r="F540" s="365"/>
      <c r="G540" s="62"/>
      <c r="I540" s="62"/>
    </row>
    <row r="541">
      <c r="A541" s="64"/>
      <c r="B541" s="64"/>
      <c r="D541" s="121"/>
      <c r="F541" s="365"/>
      <c r="G541" s="62"/>
      <c r="I541" s="62"/>
    </row>
    <row r="542">
      <c r="A542" s="64"/>
      <c r="B542" s="64"/>
      <c r="D542" s="121"/>
      <c r="F542" s="365"/>
      <c r="G542" s="62"/>
      <c r="I542" s="62"/>
    </row>
    <row r="543">
      <c r="A543" s="64"/>
      <c r="B543" s="64"/>
      <c r="D543" s="121"/>
      <c r="F543" s="365"/>
      <c r="G543" s="62"/>
      <c r="I543" s="62"/>
    </row>
    <row r="544">
      <c r="A544" s="64"/>
      <c r="B544" s="64"/>
      <c r="D544" s="121"/>
      <c r="F544" s="365"/>
      <c r="G544" s="62"/>
      <c r="I544" s="62"/>
    </row>
    <row r="545">
      <c r="A545" s="64"/>
      <c r="B545" s="64"/>
      <c r="D545" s="121"/>
      <c r="F545" s="365"/>
      <c r="G545" s="62"/>
      <c r="I545" s="62"/>
    </row>
    <row r="546">
      <c r="A546" s="64"/>
      <c r="B546" s="64"/>
      <c r="D546" s="121"/>
      <c r="F546" s="365"/>
      <c r="G546" s="62"/>
      <c r="I546" s="62"/>
    </row>
    <row r="547">
      <c r="A547" s="64"/>
      <c r="B547" s="64"/>
      <c r="D547" s="121"/>
      <c r="F547" s="365"/>
      <c r="G547" s="62"/>
      <c r="I547" s="62"/>
    </row>
    <row r="548">
      <c r="A548" s="64"/>
      <c r="B548" s="64"/>
      <c r="D548" s="121"/>
      <c r="F548" s="365"/>
      <c r="G548" s="62"/>
      <c r="I548" s="62"/>
    </row>
    <row r="549">
      <c r="A549" s="64"/>
      <c r="B549" s="64"/>
      <c r="D549" s="121"/>
      <c r="F549" s="365"/>
      <c r="G549" s="62"/>
      <c r="I549" s="62"/>
    </row>
    <row r="550">
      <c r="A550" s="64"/>
      <c r="B550" s="64"/>
      <c r="D550" s="121"/>
      <c r="F550" s="365"/>
      <c r="G550" s="62"/>
      <c r="I550" s="62"/>
    </row>
    <row r="551">
      <c r="A551" s="64"/>
      <c r="B551" s="64"/>
      <c r="D551" s="121"/>
      <c r="F551" s="365"/>
      <c r="G551" s="62"/>
      <c r="I551" s="62"/>
    </row>
    <row r="552">
      <c r="A552" s="64"/>
      <c r="B552" s="64"/>
      <c r="D552" s="121"/>
      <c r="F552" s="365"/>
      <c r="G552" s="62"/>
      <c r="I552" s="62"/>
    </row>
    <row r="553">
      <c r="A553" s="64"/>
      <c r="B553" s="64"/>
      <c r="D553" s="121"/>
      <c r="F553" s="365"/>
      <c r="G553" s="62"/>
      <c r="I553" s="62"/>
    </row>
    <row r="554">
      <c r="A554" s="64"/>
      <c r="B554" s="64"/>
      <c r="D554" s="121"/>
      <c r="F554" s="365"/>
      <c r="G554" s="62"/>
      <c r="I554" s="62"/>
    </row>
    <row r="555">
      <c r="A555" s="64"/>
      <c r="B555" s="64"/>
      <c r="D555" s="121"/>
      <c r="F555" s="365"/>
      <c r="G555" s="62"/>
      <c r="I555" s="62"/>
    </row>
    <row r="556">
      <c r="A556" s="64"/>
      <c r="B556" s="64"/>
      <c r="D556" s="121"/>
      <c r="F556" s="365"/>
      <c r="G556" s="62"/>
      <c r="I556" s="62"/>
    </row>
    <row r="557">
      <c r="A557" s="64"/>
      <c r="B557" s="64"/>
      <c r="D557" s="121"/>
      <c r="F557" s="365"/>
      <c r="G557" s="62"/>
      <c r="I557" s="62"/>
    </row>
    <row r="558">
      <c r="A558" s="64"/>
      <c r="B558" s="64"/>
      <c r="D558" s="121"/>
      <c r="F558" s="365"/>
      <c r="G558" s="62"/>
      <c r="I558" s="62"/>
    </row>
    <row r="559">
      <c r="A559" s="64"/>
      <c r="B559" s="64"/>
      <c r="D559" s="121"/>
      <c r="F559" s="365"/>
      <c r="G559" s="62"/>
      <c r="I559" s="62"/>
    </row>
    <row r="560">
      <c r="A560" s="64"/>
      <c r="B560" s="64"/>
      <c r="D560" s="121"/>
      <c r="F560" s="365"/>
      <c r="G560" s="62"/>
      <c r="I560" s="62"/>
    </row>
    <row r="561">
      <c r="A561" s="64"/>
      <c r="B561" s="64"/>
      <c r="D561" s="121"/>
      <c r="F561" s="365"/>
      <c r="G561" s="62"/>
      <c r="I561" s="62"/>
    </row>
    <row r="562">
      <c r="A562" s="64"/>
      <c r="B562" s="64"/>
      <c r="D562" s="121"/>
      <c r="F562" s="365"/>
      <c r="G562" s="62"/>
      <c r="I562" s="62"/>
    </row>
    <row r="563">
      <c r="A563" s="64"/>
      <c r="B563" s="64"/>
      <c r="D563" s="121"/>
      <c r="F563" s="365"/>
      <c r="G563" s="62"/>
      <c r="I563" s="62"/>
    </row>
    <row r="564">
      <c r="A564" s="64"/>
      <c r="B564" s="64"/>
      <c r="D564" s="121"/>
      <c r="F564" s="365"/>
      <c r="G564" s="62"/>
      <c r="I564" s="62"/>
    </row>
    <row r="565">
      <c r="A565" s="64"/>
      <c r="B565" s="64"/>
      <c r="D565" s="121"/>
      <c r="F565" s="365"/>
      <c r="G565" s="62"/>
      <c r="I565" s="62"/>
    </row>
    <row r="566">
      <c r="A566" s="64"/>
      <c r="B566" s="64"/>
      <c r="D566" s="121"/>
      <c r="F566" s="365"/>
      <c r="G566" s="62"/>
      <c r="I566" s="62"/>
    </row>
    <row r="567">
      <c r="A567" s="64"/>
      <c r="B567" s="64"/>
      <c r="D567" s="121"/>
      <c r="F567" s="365"/>
      <c r="G567" s="62"/>
      <c r="I567" s="62"/>
    </row>
    <row r="568">
      <c r="A568" s="64"/>
      <c r="B568" s="64"/>
      <c r="D568" s="121"/>
      <c r="F568" s="365"/>
      <c r="G568" s="62"/>
      <c r="I568" s="62"/>
    </row>
    <row r="569">
      <c r="A569" s="64"/>
      <c r="B569" s="64"/>
      <c r="D569" s="121"/>
      <c r="F569" s="365"/>
      <c r="G569" s="62"/>
      <c r="I569" s="62"/>
    </row>
    <row r="570">
      <c r="A570" s="64"/>
      <c r="B570" s="64"/>
      <c r="D570" s="121"/>
      <c r="F570" s="365"/>
      <c r="G570" s="62"/>
      <c r="I570" s="62"/>
    </row>
    <row r="571">
      <c r="A571" s="64"/>
      <c r="B571" s="64"/>
      <c r="D571" s="121"/>
      <c r="F571" s="365"/>
      <c r="G571" s="62"/>
      <c r="I571" s="62"/>
    </row>
    <row r="572">
      <c r="A572" s="64"/>
      <c r="B572" s="64"/>
      <c r="D572" s="121"/>
      <c r="F572" s="365"/>
      <c r="G572" s="62"/>
      <c r="I572" s="62"/>
    </row>
    <row r="573">
      <c r="A573" s="64"/>
      <c r="B573" s="64"/>
      <c r="D573" s="121"/>
      <c r="F573" s="365"/>
      <c r="G573" s="62"/>
      <c r="I573" s="62"/>
    </row>
    <row r="574">
      <c r="A574" s="64"/>
      <c r="B574" s="64"/>
      <c r="D574" s="121"/>
      <c r="F574" s="365"/>
      <c r="G574" s="62"/>
      <c r="I574" s="62"/>
    </row>
    <row r="575">
      <c r="A575" s="64"/>
      <c r="B575" s="64"/>
      <c r="D575" s="121"/>
      <c r="F575" s="365"/>
      <c r="G575" s="62"/>
      <c r="I575" s="62"/>
    </row>
    <row r="576">
      <c r="A576" s="64"/>
      <c r="B576" s="64"/>
      <c r="D576" s="121"/>
      <c r="F576" s="365"/>
      <c r="G576" s="62"/>
      <c r="I576" s="62"/>
    </row>
    <row r="577">
      <c r="A577" s="64"/>
      <c r="B577" s="64"/>
      <c r="D577" s="121"/>
      <c r="F577" s="365"/>
      <c r="G577" s="62"/>
      <c r="I577" s="62"/>
    </row>
    <row r="578">
      <c r="A578" s="64"/>
      <c r="B578" s="64"/>
      <c r="D578" s="121"/>
      <c r="F578" s="365"/>
      <c r="G578" s="62"/>
      <c r="I578" s="62"/>
    </row>
    <row r="579">
      <c r="A579" s="64"/>
      <c r="B579" s="64"/>
      <c r="D579" s="121"/>
      <c r="F579" s="365"/>
      <c r="G579" s="62"/>
      <c r="I579" s="62"/>
    </row>
    <row r="580">
      <c r="A580" s="64"/>
      <c r="B580" s="64"/>
      <c r="D580" s="121"/>
      <c r="F580" s="365"/>
      <c r="G580" s="62"/>
      <c r="I580" s="62"/>
    </row>
    <row r="581">
      <c r="A581" s="64"/>
      <c r="B581" s="64"/>
      <c r="D581" s="121"/>
      <c r="F581" s="365"/>
      <c r="G581" s="62"/>
      <c r="I581" s="62"/>
    </row>
    <row r="582">
      <c r="A582" s="64"/>
      <c r="B582" s="64"/>
      <c r="D582" s="121"/>
      <c r="F582" s="365"/>
      <c r="G582" s="62"/>
      <c r="I582" s="62"/>
    </row>
    <row r="583">
      <c r="A583" s="64"/>
      <c r="B583" s="64"/>
      <c r="D583" s="121"/>
      <c r="F583" s="365"/>
      <c r="G583" s="62"/>
      <c r="I583" s="62"/>
    </row>
    <row r="584">
      <c r="A584" s="64"/>
      <c r="B584" s="64"/>
      <c r="D584" s="121"/>
      <c r="F584" s="365"/>
      <c r="G584" s="62"/>
      <c r="I584" s="62"/>
    </row>
    <row r="585">
      <c r="A585" s="64"/>
      <c r="B585" s="64"/>
      <c r="D585" s="121"/>
      <c r="F585" s="365"/>
      <c r="G585" s="62"/>
      <c r="I585" s="62"/>
    </row>
    <row r="586">
      <c r="A586" s="64"/>
      <c r="B586" s="64"/>
      <c r="D586" s="121"/>
      <c r="F586" s="365"/>
      <c r="G586" s="62"/>
      <c r="I586" s="62"/>
    </row>
    <row r="587">
      <c r="A587" s="64"/>
      <c r="B587" s="64"/>
      <c r="D587" s="121"/>
      <c r="F587" s="365"/>
      <c r="G587" s="62"/>
      <c r="I587" s="62"/>
    </row>
    <row r="588">
      <c r="A588" s="64"/>
      <c r="B588" s="64"/>
      <c r="D588" s="121"/>
      <c r="F588" s="365"/>
      <c r="G588" s="62"/>
      <c r="I588" s="62"/>
    </row>
    <row r="589">
      <c r="A589" s="64"/>
      <c r="B589" s="64"/>
      <c r="D589" s="121"/>
      <c r="F589" s="365"/>
      <c r="G589" s="62"/>
      <c r="I589" s="62"/>
    </row>
    <row r="590">
      <c r="A590" s="64"/>
      <c r="B590" s="64"/>
      <c r="D590" s="121"/>
      <c r="F590" s="365"/>
      <c r="G590" s="62"/>
      <c r="I590" s="62"/>
    </row>
    <row r="591">
      <c r="A591" s="64"/>
      <c r="B591" s="64"/>
      <c r="D591" s="121"/>
      <c r="F591" s="365"/>
      <c r="G591" s="62"/>
      <c r="I591" s="62"/>
    </row>
    <row r="592">
      <c r="A592" s="64"/>
      <c r="B592" s="64"/>
      <c r="D592" s="121"/>
      <c r="F592" s="365"/>
      <c r="G592" s="62"/>
      <c r="I592" s="62"/>
    </row>
    <row r="593">
      <c r="A593" s="64"/>
      <c r="B593" s="64"/>
      <c r="D593" s="121"/>
      <c r="F593" s="365"/>
      <c r="G593" s="62"/>
      <c r="I593" s="62"/>
    </row>
    <row r="594">
      <c r="A594" s="64"/>
      <c r="B594" s="64"/>
      <c r="D594" s="121"/>
      <c r="F594" s="365"/>
      <c r="G594" s="62"/>
      <c r="I594" s="62"/>
    </row>
    <row r="595">
      <c r="A595" s="64"/>
      <c r="B595" s="64"/>
      <c r="D595" s="121"/>
      <c r="F595" s="365"/>
      <c r="G595" s="62"/>
      <c r="I595" s="62"/>
    </row>
    <row r="596">
      <c r="A596" s="64"/>
      <c r="B596" s="64"/>
      <c r="D596" s="121"/>
      <c r="F596" s="365"/>
      <c r="G596" s="62"/>
      <c r="I596" s="62"/>
    </row>
    <row r="597">
      <c r="A597" s="64"/>
      <c r="B597" s="64"/>
      <c r="D597" s="121"/>
      <c r="F597" s="365"/>
      <c r="G597" s="62"/>
      <c r="I597" s="62"/>
    </row>
    <row r="598">
      <c r="A598" s="64"/>
      <c r="B598" s="64"/>
      <c r="D598" s="121"/>
      <c r="F598" s="365"/>
      <c r="G598" s="62"/>
      <c r="I598" s="62"/>
    </row>
    <row r="599">
      <c r="A599" s="64"/>
      <c r="B599" s="64"/>
      <c r="D599" s="121"/>
      <c r="F599" s="365"/>
      <c r="G599" s="62"/>
      <c r="I599" s="62"/>
    </row>
    <row r="600">
      <c r="A600" s="64"/>
      <c r="B600" s="64"/>
      <c r="D600" s="121"/>
      <c r="F600" s="365"/>
      <c r="G600" s="62"/>
      <c r="I600" s="62"/>
    </row>
    <row r="601">
      <c r="A601" s="64"/>
      <c r="B601" s="64"/>
      <c r="D601" s="121"/>
      <c r="F601" s="365"/>
      <c r="G601" s="62"/>
      <c r="I601" s="62"/>
    </row>
    <row r="602">
      <c r="A602" s="64"/>
      <c r="B602" s="64"/>
      <c r="D602" s="121"/>
      <c r="F602" s="365"/>
      <c r="G602" s="62"/>
      <c r="I602" s="62"/>
    </row>
    <row r="603">
      <c r="A603" s="64"/>
      <c r="B603" s="64"/>
      <c r="D603" s="121"/>
      <c r="F603" s="365"/>
      <c r="G603" s="62"/>
      <c r="I603" s="62"/>
    </row>
    <row r="604">
      <c r="A604" s="64"/>
      <c r="B604" s="64"/>
      <c r="D604" s="121"/>
      <c r="F604" s="365"/>
      <c r="G604" s="62"/>
      <c r="I604" s="62"/>
    </row>
    <row r="605">
      <c r="A605" s="64"/>
      <c r="B605" s="64"/>
      <c r="D605" s="121"/>
      <c r="F605" s="365"/>
      <c r="G605" s="62"/>
      <c r="I605" s="62"/>
    </row>
    <row r="606">
      <c r="A606" s="64"/>
      <c r="B606" s="64"/>
      <c r="D606" s="121"/>
      <c r="F606" s="365"/>
      <c r="G606" s="62"/>
      <c r="I606" s="62"/>
    </row>
    <row r="607">
      <c r="A607" s="64"/>
      <c r="B607" s="64"/>
      <c r="D607" s="121"/>
      <c r="F607" s="365"/>
      <c r="G607" s="62"/>
      <c r="I607" s="62"/>
    </row>
    <row r="608">
      <c r="A608" s="64"/>
      <c r="B608" s="64"/>
      <c r="D608" s="121"/>
      <c r="F608" s="365"/>
      <c r="G608" s="62"/>
      <c r="I608" s="62"/>
    </row>
    <row r="609">
      <c r="A609" s="64"/>
      <c r="B609" s="64"/>
      <c r="D609" s="121"/>
      <c r="F609" s="365"/>
      <c r="G609" s="62"/>
      <c r="I609" s="62"/>
    </row>
    <row r="610">
      <c r="A610" s="64"/>
      <c r="B610" s="64"/>
      <c r="D610" s="121"/>
      <c r="F610" s="365"/>
      <c r="G610" s="62"/>
      <c r="I610" s="62"/>
    </row>
    <row r="611">
      <c r="A611" s="64"/>
      <c r="B611" s="64"/>
      <c r="D611" s="121"/>
      <c r="F611" s="365"/>
      <c r="G611" s="62"/>
      <c r="I611" s="62"/>
    </row>
    <row r="612">
      <c r="A612" s="64"/>
      <c r="B612" s="64"/>
      <c r="D612" s="121"/>
      <c r="F612" s="365"/>
      <c r="G612" s="62"/>
      <c r="I612" s="62"/>
    </row>
    <row r="613">
      <c r="A613" s="64"/>
      <c r="B613" s="64"/>
      <c r="D613" s="121"/>
      <c r="F613" s="365"/>
      <c r="G613" s="62"/>
      <c r="I613" s="62"/>
    </row>
    <row r="614">
      <c r="A614" s="64"/>
      <c r="B614" s="64"/>
      <c r="D614" s="121"/>
      <c r="F614" s="365"/>
      <c r="G614" s="62"/>
      <c r="I614" s="62"/>
    </row>
    <row r="615">
      <c r="A615" s="64"/>
      <c r="B615" s="64"/>
      <c r="D615" s="121"/>
      <c r="F615" s="365"/>
      <c r="G615" s="62"/>
      <c r="I615" s="62"/>
    </row>
    <row r="616">
      <c r="A616" s="64"/>
      <c r="B616" s="64"/>
      <c r="D616" s="121"/>
      <c r="F616" s="365"/>
      <c r="G616" s="62"/>
      <c r="I616" s="62"/>
    </row>
    <row r="617">
      <c r="A617" s="64"/>
      <c r="B617" s="64"/>
      <c r="D617" s="121"/>
      <c r="F617" s="365"/>
      <c r="G617" s="62"/>
      <c r="I617" s="62"/>
    </row>
    <row r="618">
      <c r="A618" s="64"/>
      <c r="B618" s="64"/>
      <c r="D618" s="121"/>
      <c r="F618" s="365"/>
      <c r="G618" s="62"/>
      <c r="I618" s="62"/>
    </row>
    <row r="619">
      <c r="A619" s="64"/>
      <c r="B619" s="64"/>
      <c r="D619" s="121"/>
      <c r="F619" s="365"/>
      <c r="G619" s="62"/>
      <c r="I619" s="62"/>
    </row>
    <row r="620">
      <c r="A620" s="64"/>
      <c r="B620" s="64"/>
      <c r="D620" s="121"/>
      <c r="F620" s="365"/>
      <c r="G620" s="62"/>
      <c r="I620" s="62"/>
    </row>
    <row r="621">
      <c r="A621" s="64"/>
      <c r="B621" s="64"/>
      <c r="D621" s="121"/>
      <c r="F621" s="365"/>
      <c r="G621" s="62"/>
      <c r="I621" s="62"/>
    </row>
    <row r="622">
      <c r="A622" s="64"/>
      <c r="B622" s="64"/>
      <c r="D622" s="121"/>
      <c r="F622" s="365"/>
      <c r="G622" s="62"/>
      <c r="I622" s="62"/>
    </row>
    <row r="623">
      <c r="A623" s="64"/>
      <c r="B623" s="64"/>
      <c r="D623" s="121"/>
      <c r="F623" s="365"/>
      <c r="G623" s="62"/>
      <c r="I623" s="62"/>
    </row>
    <row r="624">
      <c r="A624" s="64"/>
      <c r="B624" s="64"/>
      <c r="D624" s="121"/>
      <c r="F624" s="365"/>
      <c r="G624" s="62"/>
      <c r="I624" s="62"/>
    </row>
    <row r="625">
      <c r="A625" s="64"/>
      <c r="B625" s="64"/>
      <c r="D625" s="121"/>
      <c r="F625" s="365"/>
      <c r="G625" s="62"/>
      <c r="I625" s="62"/>
    </row>
    <row r="626">
      <c r="A626" s="64"/>
      <c r="B626" s="64"/>
      <c r="D626" s="121"/>
      <c r="F626" s="365"/>
      <c r="G626" s="62"/>
      <c r="I626" s="62"/>
    </row>
    <row r="627">
      <c r="A627" s="64"/>
      <c r="B627" s="64"/>
      <c r="D627" s="121"/>
      <c r="F627" s="365"/>
      <c r="G627" s="62"/>
      <c r="I627" s="62"/>
    </row>
    <row r="628">
      <c r="A628" s="64"/>
      <c r="B628" s="64"/>
      <c r="D628" s="121"/>
      <c r="F628" s="365"/>
      <c r="G628" s="62"/>
      <c r="I628" s="62"/>
    </row>
    <row r="629">
      <c r="A629" s="64"/>
      <c r="B629" s="64"/>
      <c r="D629" s="121"/>
      <c r="F629" s="365"/>
      <c r="G629" s="62"/>
      <c r="I629" s="62"/>
    </row>
    <row r="630">
      <c r="A630" s="64"/>
      <c r="B630" s="64"/>
      <c r="D630" s="121"/>
      <c r="F630" s="365"/>
      <c r="G630" s="62"/>
      <c r="I630" s="62"/>
    </row>
    <row r="631">
      <c r="A631" s="64"/>
      <c r="B631" s="64"/>
      <c r="D631" s="121"/>
      <c r="F631" s="365"/>
      <c r="G631" s="62"/>
      <c r="I631" s="62"/>
    </row>
    <row r="632">
      <c r="A632" s="64"/>
      <c r="B632" s="64"/>
      <c r="D632" s="121"/>
      <c r="F632" s="365"/>
      <c r="G632" s="62"/>
      <c r="I632" s="62"/>
    </row>
    <row r="633">
      <c r="A633" s="64"/>
      <c r="B633" s="64"/>
      <c r="D633" s="121"/>
      <c r="F633" s="365"/>
      <c r="G633" s="62"/>
      <c r="I633" s="62"/>
    </row>
    <row r="634">
      <c r="A634" s="64"/>
      <c r="B634" s="64"/>
      <c r="D634" s="121"/>
      <c r="F634" s="365"/>
      <c r="G634" s="62"/>
      <c r="I634" s="62"/>
    </row>
    <row r="635">
      <c r="A635" s="64"/>
      <c r="B635" s="64"/>
      <c r="D635" s="121"/>
      <c r="F635" s="365"/>
      <c r="G635" s="62"/>
      <c r="I635" s="62"/>
    </row>
    <row r="636">
      <c r="A636" s="64"/>
      <c r="B636" s="64"/>
      <c r="D636" s="121"/>
      <c r="F636" s="365"/>
      <c r="G636" s="62"/>
      <c r="I636" s="62"/>
    </row>
    <row r="637">
      <c r="A637" s="64"/>
      <c r="B637" s="64"/>
      <c r="D637" s="121"/>
      <c r="F637" s="365"/>
      <c r="G637" s="62"/>
      <c r="I637" s="62"/>
    </row>
    <row r="638">
      <c r="A638" s="64"/>
      <c r="B638" s="64"/>
      <c r="D638" s="121"/>
      <c r="F638" s="365"/>
      <c r="G638" s="62"/>
      <c r="I638" s="62"/>
    </row>
    <row r="639">
      <c r="A639" s="64"/>
      <c r="B639" s="64"/>
      <c r="D639" s="121"/>
      <c r="F639" s="365"/>
      <c r="G639" s="62"/>
      <c r="I639" s="62"/>
    </row>
    <row r="640">
      <c r="A640" s="64"/>
      <c r="B640" s="64"/>
      <c r="D640" s="121"/>
      <c r="F640" s="365"/>
      <c r="G640" s="62"/>
      <c r="I640" s="62"/>
    </row>
    <row r="641">
      <c r="A641" s="64"/>
      <c r="B641" s="64"/>
      <c r="D641" s="121"/>
      <c r="F641" s="365"/>
      <c r="G641" s="62"/>
      <c r="I641" s="62"/>
    </row>
    <row r="642">
      <c r="A642" s="64"/>
      <c r="B642" s="64"/>
      <c r="D642" s="121"/>
      <c r="F642" s="365"/>
      <c r="G642" s="62"/>
      <c r="I642" s="62"/>
    </row>
    <row r="643">
      <c r="A643" s="64"/>
      <c r="B643" s="64"/>
      <c r="D643" s="121"/>
      <c r="F643" s="365"/>
      <c r="G643" s="62"/>
      <c r="I643" s="62"/>
    </row>
    <row r="644">
      <c r="A644" s="64"/>
      <c r="B644" s="64"/>
      <c r="D644" s="121"/>
      <c r="F644" s="365"/>
      <c r="G644" s="62"/>
      <c r="I644" s="62"/>
    </row>
    <row r="645">
      <c r="A645" s="64"/>
      <c r="B645" s="64"/>
      <c r="D645" s="121"/>
      <c r="F645" s="365"/>
      <c r="G645" s="62"/>
      <c r="I645" s="62"/>
    </row>
    <row r="646">
      <c r="A646" s="64"/>
      <c r="B646" s="64"/>
      <c r="D646" s="121"/>
      <c r="F646" s="365"/>
      <c r="G646" s="62"/>
      <c r="I646" s="62"/>
    </row>
    <row r="647">
      <c r="A647" s="64"/>
      <c r="B647" s="64"/>
      <c r="D647" s="121"/>
      <c r="F647" s="365"/>
      <c r="G647" s="62"/>
      <c r="I647" s="62"/>
    </row>
    <row r="648">
      <c r="A648" s="64"/>
      <c r="B648" s="64"/>
      <c r="D648" s="121"/>
      <c r="F648" s="365"/>
      <c r="G648" s="62"/>
      <c r="I648" s="62"/>
    </row>
    <row r="649">
      <c r="A649" s="64"/>
      <c r="B649" s="64"/>
      <c r="D649" s="121"/>
      <c r="F649" s="365"/>
      <c r="G649" s="62"/>
      <c r="I649" s="62"/>
    </row>
    <row r="650">
      <c r="A650" s="64"/>
      <c r="B650" s="64"/>
      <c r="D650" s="121"/>
      <c r="F650" s="365"/>
      <c r="G650" s="62"/>
      <c r="I650" s="62"/>
    </row>
    <row r="651">
      <c r="A651" s="64"/>
      <c r="B651" s="64"/>
      <c r="D651" s="121"/>
      <c r="F651" s="365"/>
      <c r="G651" s="62"/>
      <c r="I651" s="62"/>
    </row>
    <row r="652">
      <c r="A652" s="64"/>
      <c r="B652" s="64"/>
      <c r="D652" s="121"/>
      <c r="F652" s="365"/>
      <c r="G652" s="62"/>
      <c r="I652" s="62"/>
    </row>
    <row r="653">
      <c r="A653" s="64"/>
      <c r="B653" s="64"/>
      <c r="D653" s="121"/>
      <c r="F653" s="365"/>
      <c r="G653" s="62"/>
      <c r="I653" s="62"/>
    </row>
    <row r="654">
      <c r="A654" s="64"/>
      <c r="B654" s="64"/>
      <c r="D654" s="121"/>
      <c r="F654" s="365"/>
      <c r="G654" s="62"/>
      <c r="I654" s="62"/>
    </row>
    <row r="655">
      <c r="A655" s="64"/>
      <c r="B655" s="64"/>
      <c r="D655" s="121"/>
      <c r="F655" s="365"/>
      <c r="G655" s="62"/>
      <c r="I655" s="62"/>
    </row>
    <row r="656">
      <c r="A656" s="64"/>
      <c r="B656" s="64"/>
      <c r="D656" s="121"/>
      <c r="F656" s="365"/>
      <c r="G656" s="62"/>
      <c r="I656" s="62"/>
    </row>
    <row r="657">
      <c r="A657" s="64"/>
      <c r="B657" s="64"/>
      <c r="D657" s="121"/>
      <c r="F657" s="365"/>
      <c r="G657" s="62"/>
      <c r="I657" s="62"/>
    </row>
    <row r="658">
      <c r="A658" s="64"/>
      <c r="B658" s="64"/>
      <c r="D658" s="121"/>
      <c r="F658" s="365"/>
      <c r="G658" s="62"/>
      <c r="I658" s="62"/>
    </row>
    <row r="659">
      <c r="A659" s="64"/>
      <c r="B659" s="64"/>
      <c r="D659" s="121"/>
      <c r="F659" s="365"/>
      <c r="G659" s="62"/>
      <c r="I659" s="62"/>
    </row>
    <row r="660">
      <c r="A660" s="64"/>
      <c r="B660" s="64"/>
      <c r="D660" s="121"/>
      <c r="F660" s="365"/>
      <c r="G660" s="62"/>
      <c r="I660" s="62"/>
    </row>
    <row r="661">
      <c r="A661" s="64"/>
      <c r="B661" s="64"/>
      <c r="D661" s="121"/>
      <c r="F661" s="365"/>
      <c r="G661" s="62"/>
      <c r="I661" s="62"/>
    </row>
    <row r="662">
      <c r="A662" s="64"/>
      <c r="B662" s="64"/>
      <c r="D662" s="121"/>
      <c r="F662" s="365"/>
      <c r="G662" s="62"/>
      <c r="I662" s="62"/>
    </row>
    <row r="663">
      <c r="A663" s="64"/>
      <c r="B663" s="64"/>
      <c r="D663" s="121"/>
      <c r="F663" s="365"/>
      <c r="G663" s="62"/>
      <c r="I663" s="62"/>
    </row>
    <row r="664">
      <c r="A664" s="64"/>
      <c r="B664" s="64"/>
      <c r="D664" s="121"/>
      <c r="F664" s="365"/>
      <c r="G664" s="62"/>
      <c r="I664" s="62"/>
    </row>
    <row r="665">
      <c r="A665" s="64"/>
      <c r="B665" s="64"/>
      <c r="D665" s="121"/>
      <c r="F665" s="365"/>
      <c r="G665" s="62"/>
      <c r="I665" s="62"/>
    </row>
    <row r="666">
      <c r="A666" s="64"/>
      <c r="B666" s="64"/>
      <c r="D666" s="121"/>
      <c r="F666" s="365"/>
      <c r="G666" s="62"/>
      <c r="I666" s="62"/>
    </row>
    <row r="667">
      <c r="A667" s="64"/>
      <c r="B667" s="64"/>
      <c r="D667" s="121"/>
      <c r="F667" s="365"/>
      <c r="G667" s="62"/>
      <c r="I667" s="62"/>
    </row>
    <row r="668">
      <c r="A668" s="64"/>
      <c r="B668" s="64"/>
      <c r="D668" s="121"/>
      <c r="F668" s="365"/>
      <c r="G668" s="62"/>
      <c r="I668" s="62"/>
    </row>
    <row r="669">
      <c r="A669" s="64"/>
      <c r="B669" s="64"/>
      <c r="D669" s="121"/>
      <c r="F669" s="365"/>
      <c r="G669" s="62"/>
      <c r="I669" s="62"/>
    </row>
    <row r="670">
      <c r="A670" s="64"/>
      <c r="B670" s="64"/>
      <c r="D670" s="121"/>
      <c r="F670" s="365"/>
      <c r="G670" s="62"/>
      <c r="I670" s="62"/>
    </row>
    <row r="671">
      <c r="A671" s="64"/>
      <c r="B671" s="64"/>
      <c r="D671" s="121"/>
      <c r="F671" s="365"/>
      <c r="G671" s="62"/>
      <c r="I671" s="62"/>
    </row>
    <row r="672">
      <c r="A672" s="64"/>
      <c r="B672" s="64"/>
      <c r="D672" s="121"/>
      <c r="F672" s="365"/>
      <c r="G672" s="62"/>
      <c r="I672" s="62"/>
    </row>
    <row r="673">
      <c r="A673" s="64"/>
      <c r="B673" s="64"/>
      <c r="D673" s="121"/>
      <c r="F673" s="365"/>
      <c r="G673" s="62"/>
      <c r="I673" s="62"/>
    </row>
    <row r="674">
      <c r="A674" s="64"/>
      <c r="B674" s="64"/>
      <c r="D674" s="121"/>
      <c r="F674" s="365"/>
      <c r="G674" s="62"/>
      <c r="I674" s="62"/>
    </row>
    <row r="675">
      <c r="A675" s="64"/>
      <c r="B675" s="64"/>
      <c r="D675" s="121"/>
      <c r="F675" s="365"/>
      <c r="G675" s="62"/>
      <c r="I675" s="62"/>
    </row>
    <row r="676">
      <c r="A676" s="64"/>
      <c r="B676" s="64"/>
      <c r="D676" s="121"/>
      <c r="F676" s="365"/>
      <c r="G676" s="62"/>
      <c r="I676" s="62"/>
    </row>
    <row r="677">
      <c r="A677" s="64"/>
      <c r="B677" s="64"/>
      <c r="D677" s="121"/>
      <c r="F677" s="365"/>
      <c r="G677" s="62"/>
      <c r="I677" s="62"/>
    </row>
    <row r="678">
      <c r="A678" s="64"/>
      <c r="B678" s="64"/>
      <c r="D678" s="121"/>
      <c r="F678" s="365"/>
      <c r="G678" s="62"/>
      <c r="I678" s="62"/>
    </row>
    <row r="679">
      <c r="A679" s="64"/>
      <c r="B679" s="64"/>
      <c r="D679" s="121"/>
      <c r="F679" s="365"/>
      <c r="G679" s="62"/>
      <c r="I679" s="62"/>
    </row>
    <row r="680">
      <c r="A680" s="64"/>
      <c r="B680" s="64"/>
      <c r="D680" s="121"/>
      <c r="F680" s="365"/>
      <c r="G680" s="62"/>
      <c r="I680" s="62"/>
    </row>
    <row r="681">
      <c r="A681" s="64"/>
      <c r="B681" s="64"/>
      <c r="D681" s="121"/>
      <c r="F681" s="365"/>
      <c r="G681" s="62"/>
      <c r="I681" s="62"/>
    </row>
    <row r="682">
      <c r="A682" s="64"/>
      <c r="B682" s="64"/>
      <c r="D682" s="121"/>
      <c r="F682" s="365"/>
      <c r="G682" s="62"/>
      <c r="I682" s="62"/>
    </row>
    <row r="683">
      <c r="A683" s="64"/>
      <c r="B683" s="64"/>
      <c r="D683" s="121"/>
      <c r="F683" s="365"/>
      <c r="G683" s="62"/>
      <c r="I683" s="62"/>
    </row>
    <row r="684">
      <c r="A684" s="64"/>
      <c r="B684" s="64"/>
      <c r="D684" s="121"/>
      <c r="F684" s="365"/>
      <c r="G684" s="62"/>
      <c r="I684" s="62"/>
    </row>
    <row r="685">
      <c r="A685" s="64"/>
      <c r="B685" s="64"/>
      <c r="D685" s="121"/>
      <c r="F685" s="365"/>
      <c r="G685" s="62"/>
      <c r="I685" s="62"/>
    </row>
    <row r="686">
      <c r="A686" s="64"/>
      <c r="B686" s="64"/>
      <c r="D686" s="121"/>
      <c r="F686" s="365"/>
      <c r="G686" s="62"/>
      <c r="I686" s="62"/>
    </row>
    <row r="687">
      <c r="A687" s="64"/>
      <c r="B687" s="64"/>
      <c r="D687" s="121"/>
      <c r="F687" s="365"/>
      <c r="G687" s="62"/>
      <c r="I687" s="62"/>
    </row>
    <row r="688">
      <c r="A688" s="64"/>
      <c r="B688" s="64"/>
      <c r="D688" s="121"/>
      <c r="F688" s="365"/>
      <c r="G688" s="62"/>
      <c r="I688" s="62"/>
    </row>
    <row r="689">
      <c r="A689" s="64"/>
      <c r="B689" s="64"/>
      <c r="D689" s="121"/>
      <c r="F689" s="365"/>
      <c r="G689" s="62"/>
      <c r="I689" s="62"/>
    </row>
    <row r="690">
      <c r="A690" s="64"/>
      <c r="B690" s="64"/>
      <c r="D690" s="121"/>
      <c r="F690" s="365"/>
      <c r="G690" s="62"/>
      <c r="I690" s="62"/>
    </row>
    <row r="691">
      <c r="A691" s="64"/>
      <c r="B691" s="64"/>
      <c r="D691" s="121"/>
      <c r="F691" s="365"/>
      <c r="G691" s="62"/>
      <c r="I691" s="62"/>
    </row>
    <row r="692">
      <c r="A692" s="64"/>
      <c r="B692" s="64"/>
      <c r="D692" s="121"/>
      <c r="F692" s="365"/>
      <c r="G692" s="62"/>
      <c r="I692" s="62"/>
    </row>
    <row r="693">
      <c r="A693" s="64"/>
      <c r="B693" s="64"/>
      <c r="D693" s="121"/>
      <c r="F693" s="365"/>
      <c r="G693" s="62"/>
      <c r="I693" s="62"/>
    </row>
    <row r="694">
      <c r="A694" s="64"/>
      <c r="B694" s="64"/>
      <c r="D694" s="121"/>
      <c r="F694" s="365"/>
      <c r="G694" s="62"/>
      <c r="I694" s="62"/>
    </row>
    <row r="695">
      <c r="A695" s="64"/>
      <c r="B695" s="64"/>
      <c r="D695" s="121"/>
      <c r="F695" s="365"/>
      <c r="G695" s="62"/>
      <c r="I695" s="62"/>
    </row>
    <row r="696">
      <c r="A696" s="64"/>
      <c r="B696" s="64"/>
      <c r="D696" s="121"/>
      <c r="F696" s="365"/>
      <c r="G696" s="62"/>
      <c r="I696" s="62"/>
    </row>
    <row r="697">
      <c r="A697" s="64"/>
      <c r="B697" s="64"/>
      <c r="D697" s="121"/>
      <c r="F697" s="365"/>
      <c r="G697" s="62"/>
      <c r="I697" s="62"/>
    </row>
    <row r="698">
      <c r="A698" s="64"/>
      <c r="B698" s="64"/>
      <c r="D698" s="121"/>
      <c r="F698" s="365"/>
      <c r="G698" s="62"/>
      <c r="I698" s="62"/>
    </row>
    <row r="699">
      <c r="A699" s="64"/>
      <c r="B699" s="64"/>
      <c r="D699" s="121"/>
      <c r="F699" s="365"/>
      <c r="G699" s="62"/>
      <c r="I699" s="62"/>
    </row>
    <row r="700">
      <c r="A700" s="64"/>
      <c r="B700" s="64"/>
      <c r="D700" s="121"/>
      <c r="F700" s="365"/>
      <c r="G700" s="62"/>
      <c r="I700" s="62"/>
    </row>
    <row r="701">
      <c r="A701" s="64"/>
      <c r="B701" s="64"/>
      <c r="D701" s="121"/>
      <c r="F701" s="365"/>
      <c r="G701" s="62"/>
      <c r="I701" s="62"/>
    </row>
    <row r="702">
      <c r="A702" s="64"/>
      <c r="B702" s="64"/>
      <c r="D702" s="121"/>
      <c r="F702" s="365"/>
      <c r="G702" s="62"/>
      <c r="I702" s="62"/>
    </row>
    <row r="703">
      <c r="A703" s="64"/>
      <c r="B703" s="64"/>
      <c r="D703" s="121"/>
      <c r="F703" s="365"/>
      <c r="G703" s="62"/>
      <c r="I703" s="62"/>
    </row>
    <row r="704">
      <c r="A704" s="64"/>
      <c r="B704" s="64"/>
      <c r="D704" s="121"/>
      <c r="F704" s="365"/>
      <c r="G704" s="62"/>
      <c r="I704" s="62"/>
    </row>
    <row r="705">
      <c r="A705" s="64"/>
      <c r="B705" s="64"/>
      <c r="D705" s="121"/>
      <c r="F705" s="365"/>
      <c r="G705" s="62"/>
      <c r="I705" s="62"/>
    </row>
    <row r="706">
      <c r="A706" s="64"/>
      <c r="B706" s="64"/>
      <c r="D706" s="121"/>
      <c r="F706" s="365"/>
      <c r="G706" s="62"/>
      <c r="I706" s="62"/>
    </row>
    <row r="707">
      <c r="A707" s="64"/>
      <c r="B707" s="64"/>
      <c r="D707" s="121"/>
      <c r="F707" s="365"/>
      <c r="G707" s="62"/>
      <c r="I707" s="62"/>
    </row>
    <row r="708">
      <c r="A708" s="64"/>
      <c r="B708" s="64"/>
      <c r="D708" s="121"/>
      <c r="F708" s="365"/>
      <c r="G708" s="62"/>
      <c r="I708" s="62"/>
    </row>
    <row r="709">
      <c r="A709" s="64"/>
      <c r="B709" s="64"/>
      <c r="D709" s="121"/>
      <c r="F709" s="365"/>
      <c r="G709" s="62"/>
      <c r="I709" s="62"/>
    </row>
    <row r="710">
      <c r="A710" s="64"/>
      <c r="B710" s="64"/>
      <c r="D710" s="121"/>
      <c r="F710" s="365"/>
      <c r="G710" s="62"/>
      <c r="I710" s="62"/>
    </row>
    <row r="711">
      <c r="A711" s="64"/>
      <c r="B711" s="64"/>
      <c r="D711" s="121"/>
      <c r="F711" s="365"/>
      <c r="G711" s="62"/>
      <c r="I711" s="62"/>
    </row>
    <row r="712">
      <c r="A712" s="64"/>
      <c r="B712" s="64"/>
      <c r="D712" s="121"/>
      <c r="F712" s="365"/>
      <c r="G712" s="62"/>
      <c r="I712" s="62"/>
    </row>
    <row r="713">
      <c r="A713" s="64"/>
      <c r="B713" s="64"/>
      <c r="D713" s="121"/>
      <c r="F713" s="365"/>
      <c r="G713" s="62"/>
      <c r="I713" s="62"/>
    </row>
    <row r="714">
      <c r="A714" s="64"/>
      <c r="B714" s="64"/>
      <c r="D714" s="121"/>
      <c r="F714" s="365"/>
      <c r="G714" s="62"/>
      <c r="I714" s="62"/>
    </row>
    <row r="715">
      <c r="A715" s="64"/>
      <c r="B715" s="64"/>
      <c r="D715" s="121"/>
      <c r="F715" s="365"/>
      <c r="G715" s="62"/>
      <c r="I715" s="62"/>
    </row>
    <row r="716">
      <c r="A716" s="64"/>
      <c r="B716" s="64"/>
      <c r="D716" s="121"/>
      <c r="F716" s="365"/>
      <c r="G716" s="62"/>
      <c r="I716" s="62"/>
    </row>
    <row r="717">
      <c r="A717" s="64"/>
      <c r="B717" s="64"/>
      <c r="D717" s="121"/>
      <c r="F717" s="365"/>
      <c r="G717" s="62"/>
      <c r="I717" s="62"/>
    </row>
    <row r="718">
      <c r="A718" s="64"/>
      <c r="B718" s="64"/>
      <c r="D718" s="121"/>
      <c r="F718" s="365"/>
      <c r="G718" s="62"/>
      <c r="I718" s="62"/>
    </row>
    <row r="719">
      <c r="A719" s="64"/>
      <c r="B719" s="64"/>
      <c r="D719" s="121"/>
      <c r="F719" s="365"/>
      <c r="G719" s="62"/>
      <c r="I719" s="62"/>
    </row>
    <row r="720">
      <c r="A720" s="64"/>
      <c r="B720" s="64"/>
      <c r="D720" s="121"/>
      <c r="F720" s="365"/>
      <c r="G720" s="62"/>
      <c r="I720" s="62"/>
    </row>
    <row r="721">
      <c r="A721" s="64"/>
      <c r="B721" s="64"/>
      <c r="D721" s="121"/>
      <c r="F721" s="365"/>
      <c r="G721" s="62"/>
      <c r="I721" s="62"/>
    </row>
    <row r="722">
      <c r="A722" s="64"/>
      <c r="B722" s="64"/>
      <c r="D722" s="121"/>
      <c r="F722" s="365"/>
      <c r="G722" s="62"/>
      <c r="I722" s="62"/>
    </row>
    <row r="723">
      <c r="A723" s="64"/>
      <c r="B723" s="64"/>
      <c r="D723" s="121"/>
      <c r="F723" s="365"/>
      <c r="G723" s="62"/>
      <c r="I723" s="62"/>
    </row>
    <row r="724">
      <c r="A724" s="64"/>
      <c r="B724" s="64"/>
      <c r="D724" s="121"/>
      <c r="F724" s="365"/>
      <c r="G724" s="62"/>
      <c r="I724" s="62"/>
    </row>
    <row r="725">
      <c r="A725" s="64"/>
      <c r="B725" s="64"/>
      <c r="D725" s="121"/>
      <c r="F725" s="365"/>
      <c r="G725" s="62"/>
      <c r="I725" s="62"/>
    </row>
    <row r="726">
      <c r="A726" s="64"/>
      <c r="B726" s="64"/>
      <c r="D726" s="121"/>
      <c r="F726" s="365"/>
      <c r="G726" s="62"/>
      <c r="I726" s="62"/>
    </row>
    <row r="727">
      <c r="A727" s="64"/>
      <c r="B727" s="64"/>
      <c r="D727" s="121"/>
      <c r="F727" s="365"/>
      <c r="G727" s="62"/>
      <c r="I727" s="62"/>
    </row>
    <row r="728">
      <c r="A728" s="64"/>
      <c r="B728" s="64"/>
      <c r="D728" s="121"/>
      <c r="F728" s="365"/>
      <c r="G728" s="62"/>
      <c r="I728" s="62"/>
    </row>
    <row r="729">
      <c r="A729" s="64"/>
      <c r="B729" s="64"/>
      <c r="D729" s="121"/>
      <c r="F729" s="365"/>
      <c r="G729" s="62"/>
      <c r="I729" s="62"/>
    </row>
    <row r="730">
      <c r="A730" s="64"/>
      <c r="B730" s="64"/>
      <c r="D730" s="121"/>
      <c r="F730" s="365"/>
      <c r="G730" s="62"/>
      <c r="I730" s="62"/>
    </row>
    <row r="731">
      <c r="A731" s="64"/>
      <c r="B731" s="64"/>
      <c r="D731" s="121"/>
      <c r="F731" s="365"/>
      <c r="G731" s="62"/>
      <c r="I731" s="62"/>
    </row>
    <row r="732">
      <c r="A732" s="64"/>
      <c r="B732" s="64"/>
      <c r="D732" s="121"/>
      <c r="F732" s="365"/>
      <c r="G732" s="62"/>
      <c r="I732" s="62"/>
    </row>
    <row r="733">
      <c r="A733" s="64"/>
      <c r="B733" s="64"/>
      <c r="D733" s="121"/>
      <c r="F733" s="365"/>
      <c r="G733" s="62"/>
      <c r="I733" s="62"/>
    </row>
    <row r="734">
      <c r="A734" s="64"/>
      <c r="B734" s="64"/>
      <c r="D734" s="121"/>
      <c r="F734" s="365"/>
      <c r="G734" s="62"/>
      <c r="I734" s="62"/>
    </row>
    <row r="735">
      <c r="A735" s="64"/>
      <c r="B735" s="64"/>
      <c r="D735" s="121"/>
      <c r="F735" s="365"/>
      <c r="G735" s="62"/>
      <c r="I735" s="62"/>
    </row>
    <row r="736">
      <c r="A736" s="64"/>
      <c r="B736" s="64"/>
      <c r="D736" s="121"/>
      <c r="F736" s="365"/>
      <c r="G736" s="62"/>
      <c r="I736" s="62"/>
    </row>
    <row r="737">
      <c r="A737" s="64"/>
      <c r="B737" s="64"/>
      <c r="D737" s="121"/>
      <c r="F737" s="365"/>
      <c r="G737" s="62"/>
      <c r="I737" s="62"/>
    </row>
    <row r="738">
      <c r="A738" s="64"/>
      <c r="B738" s="64"/>
      <c r="D738" s="121"/>
      <c r="F738" s="365"/>
      <c r="G738" s="62"/>
      <c r="I738" s="62"/>
    </row>
    <row r="739">
      <c r="A739" s="64"/>
      <c r="B739" s="64"/>
      <c r="D739" s="121"/>
      <c r="F739" s="365"/>
      <c r="G739" s="62"/>
      <c r="I739" s="62"/>
    </row>
    <row r="740">
      <c r="A740" s="64"/>
      <c r="B740" s="64"/>
      <c r="D740" s="121"/>
      <c r="F740" s="365"/>
      <c r="G740" s="62"/>
      <c r="I740" s="62"/>
    </row>
    <row r="741">
      <c r="A741" s="64"/>
      <c r="B741" s="64"/>
      <c r="D741" s="121"/>
      <c r="F741" s="365"/>
      <c r="G741" s="62"/>
      <c r="I741" s="62"/>
    </row>
    <row r="742">
      <c r="A742" s="64"/>
      <c r="B742" s="64"/>
      <c r="D742" s="121"/>
      <c r="F742" s="365"/>
      <c r="G742" s="62"/>
      <c r="I742" s="62"/>
    </row>
    <row r="743">
      <c r="A743" s="64"/>
      <c r="B743" s="64"/>
      <c r="D743" s="121"/>
      <c r="F743" s="365"/>
      <c r="G743" s="62"/>
      <c r="I743" s="62"/>
    </row>
    <row r="744">
      <c r="A744" s="64"/>
      <c r="B744" s="64"/>
      <c r="D744" s="121"/>
      <c r="F744" s="365"/>
      <c r="G744" s="62"/>
      <c r="I744" s="62"/>
    </row>
    <row r="745">
      <c r="A745" s="64"/>
      <c r="B745" s="64"/>
      <c r="D745" s="121"/>
      <c r="F745" s="365"/>
      <c r="G745" s="62"/>
      <c r="I745" s="62"/>
    </row>
    <row r="746">
      <c r="A746" s="64"/>
      <c r="B746" s="64"/>
      <c r="D746" s="121"/>
      <c r="F746" s="365"/>
      <c r="G746" s="62"/>
      <c r="I746" s="62"/>
    </row>
    <row r="747">
      <c r="A747" s="64"/>
      <c r="B747" s="64"/>
      <c r="D747" s="121"/>
      <c r="F747" s="365"/>
      <c r="G747" s="62"/>
      <c r="I747" s="62"/>
    </row>
    <row r="748">
      <c r="A748" s="64"/>
      <c r="B748" s="64"/>
      <c r="D748" s="121"/>
      <c r="F748" s="365"/>
      <c r="G748" s="62"/>
      <c r="I748" s="62"/>
    </row>
    <row r="749">
      <c r="A749" s="64"/>
      <c r="B749" s="64"/>
      <c r="D749" s="121"/>
      <c r="F749" s="365"/>
      <c r="G749" s="62"/>
      <c r="I749" s="62"/>
    </row>
    <row r="750">
      <c r="A750" s="64"/>
      <c r="B750" s="64"/>
      <c r="D750" s="121"/>
      <c r="F750" s="365"/>
      <c r="G750" s="62"/>
      <c r="I750" s="62"/>
    </row>
    <row r="751">
      <c r="A751" s="64"/>
      <c r="B751" s="64"/>
      <c r="D751" s="121"/>
      <c r="F751" s="365"/>
      <c r="G751" s="62"/>
      <c r="I751" s="62"/>
    </row>
    <row r="752">
      <c r="A752" s="64"/>
      <c r="B752" s="64"/>
      <c r="D752" s="121"/>
      <c r="F752" s="365"/>
      <c r="G752" s="62"/>
      <c r="I752" s="62"/>
    </row>
    <row r="753">
      <c r="A753" s="64"/>
      <c r="B753" s="64"/>
      <c r="D753" s="121"/>
      <c r="F753" s="365"/>
      <c r="G753" s="62"/>
      <c r="I753" s="62"/>
    </row>
    <row r="754">
      <c r="A754" s="64"/>
      <c r="B754" s="64"/>
      <c r="D754" s="121"/>
      <c r="F754" s="365"/>
      <c r="G754" s="62"/>
      <c r="I754" s="62"/>
    </row>
    <row r="755">
      <c r="A755" s="64"/>
      <c r="B755" s="64"/>
      <c r="D755" s="121"/>
      <c r="F755" s="365"/>
      <c r="G755" s="62"/>
      <c r="I755" s="62"/>
    </row>
    <row r="756">
      <c r="A756" s="64"/>
      <c r="B756" s="64"/>
      <c r="D756" s="121"/>
      <c r="F756" s="365"/>
      <c r="G756" s="62"/>
      <c r="I756" s="62"/>
    </row>
    <row r="757">
      <c r="A757" s="64"/>
      <c r="B757" s="64"/>
      <c r="D757" s="121"/>
      <c r="F757" s="365"/>
      <c r="G757" s="62"/>
      <c r="I757" s="62"/>
    </row>
    <row r="758">
      <c r="A758" s="64"/>
      <c r="B758" s="64"/>
      <c r="D758" s="121"/>
      <c r="F758" s="365"/>
      <c r="G758" s="62"/>
      <c r="I758" s="62"/>
    </row>
    <row r="759">
      <c r="A759" s="64"/>
      <c r="B759" s="64"/>
      <c r="D759" s="121"/>
      <c r="F759" s="365"/>
      <c r="G759" s="62"/>
      <c r="I759" s="62"/>
    </row>
    <row r="760">
      <c r="A760" s="64"/>
      <c r="B760" s="64"/>
      <c r="D760" s="121"/>
      <c r="F760" s="365"/>
      <c r="G760" s="62"/>
      <c r="I760" s="62"/>
    </row>
    <row r="761">
      <c r="A761" s="64"/>
      <c r="B761" s="64"/>
      <c r="D761" s="121"/>
      <c r="F761" s="365"/>
      <c r="G761" s="62"/>
      <c r="I761" s="62"/>
    </row>
    <row r="762">
      <c r="A762" s="64"/>
      <c r="B762" s="64"/>
      <c r="D762" s="121"/>
      <c r="F762" s="365"/>
      <c r="G762" s="62"/>
      <c r="I762" s="62"/>
    </row>
    <row r="763">
      <c r="A763" s="64"/>
      <c r="B763" s="64"/>
      <c r="D763" s="121"/>
      <c r="F763" s="365"/>
      <c r="G763" s="62"/>
      <c r="I763" s="62"/>
    </row>
    <row r="764">
      <c r="A764" s="64"/>
      <c r="B764" s="64"/>
      <c r="D764" s="121"/>
      <c r="F764" s="365"/>
      <c r="G764" s="62"/>
      <c r="I764" s="62"/>
    </row>
    <row r="765">
      <c r="A765" s="64"/>
      <c r="B765" s="64"/>
      <c r="D765" s="121"/>
      <c r="F765" s="365"/>
      <c r="G765" s="62"/>
      <c r="I765" s="62"/>
    </row>
    <row r="766">
      <c r="A766" s="64"/>
      <c r="B766" s="64"/>
      <c r="D766" s="121"/>
      <c r="F766" s="365"/>
      <c r="G766" s="62"/>
      <c r="I766" s="62"/>
    </row>
    <row r="767">
      <c r="A767" s="64"/>
      <c r="B767" s="64"/>
      <c r="D767" s="121"/>
      <c r="F767" s="365"/>
      <c r="G767" s="62"/>
      <c r="I767" s="62"/>
    </row>
    <row r="768">
      <c r="A768" s="64"/>
      <c r="B768" s="64"/>
      <c r="D768" s="121"/>
      <c r="F768" s="365"/>
      <c r="G768" s="62"/>
      <c r="I768" s="62"/>
    </row>
    <row r="769">
      <c r="A769" s="64"/>
      <c r="B769" s="64"/>
      <c r="D769" s="121"/>
      <c r="F769" s="365"/>
      <c r="G769" s="62"/>
      <c r="I769" s="62"/>
    </row>
    <row r="770">
      <c r="A770" s="64"/>
      <c r="B770" s="64"/>
      <c r="D770" s="121"/>
      <c r="F770" s="365"/>
      <c r="G770" s="62"/>
      <c r="I770" s="62"/>
    </row>
    <row r="771">
      <c r="A771" s="64"/>
      <c r="B771" s="64"/>
      <c r="D771" s="121"/>
      <c r="F771" s="365"/>
      <c r="G771" s="62"/>
      <c r="I771" s="62"/>
    </row>
    <row r="772">
      <c r="A772" s="64"/>
      <c r="B772" s="64"/>
      <c r="D772" s="121"/>
      <c r="F772" s="365"/>
      <c r="G772" s="62"/>
      <c r="I772" s="62"/>
    </row>
    <row r="773">
      <c r="A773" s="64"/>
      <c r="B773" s="64"/>
      <c r="D773" s="121"/>
      <c r="F773" s="365"/>
      <c r="G773" s="62"/>
      <c r="I773" s="62"/>
    </row>
    <row r="774">
      <c r="A774" s="64"/>
      <c r="B774" s="64"/>
      <c r="D774" s="121"/>
      <c r="F774" s="365"/>
      <c r="G774" s="62"/>
      <c r="I774" s="62"/>
    </row>
    <row r="775">
      <c r="A775" s="64"/>
      <c r="B775" s="64"/>
      <c r="D775" s="121"/>
      <c r="F775" s="365"/>
      <c r="G775" s="62"/>
      <c r="I775" s="62"/>
    </row>
    <row r="776">
      <c r="A776" s="64"/>
      <c r="B776" s="64"/>
      <c r="D776" s="121"/>
      <c r="F776" s="365"/>
      <c r="G776" s="62"/>
      <c r="I776" s="62"/>
    </row>
    <row r="777">
      <c r="A777" s="64"/>
      <c r="B777" s="64"/>
      <c r="D777" s="121"/>
      <c r="F777" s="365"/>
      <c r="G777" s="62"/>
      <c r="I777" s="62"/>
    </row>
    <row r="778">
      <c r="A778" s="64"/>
      <c r="B778" s="64"/>
      <c r="D778" s="121"/>
      <c r="F778" s="365"/>
      <c r="G778" s="62"/>
      <c r="I778" s="62"/>
    </row>
    <row r="779">
      <c r="A779" s="64"/>
      <c r="B779" s="64"/>
      <c r="D779" s="121"/>
      <c r="F779" s="365"/>
      <c r="G779" s="62"/>
      <c r="I779" s="62"/>
    </row>
    <row r="780">
      <c r="A780" s="64"/>
      <c r="B780" s="64"/>
      <c r="D780" s="121"/>
      <c r="F780" s="365"/>
      <c r="G780" s="62"/>
      <c r="I780" s="62"/>
    </row>
    <row r="781">
      <c r="A781" s="64"/>
      <c r="B781" s="64"/>
      <c r="D781" s="121"/>
      <c r="F781" s="365"/>
      <c r="G781" s="62"/>
      <c r="I781" s="62"/>
    </row>
    <row r="782">
      <c r="A782" s="64"/>
      <c r="B782" s="64"/>
      <c r="D782" s="121"/>
      <c r="F782" s="365"/>
      <c r="G782" s="62"/>
      <c r="I782" s="62"/>
    </row>
    <row r="783">
      <c r="A783" s="64"/>
      <c r="B783" s="64"/>
      <c r="D783" s="121"/>
      <c r="F783" s="365"/>
      <c r="G783" s="62"/>
      <c r="I783" s="62"/>
    </row>
    <row r="784">
      <c r="A784" s="64"/>
      <c r="B784" s="64"/>
      <c r="D784" s="121"/>
      <c r="F784" s="365"/>
      <c r="G784" s="62"/>
      <c r="I784" s="62"/>
    </row>
    <row r="785">
      <c r="A785" s="64"/>
      <c r="B785" s="64"/>
      <c r="D785" s="121"/>
      <c r="F785" s="365"/>
      <c r="G785" s="62"/>
      <c r="I785" s="62"/>
    </row>
    <row r="786">
      <c r="A786" s="64"/>
      <c r="B786" s="64"/>
      <c r="D786" s="121"/>
      <c r="F786" s="365"/>
      <c r="G786" s="62"/>
      <c r="I786" s="62"/>
    </row>
    <row r="787">
      <c r="A787" s="64"/>
      <c r="B787" s="64"/>
      <c r="D787" s="121"/>
      <c r="F787" s="365"/>
      <c r="G787" s="62"/>
      <c r="I787" s="62"/>
    </row>
    <row r="788">
      <c r="A788" s="64"/>
      <c r="B788" s="64"/>
      <c r="D788" s="121"/>
      <c r="F788" s="365"/>
      <c r="G788" s="62"/>
      <c r="I788" s="62"/>
    </row>
    <row r="789">
      <c r="A789" s="64"/>
      <c r="B789" s="64"/>
      <c r="D789" s="121"/>
      <c r="F789" s="365"/>
      <c r="G789" s="62"/>
      <c r="I789" s="62"/>
    </row>
    <row r="790">
      <c r="A790" s="64"/>
      <c r="B790" s="64"/>
      <c r="D790" s="121"/>
      <c r="F790" s="365"/>
      <c r="G790" s="62"/>
      <c r="I790" s="62"/>
    </row>
    <row r="791">
      <c r="A791" s="64"/>
      <c r="B791" s="64"/>
      <c r="D791" s="121"/>
      <c r="F791" s="365"/>
      <c r="G791" s="62"/>
      <c r="I791" s="62"/>
    </row>
    <row r="792">
      <c r="A792" s="64"/>
      <c r="B792" s="64"/>
      <c r="D792" s="121"/>
      <c r="F792" s="365"/>
      <c r="G792" s="62"/>
      <c r="I792" s="62"/>
    </row>
    <row r="793">
      <c r="A793" s="64"/>
      <c r="B793" s="64"/>
      <c r="D793" s="121"/>
      <c r="F793" s="365"/>
      <c r="G793" s="62"/>
      <c r="I793" s="62"/>
    </row>
    <row r="794">
      <c r="A794" s="64"/>
      <c r="B794" s="64"/>
      <c r="D794" s="121"/>
      <c r="F794" s="365"/>
      <c r="G794" s="62"/>
      <c r="I794" s="62"/>
    </row>
    <row r="795">
      <c r="A795" s="64"/>
      <c r="B795" s="64"/>
      <c r="D795" s="121"/>
      <c r="F795" s="365"/>
      <c r="G795" s="62"/>
      <c r="I795" s="62"/>
    </row>
    <row r="796">
      <c r="A796" s="64"/>
      <c r="B796" s="64"/>
      <c r="D796" s="121"/>
      <c r="F796" s="365"/>
      <c r="G796" s="62"/>
      <c r="I796" s="62"/>
    </row>
    <row r="797">
      <c r="A797" s="64"/>
      <c r="B797" s="64"/>
      <c r="D797" s="121"/>
      <c r="F797" s="365"/>
      <c r="G797" s="62"/>
      <c r="I797" s="62"/>
    </row>
    <row r="798">
      <c r="A798" s="64"/>
      <c r="B798" s="64"/>
      <c r="D798" s="121"/>
      <c r="F798" s="365"/>
      <c r="G798" s="62"/>
      <c r="I798" s="62"/>
    </row>
    <row r="799">
      <c r="A799" s="64"/>
      <c r="B799" s="64"/>
      <c r="D799" s="121"/>
      <c r="F799" s="365"/>
      <c r="G799" s="62"/>
      <c r="I799" s="62"/>
    </row>
    <row r="800">
      <c r="A800" s="64"/>
      <c r="B800" s="64"/>
      <c r="D800" s="121"/>
      <c r="F800" s="365"/>
      <c r="G800" s="62"/>
      <c r="I800" s="62"/>
    </row>
    <row r="801">
      <c r="A801" s="64"/>
      <c r="B801" s="64"/>
      <c r="D801" s="121"/>
      <c r="F801" s="365"/>
      <c r="G801" s="62"/>
      <c r="I801" s="62"/>
    </row>
    <row r="802">
      <c r="A802" s="64"/>
      <c r="B802" s="64"/>
      <c r="D802" s="121"/>
      <c r="F802" s="365"/>
      <c r="G802" s="62"/>
      <c r="I802" s="62"/>
    </row>
    <row r="803">
      <c r="A803" s="64"/>
      <c r="B803" s="64"/>
      <c r="D803" s="121"/>
      <c r="F803" s="365"/>
      <c r="G803" s="62"/>
      <c r="I803" s="62"/>
    </row>
    <row r="804">
      <c r="A804" s="64"/>
      <c r="B804" s="64"/>
      <c r="D804" s="121"/>
      <c r="F804" s="365"/>
      <c r="G804" s="62"/>
      <c r="I804" s="62"/>
    </row>
    <row r="805">
      <c r="A805" s="64"/>
      <c r="B805" s="64"/>
      <c r="D805" s="121"/>
      <c r="F805" s="365"/>
      <c r="G805" s="62"/>
      <c r="I805" s="62"/>
    </row>
    <row r="806">
      <c r="A806" s="64"/>
      <c r="B806" s="64"/>
      <c r="D806" s="121"/>
      <c r="F806" s="365"/>
      <c r="G806" s="62"/>
      <c r="I806" s="62"/>
    </row>
    <row r="807">
      <c r="A807" s="64"/>
      <c r="B807" s="64"/>
      <c r="D807" s="121"/>
      <c r="F807" s="365"/>
      <c r="G807" s="62"/>
      <c r="I807" s="62"/>
    </row>
    <row r="808">
      <c r="A808" s="64"/>
      <c r="B808" s="64"/>
      <c r="D808" s="121"/>
      <c r="F808" s="365"/>
      <c r="G808" s="62"/>
      <c r="I808" s="62"/>
    </row>
    <row r="809">
      <c r="A809" s="64"/>
      <c r="B809" s="64"/>
      <c r="D809" s="121"/>
      <c r="F809" s="365"/>
      <c r="G809" s="62"/>
      <c r="I809" s="62"/>
    </row>
    <row r="810">
      <c r="A810" s="64"/>
      <c r="B810" s="64"/>
      <c r="D810" s="121"/>
      <c r="F810" s="365"/>
      <c r="G810" s="62"/>
      <c r="I810" s="62"/>
    </row>
    <row r="811">
      <c r="A811" s="64"/>
      <c r="B811" s="64"/>
      <c r="D811" s="121"/>
      <c r="F811" s="365"/>
      <c r="G811" s="62"/>
      <c r="I811" s="62"/>
    </row>
    <row r="812">
      <c r="A812" s="64"/>
      <c r="B812" s="64"/>
      <c r="D812" s="121"/>
      <c r="F812" s="365"/>
      <c r="G812" s="62"/>
      <c r="I812" s="62"/>
    </row>
    <row r="813">
      <c r="A813" s="64"/>
      <c r="B813" s="64"/>
      <c r="D813" s="121"/>
      <c r="F813" s="365"/>
      <c r="G813" s="62"/>
      <c r="I813" s="62"/>
    </row>
    <row r="814">
      <c r="A814" s="64"/>
      <c r="B814" s="64"/>
      <c r="D814" s="121"/>
      <c r="F814" s="365"/>
      <c r="G814" s="62"/>
      <c r="I814" s="62"/>
    </row>
    <row r="815">
      <c r="A815" s="64"/>
      <c r="B815" s="64"/>
      <c r="D815" s="121"/>
      <c r="F815" s="365"/>
      <c r="G815" s="62"/>
      <c r="I815" s="62"/>
    </row>
    <row r="816">
      <c r="A816" s="64"/>
      <c r="B816" s="64"/>
      <c r="D816" s="121"/>
      <c r="F816" s="365"/>
      <c r="G816" s="62"/>
      <c r="I816" s="62"/>
    </row>
    <row r="817">
      <c r="A817" s="64"/>
      <c r="B817" s="64"/>
      <c r="D817" s="121"/>
      <c r="F817" s="365"/>
      <c r="G817" s="62"/>
      <c r="I817" s="62"/>
    </row>
    <row r="818">
      <c r="A818" s="64"/>
      <c r="B818" s="64"/>
      <c r="D818" s="121"/>
      <c r="F818" s="365"/>
      <c r="G818" s="62"/>
      <c r="I818" s="62"/>
    </row>
    <row r="819">
      <c r="A819" s="64"/>
      <c r="B819" s="64"/>
      <c r="D819" s="121"/>
      <c r="F819" s="365"/>
      <c r="G819" s="62"/>
      <c r="I819" s="62"/>
    </row>
    <row r="820">
      <c r="A820" s="64"/>
      <c r="B820" s="64"/>
      <c r="D820" s="121"/>
      <c r="F820" s="365"/>
      <c r="G820" s="62"/>
      <c r="I820" s="62"/>
    </row>
    <row r="821">
      <c r="A821" s="64"/>
      <c r="B821" s="64"/>
      <c r="D821" s="121"/>
      <c r="F821" s="365"/>
      <c r="G821" s="62"/>
      <c r="I821" s="62"/>
    </row>
    <row r="822">
      <c r="A822" s="64"/>
      <c r="B822" s="64"/>
      <c r="D822" s="121"/>
      <c r="F822" s="365"/>
      <c r="G822" s="62"/>
      <c r="I822" s="62"/>
    </row>
    <row r="823">
      <c r="A823" s="64"/>
      <c r="B823" s="64"/>
      <c r="D823" s="121"/>
      <c r="F823" s="365"/>
      <c r="G823" s="62"/>
      <c r="I823" s="62"/>
    </row>
    <row r="824">
      <c r="A824" s="64"/>
      <c r="B824" s="64"/>
      <c r="D824" s="121"/>
      <c r="F824" s="365"/>
      <c r="G824" s="62"/>
      <c r="I824" s="62"/>
    </row>
    <row r="825">
      <c r="A825" s="64"/>
      <c r="B825" s="64"/>
      <c r="D825" s="121"/>
      <c r="F825" s="365"/>
      <c r="G825" s="62"/>
      <c r="I825" s="62"/>
    </row>
    <row r="826">
      <c r="A826" s="64"/>
      <c r="B826" s="64"/>
      <c r="D826" s="121"/>
      <c r="F826" s="365"/>
      <c r="G826" s="62"/>
      <c r="I826" s="62"/>
    </row>
    <row r="827">
      <c r="A827" s="64"/>
      <c r="B827" s="64"/>
      <c r="D827" s="121"/>
      <c r="F827" s="365"/>
      <c r="G827" s="62"/>
      <c r="I827" s="62"/>
    </row>
    <row r="828">
      <c r="A828" s="64"/>
      <c r="B828" s="64"/>
      <c r="D828" s="121"/>
      <c r="F828" s="365"/>
      <c r="G828" s="62"/>
      <c r="I828" s="62"/>
    </row>
    <row r="829">
      <c r="A829" s="64"/>
      <c r="B829" s="64"/>
      <c r="D829" s="121"/>
      <c r="F829" s="365"/>
      <c r="G829" s="62"/>
      <c r="I829" s="62"/>
    </row>
    <row r="830">
      <c r="A830" s="64"/>
      <c r="B830" s="64"/>
      <c r="D830" s="121"/>
      <c r="F830" s="365"/>
      <c r="G830" s="62"/>
      <c r="I830" s="62"/>
    </row>
    <row r="831">
      <c r="A831" s="64"/>
      <c r="B831" s="64"/>
      <c r="D831" s="121"/>
      <c r="F831" s="365"/>
      <c r="G831" s="62"/>
      <c r="I831" s="62"/>
    </row>
    <row r="832">
      <c r="A832" s="64"/>
      <c r="B832" s="64"/>
      <c r="D832" s="121"/>
      <c r="F832" s="365"/>
      <c r="G832" s="62"/>
      <c r="I832" s="62"/>
    </row>
    <row r="833">
      <c r="A833" s="64"/>
      <c r="B833" s="64"/>
      <c r="D833" s="121"/>
      <c r="F833" s="365"/>
      <c r="G833" s="62"/>
      <c r="I833" s="62"/>
    </row>
    <row r="834">
      <c r="A834" s="64"/>
      <c r="B834" s="64"/>
      <c r="D834" s="121"/>
      <c r="F834" s="365"/>
      <c r="G834" s="62"/>
      <c r="I834" s="62"/>
    </row>
    <row r="835">
      <c r="A835" s="64"/>
      <c r="B835" s="64"/>
      <c r="D835" s="121"/>
      <c r="F835" s="365"/>
      <c r="G835" s="62"/>
      <c r="I835" s="62"/>
    </row>
    <row r="836">
      <c r="A836" s="64"/>
      <c r="B836" s="64"/>
      <c r="D836" s="121"/>
      <c r="F836" s="365"/>
      <c r="G836" s="62"/>
      <c r="I836" s="62"/>
    </row>
    <row r="837">
      <c r="A837" s="64"/>
      <c r="B837" s="64"/>
      <c r="D837" s="121"/>
      <c r="F837" s="365"/>
      <c r="G837" s="62"/>
      <c r="I837" s="62"/>
    </row>
    <row r="838">
      <c r="A838" s="64"/>
      <c r="B838" s="64"/>
      <c r="D838" s="121"/>
      <c r="F838" s="365"/>
      <c r="G838" s="62"/>
      <c r="I838" s="62"/>
    </row>
    <row r="839">
      <c r="A839" s="64"/>
      <c r="B839" s="64"/>
      <c r="D839" s="121"/>
      <c r="F839" s="365"/>
      <c r="G839" s="62"/>
      <c r="I839" s="62"/>
    </row>
    <row r="840">
      <c r="A840" s="64"/>
      <c r="B840" s="64"/>
      <c r="D840" s="121"/>
      <c r="F840" s="365"/>
      <c r="G840" s="62"/>
      <c r="I840" s="62"/>
    </row>
    <row r="841">
      <c r="A841" s="64"/>
      <c r="B841" s="64"/>
      <c r="D841" s="121"/>
      <c r="F841" s="365"/>
      <c r="G841" s="62"/>
      <c r="I841" s="62"/>
    </row>
    <row r="842">
      <c r="A842" s="64"/>
      <c r="B842" s="64"/>
      <c r="D842" s="121"/>
      <c r="F842" s="365"/>
      <c r="G842" s="62"/>
      <c r="I842" s="62"/>
    </row>
    <row r="843">
      <c r="A843" s="64"/>
      <c r="B843" s="64"/>
      <c r="D843" s="121"/>
      <c r="F843" s="365"/>
      <c r="G843" s="62"/>
      <c r="I843" s="62"/>
    </row>
    <row r="844">
      <c r="A844" s="64"/>
      <c r="B844" s="64"/>
      <c r="D844" s="121"/>
      <c r="F844" s="365"/>
      <c r="G844" s="62"/>
      <c r="I844" s="62"/>
    </row>
    <row r="845">
      <c r="A845" s="64"/>
      <c r="B845" s="64"/>
      <c r="D845" s="121"/>
      <c r="F845" s="365"/>
      <c r="G845" s="62"/>
      <c r="I845" s="62"/>
    </row>
    <row r="846">
      <c r="A846" s="64"/>
      <c r="B846" s="64"/>
      <c r="D846" s="121"/>
      <c r="F846" s="365"/>
      <c r="G846" s="62"/>
      <c r="I846" s="62"/>
    </row>
    <row r="847">
      <c r="A847" s="64"/>
      <c r="B847" s="64"/>
      <c r="D847" s="121"/>
      <c r="F847" s="365"/>
      <c r="G847" s="62"/>
      <c r="I847" s="62"/>
    </row>
    <row r="848">
      <c r="A848" s="64"/>
      <c r="B848" s="64"/>
      <c r="D848" s="121"/>
      <c r="F848" s="365"/>
      <c r="G848" s="62"/>
      <c r="I848" s="62"/>
    </row>
    <row r="849">
      <c r="A849" s="64"/>
      <c r="B849" s="64"/>
      <c r="D849" s="121"/>
      <c r="F849" s="365"/>
      <c r="G849" s="62"/>
      <c r="I849" s="62"/>
    </row>
    <row r="850">
      <c r="A850" s="64"/>
      <c r="B850" s="64"/>
      <c r="D850" s="121"/>
      <c r="F850" s="365"/>
      <c r="G850" s="62"/>
      <c r="I850" s="62"/>
    </row>
    <row r="851">
      <c r="A851" s="64"/>
      <c r="B851" s="64"/>
      <c r="D851" s="121"/>
      <c r="F851" s="365"/>
      <c r="G851" s="62"/>
      <c r="I851" s="62"/>
    </row>
    <row r="852">
      <c r="A852" s="64"/>
      <c r="B852" s="64"/>
      <c r="D852" s="121"/>
      <c r="F852" s="365"/>
      <c r="G852" s="62"/>
      <c r="I852" s="62"/>
    </row>
    <row r="853">
      <c r="A853" s="64"/>
      <c r="B853" s="64"/>
      <c r="D853" s="121"/>
      <c r="F853" s="365"/>
      <c r="G853" s="62"/>
      <c r="I853" s="62"/>
    </row>
    <row r="854">
      <c r="A854" s="64"/>
      <c r="B854" s="64"/>
      <c r="D854" s="121"/>
      <c r="F854" s="365"/>
      <c r="G854" s="62"/>
      <c r="I854" s="62"/>
    </row>
    <row r="855">
      <c r="A855" s="64"/>
      <c r="B855" s="64"/>
      <c r="D855" s="121"/>
      <c r="F855" s="365"/>
      <c r="G855" s="62"/>
      <c r="I855" s="62"/>
    </row>
    <row r="856">
      <c r="A856" s="64"/>
      <c r="B856" s="64"/>
      <c r="D856" s="121"/>
      <c r="F856" s="365"/>
      <c r="G856" s="62"/>
      <c r="I856" s="62"/>
    </row>
    <row r="857">
      <c r="A857" s="64"/>
      <c r="B857" s="64"/>
      <c r="D857" s="121"/>
      <c r="F857" s="365"/>
      <c r="G857" s="62"/>
      <c r="I857" s="62"/>
    </row>
    <row r="858">
      <c r="A858" s="64"/>
      <c r="B858" s="64"/>
      <c r="D858" s="121"/>
      <c r="F858" s="365"/>
      <c r="G858" s="62"/>
      <c r="I858" s="62"/>
    </row>
    <row r="859">
      <c r="A859" s="64"/>
      <c r="B859" s="64"/>
      <c r="D859" s="121"/>
      <c r="F859" s="365"/>
      <c r="G859" s="62"/>
      <c r="I859" s="62"/>
    </row>
    <row r="860">
      <c r="A860" s="64"/>
      <c r="B860" s="64"/>
      <c r="D860" s="121"/>
      <c r="F860" s="365"/>
      <c r="G860" s="62"/>
      <c r="I860" s="62"/>
    </row>
    <row r="861">
      <c r="A861" s="64"/>
      <c r="B861" s="64"/>
      <c r="D861" s="121"/>
      <c r="F861" s="365"/>
      <c r="G861" s="62"/>
      <c r="I861" s="62"/>
    </row>
    <row r="862">
      <c r="A862" s="64"/>
      <c r="B862" s="64"/>
      <c r="D862" s="121"/>
      <c r="F862" s="365"/>
      <c r="G862" s="62"/>
      <c r="I862" s="62"/>
    </row>
    <row r="863">
      <c r="A863" s="64"/>
      <c r="B863" s="64"/>
      <c r="D863" s="121"/>
      <c r="F863" s="365"/>
      <c r="G863" s="62"/>
      <c r="I863" s="62"/>
    </row>
    <row r="864">
      <c r="A864" s="64"/>
      <c r="B864" s="64"/>
      <c r="D864" s="121"/>
      <c r="F864" s="365"/>
      <c r="G864" s="62"/>
      <c r="I864" s="62"/>
    </row>
    <row r="865">
      <c r="A865" s="64"/>
      <c r="B865" s="64"/>
      <c r="D865" s="121"/>
      <c r="F865" s="365"/>
      <c r="G865" s="62"/>
      <c r="I865" s="62"/>
    </row>
    <row r="866">
      <c r="A866" s="64"/>
      <c r="B866" s="64"/>
      <c r="D866" s="121"/>
      <c r="F866" s="365"/>
      <c r="G866" s="62"/>
      <c r="I866" s="62"/>
    </row>
    <row r="867">
      <c r="A867" s="64"/>
      <c r="B867" s="64"/>
      <c r="D867" s="121"/>
      <c r="F867" s="365"/>
      <c r="G867" s="62"/>
      <c r="I867" s="62"/>
    </row>
    <row r="868">
      <c r="A868" s="64"/>
      <c r="B868" s="64"/>
      <c r="D868" s="121"/>
      <c r="F868" s="365"/>
      <c r="G868" s="62"/>
      <c r="I868" s="62"/>
    </row>
    <row r="869">
      <c r="A869" s="64"/>
      <c r="B869" s="64"/>
      <c r="D869" s="121"/>
      <c r="F869" s="365"/>
      <c r="G869" s="62"/>
      <c r="I869" s="62"/>
    </row>
    <row r="870">
      <c r="A870" s="64"/>
      <c r="B870" s="64"/>
      <c r="D870" s="121"/>
      <c r="F870" s="365"/>
      <c r="G870" s="62"/>
      <c r="I870" s="62"/>
    </row>
    <row r="871">
      <c r="A871" s="64"/>
      <c r="B871" s="64"/>
      <c r="D871" s="121"/>
      <c r="F871" s="365"/>
      <c r="G871" s="62"/>
      <c r="I871" s="62"/>
    </row>
    <row r="872">
      <c r="A872" s="64"/>
      <c r="B872" s="64"/>
      <c r="D872" s="121"/>
      <c r="F872" s="365"/>
      <c r="G872" s="62"/>
      <c r="I872" s="62"/>
    </row>
    <row r="873">
      <c r="A873" s="64"/>
      <c r="B873" s="64"/>
      <c r="D873" s="121"/>
      <c r="F873" s="365"/>
      <c r="G873" s="62"/>
      <c r="I873" s="62"/>
    </row>
    <row r="874">
      <c r="A874" s="64"/>
      <c r="B874" s="64"/>
      <c r="D874" s="121"/>
      <c r="F874" s="365"/>
      <c r="G874" s="62"/>
      <c r="I874" s="62"/>
    </row>
    <row r="875">
      <c r="A875" s="64"/>
      <c r="B875" s="64"/>
      <c r="D875" s="121"/>
      <c r="F875" s="365"/>
      <c r="G875" s="62"/>
      <c r="I875" s="62"/>
    </row>
    <row r="876">
      <c r="A876" s="64"/>
      <c r="B876" s="64"/>
      <c r="D876" s="121"/>
      <c r="F876" s="365"/>
      <c r="G876" s="62"/>
      <c r="I876" s="62"/>
    </row>
    <row r="877">
      <c r="A877" s="64"/>
      <c r="B877" s="64"/>
      <c r="D877" s="121"/>
      <c r="F877" s="365"/>
      <c r="G877" s="62"/>
      <c r="I877" s="62"/>
    </row>
    <row r="878">
      <c r="A878" s="64"/>
      <c r="B878" s="64"/>
      <c r="D878" s="121"/>
      <c r="F878" s="365"/>
      <c r="G878" s="62"/>
      <c r="I878" s="62"/>
    </row>
    <row r="879">
      <c r="A879" s="64"/>
      <c r="B879" s="64"/>
      <c r="D879" s="121"/>
      <c r="F879" s="365"/>
      <c r="G879" s="62"/>
      <c r="I879" s="62"/>
    </row>
    <row r="880">
      <c r="A880" s="64"/>
      <c r="B880" s="64"/>
      <c r="D880" s="121"/>
      <c r="F880" s="365"/>
      <c r="G880" s="62"/>
      <c r="I880" s="62"/>
    </row>
    <row r="881">
      <c r="A881" s="64"/>
      <c r="B881" s="64"/>
      <c r="D881" s="121"/>
      <c r="F881" s="365"/>
      <c r="G881" s="62"/>
      <c r="I881" s="62"/>
    </row>
    <row r="882">
      <c r="A882" s="64"/>
      <c r="B882" s="64"/>
      <c r="D882" s="121"/>
      <c r="F882" s="365"/>
      <c r="G882" s="62"/>
      <c r="I882" s="62"/>
    </row>
    <row r="883">
      <c r="A883" s="64"/>
      <c r="B883" s="64"/>
      <c r="D883" s="121"/>
      <c r="F883" s="365"/>
      <c r="G883" s="62"/>
      <c r="I883" s="62"/>
    </row>
    <row r="884">
      <c r="A884" s="64"/>
      <c r="B884" s="64"/>
      <c r="D884" s="121"/>
      <c r="F884" s="365"/>
      <c r="G884" s="62"/>
      <c r="I884" s="62"/>
    </row>
    <row r="885">
      <c r="A885" s="64"/>
      <c r="B885" s="64"/>
      <c r="D885" s="121"/>
      <c r="F885" s="365"/>
      <c r="G885" s="62"/>
      <c r="I885" s="62"/>
    </row>
    <row r="886">
      <c r="A886" s="64"/>
      <c r="B886" s="64"/>
      <c r="D886" s="121"/>
      <c r="F886" s="365"/>
      <c r="G886" s="62"/>
      <c r="I886" s="62"/>
    </row>
    <row r="887">
      <c r="A887" s="64"/>
      <c r="B887" s="64"/>
      <c r="D887" s="121"/>
      <c r="F887" s="365"/>
      <c r="G887" s="62"/>
      <c r="I887" s="62"/>
    </row>
    <row r="888">
      <c r="A888" s="64"/>
      <c r="B888" s="64"/>
      <c r="D888" s="121"/>
      <c r="F888" s="365"/>
      <c r="G888" s="62"/>
      <c r="I888" s="62"/>
    </row>
    <row r="889">
      <c r="A889" s="64"/>
      <c r="B889" s="64"/>
      <c r="D889" s="121"/>
      <c r="F889" s="365"/>
      <c r="G889" s="62"/>
      <c r="I889" s="62"/>
    </row>
    <row r="890">
      <c r="A890" s="64"/>
      <c r="B890" s="64"/>
      <c r="D890" s="121"/>
      <c r="F890" s="365"/>
      <c r="G890" s="62"/>
      <c r="I890" s="62"/>
    </row>
    <row r="891">
      <c r="A891" s="64"/>
      <c r="B891" s="64"/>
      <c r="D891" s="121"/>
      <c r="F891" s="365"/>
      <c r="G891" s="62"/>
      <c r="I891" s="62"/>
    </row>
    <row r="892">
      <c r="A892" s="64"/>
      <c r="B892" s="64"/>
      <c r="D892" s="121"/>
      <c r="F892" s="365"/>
      <c r="G892" s="62"/>
      <c r="I892" s="62"/>
    </row>
    <row r="893">
      <c r="A893" s="64"/>
      <c r="B893" s="64"/>
      <c r="D893" s="121"/>
      <c r="F893" s="365"/>
      <c r="G893" s="62"/>
      <c r="I893" s="62"/>
    </row>
    <row r="894">
      <c r="A894" s="64"/>
      <c r="B894" s="64"/>
      <c r="D894" s="121"/>
      <c r="F894" s="365"/>
      <c r="G894" s="62"/>
      <c r="I894" s="62"/>
    </row>
    <row r="895">
      <c r="A895" s="64"/>
      <c r="B895" s="64"/>
      <c r="D895" s="121"/>
      <c r="F895" s="365"/>
      <c r="G895" s="62"/>
      <c r="I895" s="62"/>
    </row>
    <row r="896">
      <c r="A896" s="64"/>
      <c r="B896" s="64"/>
      <c r="D896" s="121"/>
      <c r="F896" s="365"/>
      <c r="G896" s="62"/>
      <c r="I896" s="62"/>
    </row>
    <row r="897">
      <c r="A897" s="64"/>
      <c r="B897" s="64"/>
      <c r="D897" s="121"/>
      <c r="F897" s="365"/>
      <c r="G897" s="62"/>
      <c r="I897" s="62"/>
    </row>
    <row r="898">
      <c r="A898" s="64"/>
      <c r="B898" s="64"/>
      <c r="D898" s="121"/>
      <c r="F898" s="365"/>
      <c r="G898" s="62"/>
      <c r="I898" s="62"/>
    </row>
    <row r="899">
      <c r="A899" s="64"/>
      <c r="B899" s="64"/>
      <c r="D899" s="121"/>
      <c r="F899" s="365"/>
      <c r="G899" s="62"/>
      <c r="I899" s="62"/>
    </row>
    <row r="900">
      <c r="A900" s="64"/>
      <c r="B900" s="64"/>
      <c r="D900" s="121"/>
      <c r="F900" s="365"/>
      <c r="G900" s="62"/>
      <c r="I900" s="62"/>
    </row>
    <row r="901">
      <c r="A901" s="64"/>
      <c r="B901" s="64"/>
      <c r="D901" s="121"/>
      <c r="F901" s="365"/>
      <c r="G901" s="62"/>
      <c r="I901" s="62"/>
    </row>
    <row r="902">
      <c r="A902" s="64"/>
      <c r="B902" s="64"/>
      <c r="D902" s="121"/>
      <c r="F902" s="365"/>
      <c r="G902" s="62"/>
      <c r="I902" s="62"/>
    </row>
    <row r="903">
      <c r="A903" s="64"/>
      <c r="B903" s="64"/>
      <c r="D903" s="121"/>
      <c r="F903" s="365"/>
      <c r="G903" s="62"/>
      <c r="I903" s="62"/>
    </row>
    <row r="904">
      <c r="A904" s="64"/>
      <c r="B904" s="64"/>
      <c r="D904" s="121"/>
      <c r="F904" s="365"/>
      <c r="G904" s="62"/>
      <c r="I904" s="62"/>
    </row>
    <row r="905">
      <c r="A905" s="64"/>
      <c r="B905" s="64"/>
      <c r="D905" s="121"/>
      <c r="F905" s="365"/>
      <c r="G905" s="62"/>
      <c r="I905" s="62"/>
    </row>
    <row r="906">
      <c r="A906" s="64"/>
      <c r="B906" s="64"/>
      <c r="D906" s="121"/>
      <c r="F906" s="365"/>
      <c r="G906" s="62"/>
      <c r="I906" s="62"/>
    </row>
    <row r="907">
      <c r="A907" s="64"/>
      <c r="B907" s="64"/>
      <c r="D907" s="121"/>
      <c r="F907" s="365"/>
      <c r="G907" s="62"/>
      <c r="I907" s="62"/>
    </row>
    <row r="908">
      <c r="A908" s="64"/>
      <c r="B908" s="64"/>
      <c r="D908" s="121"/>
      <c r="F908" s="365"/>
      <c r="G908" s="62"/>
      <c r="I908" s="62"/>
    </row>
    <row r="909">
      <c r="A909" s="64"/>
      <c r="B909" s="64"/>
      <c r="D909" s="121"/>
      <c r="F909" s="365"/>
      <c r="G909" s="62"/>
      <c r="I909" s="62"/>
    </row>
    <row r="910">
      <c r="A910" s="64"/>
      <c r="B910" s="64"/>
      <c r="D910" s="121"/>
      <c r="F910" s="365"/>
      <c r="G910" s="62"/>
      <c r="I910" s="62"/>
    </row>
    <row r="911">
      <c r="A911" s="64"/>
      <c r="B911" s="64"/>
      <c r="D911" s="121"/>
      <c r="F911" s="365"/>
      <c r="G911" s="62"/>
      <c r="I911" s="62"/>
    </row>
    <row r="912">
      <c r="A912" s="64"/>
      <c r="B912" s="64"/>
      <c r="D912" s="121"/>
      <c r="F912" s="365"/>
      <c r="G912" s="62"/>
      <c r="I912" s="62"/>
    </row>
    <row r="913">
      <c r="A913" s="64"/>
      <c r="B913" s="64"/>
      <c r="D913" s="121"/>
      <c r="F913" s="365"/>
      <c r="G913" s="62"/>
      <c r="I913" s="62"/>
    </row>
    <row r="914">
      <c r="A914" s="64"/>
      <c r="B914" s="64"/>
      <c r="D914" s="121"/>
      <c r="F914" s="365"/>
      <c r="G914" s="62"/>
      <c r="I914" s="62"/>
    </row>
    <row r="915">
      <c r="A915" s="64"/>
      <c r="B915" s="64"/>
      <c r="D915" s="121"/>
      <c r="F915" s="365"/>
      <c r="G915" s="62"/>
      <c r="I915" s="62"/>
    </row>
    <row r="916">
      <c r="A916" s="64"/>
      <c r="B916" s="64"/>
      <c r="D916" s="121"/>
      <c r="F916" s="365"/>
      <c r="G916" s="62"/>
      <c r="I916" s="62"/>
    </row>
    <row r="917">
      <c r="A917" s="64"/>
      <c r="B917" s="64"/>
      <c r="D917" s="121"/>
      <c r="F917" s="365"/>
      <c r="G917" s="62"/>
      <c r="I917" s="62"/>
    </row>
    <row r="918">
      <c r="A918" s="64"/>
      <c r="B918" s="64"/>
      <c r="D918" s="121"/>
      <c r="F918" s="365"/>
      <c r="G918" s="62"/>
      <c r="I918" s="62"/>
    </row>
    <row r="919">
      <c r="A919" s="64"/>
      <c r="B919" s="64"/>
      <c r="D919" s="121"/>
      <c r="F919" s="365"/>
      <c r="G919" s="62"/>
      <c r="I919" s="62"/>
    </row>
    <row r="920">
      <c r="A920" s="64"/>
      <c r="B920" s="64"/>
      <c r="D920" s="121"/>
      <c r="F920" s="365"/>
      <c r="G920" s="62"/>
      <c r="I920" s="62"/>
    </row>
    <row r="921">
      <c r="A921" s="64"/>
      <c r="B921" s="64"/>
      <c r="D921" s="121"/>
      <c r="F921" s="365"/>
      <c r="G921" s="62"/>
      <c r="I921" s="62"/>
    </row>
    <row r="922">
      <c r="A922" s="64"/>
      <c r="B922" s="64"/>
      <c r="D922" s="121"/>
      <c r="F922" s="365"/>
      <c r="G922" s="62"/>
      <c r="I922" s="62"/>
    </row>
    <row r="923">
      <c r="A923" s="64"/>
      <c r="B923" s="64"/>
      <c r="D923" s="121"/>
      <c r="F923" s="365"/>
      <c r="G923" s="62"/>
      <c r="I923" s="62"/>
    </row>
    <row r="924">
      <c r="A924" s="64"/>
      <c r="B924" s="64"/>
      <c r="D924" s="121"/>
      <c r="F924" s="365"/>
      <c r="G924" s="62"/>
      <c r="I924" s="62"/>
    </row>
    <row r="925">
      <c r="A925" s="64"/>
      <c r="B925" s="64"/>
      <c r="D925" s="121"/>
      <c r="F925" s="365"/>
      <c r="G925" s="62"/>
      <c r="I925" s="62"/>
    </row>
    <row r="926">
      <c r="A926" s="64"/>
      <c r="B926" s="64"/>
      <c r="D926" s="121"/>
      <c r="F926" s="365"/>
      <c r="G926" s="62"/>
      <c r="I926" s="62"/>
    </row>
    <row r="927">
      <c r="A927" s="64"/>
      <c r="B927" s="64"/>
      <c r="D927" s="121"/>
      <c r="F927" s="365"/>
      <c r="G927" s="62"/>
      <c r="I927" s="62"/>
    </row>
    <row r="928">
      <c r="A928" s="64"/>
      <c r="B928" s="64"/>
      <c r="D928" s="121"/>
      <c r="F928" s="365"/>
      <c r="G928" s="62"/>
      <c r="I928" s="62"/>
    </row>
    <row r="929">
      <c r="A929" s="64"/>
      <c r="B929" s="64"/>
      <c r="D929" s="121"/>
      <c r="F929" s="365"/>
      <c r="G929" s="62"/>
      <c r="I929" s="62"/>
    </row>
    <row r="930">
      <c r="A930" s="64"/>
      <c r="B930" s="64"/>
      <c r="D930" s="121"/>
      <c r="F930" s="365"/>
      <c r="G930" s="62"/>
      <c r="I930" s="62"/>
    </row>
    <row r="931">
      <c r="A931" s="64"/>
      <c r="B931" s="64"/>
      <c r="D931" s="121"/>
      <c r="F931" s="365"/>
      <c r="G931" s="62"/>
      <c r="I931" s="62"/>
    </row>
    <row r="932">
      <c r="A932" s="64"/>
      <c r="B932" s="64"/>
      <c r="D932" s="121"/>
      <c r="F932" s="365"/>
      <c r="G932" s="62"/>
      <c r="I932" s="62"/>
    </row>
    <row r="933">
      <c r="A933" s="64"/>
      <c r="B933" s="64"/>
      <c r="D933" s="121"/>
      <c r="F933" s="365"/>
      <c r="G933" s="62"/>
      <c r="I933" s="62"/>
    </row>
    <row r="934">
      <c r="A934" s="64"/>
      <c r="B934" s="64"/>
      <c r="D934" s="121"/>
      <c r="F934" s="365"/>
      <c r="G934" s="62"/>
      <c r="I934" s="62"/>
    </row>
    <row r="935">
      <c r="A935" s="64"/>
      <c r="B935" s="64"/>
      <c r="D935" s="121"/>
      <c r="F935" s="365"/>
      <c r="G935" s="62"/>
      <c r="I935" s="62"/>
    </row>
    <row r="936">
      <c r="A936" s="64"/>
      <c r="B936" s="64"/>
      <c r="D936" s="121"/>
      <c r="F936" s="365"/>
      <c r="G936" s="62"/>
      <c r="I936" s="62"/>
    </row>
    <row r="937">
      <c r="A937" s="64"/>
      <c r="B937" s="64"/>
      <c r="D937" s="121"/>
      <c r="F937" s="365"/>
      <c r="G937" s="62"/>
      <c r="I937" s="62"/>
    </row>
    <row r="938">
      <c r="A938" s="64"/>
      <c r="B938" s="64"/>
      <c r="D938" s="121"/>
      <c r="F938" s="365"/>
      <c r="G938" s="62"/>
      <c r="I938" s="62"/>
    </row>
    <row r="939">
      <c r="A939" s="64"/>
      <c r="B939" s="64"/>
      <c r="D939" s="121"/>
      <c r="F939" s="365"/>
      <c r="G939" s="62"/>
      <c r="I939" s="62"/>
    </row>
    <row r="940">
      <c r="A940" s="64"/>
      <c r="B940" s="64"/>
      <c r="D940" s="121"/>
      <c r="F940" s="365"/>
      <c r="G940" s="62"/>
      <c r="I940" s="62"/>
    </row>
    <row r="941">
      <c r="A941" s="64"/>
      <c r="B941" s="64"/>
      <c r="D941" s="121"/>
      <c r="F941" s="365"/>
      <c r="G941" s="62"/>
      <c r="I941" s="62"/>
    </row>
    <row r="942">
      <c r="A942" s="64"/>
      <c r="B942" s="64"/>
      <c r="D942" s="121"/>
      <c r="F942" s="365"/>
      <c r="G942" s="62"/>
      <c r="I942" s="62"/>
    </row>
    <row r="943">
      <c r="A943" s="64"/>
      <c r="B943" s="64"/>
      <c r="D943" s="121"/>
      <c r="F943" s="365"/>
      <c r="G943" s="62"/>
      <c r="I943" s="62"/>
    </row>
    <row r="944">
      <c r="A944" s="64"/>
      <c r="B944" s="64"/>
      <c r="D944" s="121"/>
      <c r="F944" s="365"/>
      <c r="G944" s="62"/>
      <c r="I944" s="62"/>
    </row>
    <row r="945">
      <c r="A945" s="64"/>
      <c r="B945" s="64"/>
      <c r="D945" s="121"/>
      <c r="F945" s="365"/>
      <c r="G945" s="62"/>
      <c r="I945" s="62"/>
    </row>
    <row r="946">
      <c r="A946" s="64"/>
      <c r="B946" s="64"/>
      <c r="D946" s="121"/>
      <c r="F946" s="365"/>
      <c r="G946" s="62"/>
      <c r="I946" s="62"/>
    </row>
    <row r="947">
      <c r="A947" s="64"/>
      <c r="B947" s="64"/>
      <c r="D947" s="121"/>
      <c r="F947" s="365"/>
      <c r="G947" s="62"/>
      <c r="I947" s="62"/>
    </row>
    <row r="948">
      <c r="A948" s="64"/>
      <c r="B948" s="64"/>
      <c r="D948" s="121"/>
      <c r="F948" s="365"/>
      <c r="G948" s="62"/>
      <c r="I948" s="62"/>
    </row>
    <row r="949">
      <c r="A949" s="64"/>
      <c r="B949" s="64"/>
      <c r="D949" s="121"/>
      <c r="F949" s="365"/>
      <c r="G949" s="62"/>
      <c r="I949" s="62"/>
    </row>
    <row r="950">
      <c r="A950" s="64"/>
      <c r="B950" s="64"/>
      <c r="D950" s="121"/>
      <c r="F950" s="365"/>
      <c r="G950" s="62"/>
      <c r="I950" s="62"/>
    </row>
    <row r="951">
      <c r="A951" s="64"/>
      <c r="B951" s="64"/>
      <c r="D951" s="121"/>
      <c r="F951" s="365"/>
      <c r="G951" s="62"/>
      <c r="I951" s="62"/>
    </row>
    <row r="952">
      <c r="A952" s="64"/>
      <c r="B952" s="64"/>
      <c r="D952" s="121"/>
      <c r="F952" s="365"/>
      <c r="G952" s="62"/>
      <c r="I952" s="62"/>
    </row>
    <row r="953">
      <c r="A953" s="64"/>
      <c r="B953" s="64"/>
      <c r="D953" s="121"/>
      <c r="F953" s="365"/>
      <c r="G953" s="62"/>
      <c r="I953" s="62"/>
    </row>
    <row r="954">
      <c r="A954" s="64"/>
      <c r="B954" s="64"/>
      <c r="D954" s="121"/>
      <c r="F954" s="365"/>
      <c r="G954" s="62"/>
      <c r="I954" s="62"/>
    </row>
    <row r="955">
      <c r="A955" s="64"/>
      <c r="B955" s="64"/>
      <c r="D955" s="121"/>
      <c r="F955" s="365"/>
      <c r="G955" s="62"/>
      <c r="I955" s="62"/>
    </row>
    <row r="956">
      <c r="A956" s="64"/>
      <c r="B956" s="64"/>
      <c r="D956" s="121"/>
      <c r="F956" s="365"/>
      <c r="G956" s="62"/>
      <c r="I956" s="62"/>
    </row>
    <row r="957">
      <c r="A957" s="64"/>
      <c r="B957" s="64"/>
      <c r="D957" s="121"/>
      <c r="F957" s="365"/>
      <c r="G957" s="62"/>
      <c r="I957" s="62"/>
    </row>
    <row r="958">
      <c r="A958" s="64"/>
      <c r="B958" s="64"/>
      <c r="D958" s="121"/>
      <c r="F958" s="365"/>
      <c r="G958" s="62"/>
      <c r="I958" s="62"/>
    </row>
    <row r="959">
      <c r="A959" s="64"/>
      <c r="B959" s="64"/>
      <c r="D959" s="121"/>
      <c r="F959" s="365"/>
      <c r="G959" s="62"/>
      <c r="I959" s="62"/>
    </row>
    <row r="960">
      <c r="A960" s="64"/>
      <c r="B960" s="64"/>
      <c r="D960" s="121"/>
      <c r="F960" s="365"/>
      <c r="G960" s="62"/>
      <c r="I960" s="62"/>
    </row>
    <row r="961">
      <c r="A961" s="64"/>
      <c r="B961" s="64"/>
      <c r="D961" s="121"/>
      <c r="F961" s="365"/>
      <c r="G961" s="62"/>
      <c r="I961" s="62"/>
    </row>
    <row r="962">
      <c r="A962" s="64"/>
      <c r="B962" s="64"/>
      <c r="D962" s="121"/>
      <c r="F962" s="365"/>
      <c r="G962" s="62"/>
      <c r="I962" s="62"/>
    </row>
    <row r="963">
      <c r="A963" s="64"/>
      <c r="B963" s="64"/>
      <c r="D963" s="121"/>
      <c r="F963" s="365"/>
      <c r="G963" s="62"/>
      <c r="I963" s="62"/>
    </row>
    <row r="964">
      <c r="A964" s="64"/>
      <c r="B964" s="64"/>
      <c r="D964" s="121"/>
      <c r="F964" s="365"/>
      <c r="G964" s="62"/>
      <c r="I964" s="62"/>
    </row>
    <row r="965">
      <c r="A965" s="64"/>
      <c r="B965" s="64"/>
      <c r="D965" s="121"/>
      <c r="F965" s="365"/>
      <c r="G965" s="62"/>
      <c r="I965" s="62"/>
    </row>
    <row r="966">
      <c r="A966" s="64"/>
      <c r="B966" s="64"/>
      <c r="D966" s="121"/>
      <c r="F966" s="365"/>
      <c r="G966" s="62"/>
      <c r="I966" s="62"/>
    </row>
    <row r="967">
      <c r="A967" s="64"/>
      <c r="B967" s="64"/>
      <c r="D967" s="121"/>
      <c r="F967" s="365"/>
      <c r="G967" s="62"/>
      <c r="I967" s="62"/>
    </row>
    <row r="968">
      <c r="A968" s="64"/>
      <c r="B968" s="64"/>
      <c r="D968" s="121"/>
      <c r="F968" s="365"/>
      <c r="G968" s="62"/>
      <c r="I968" s="62"/>
    </row>
    <row r="969">
      <c r="A969" s="64"/>
      <c r="B969" s="64"/>
      <c r="D969" s="121"/>
      <c r="F969" s="365"/>
      <c r="G969" s="62"/>
      <c r="I969" s="62"/>
    </row>
    <row r="970">
      <c r="A970" s="64"/>
      <c r="B970" s="64"/>
      <c r="D970" s="121"/>
      <c r="F970" s="365"/>
      <c r="G970" s="62"/>
      <c r="I970" s="62"/>
    </row>
    <row r="971">
      <c r="A971" s="64"/>
      <c r="B971" s="64"/>
      <c r="D971" s="121"/>
      <c r="F971" s="365"/>
      <c r="G971" s="62"/>
      <c r="I971" s="62"/>
    </row>
    <row r="972">
      <c r="A972" s="64"/>
      <c r="B972" s="64"/>
      <c r="D972" s="121"/>
      <c r="F972" s="365"/>
      <c r="G972" s="62"/>
      <c r="I972" s="62"/>
    </row>
    <row r="973">
      <c r="A973" s="64"/>
      <c r="B973" s="64"/>
      <c r="D973" s="121"/>
      <c r="F973" s="365"/>
      <c r="G973" s="62"/>
      <c r="I973" s="62"/>
    </row>
    <row r="974">
      <c r="A974" s="64"/>
      <c r="B974" s="64"/>
      <c r="D974" s="121"/>
      <c r="F974" s="365"/>
      <c r="G974" s="62"/>
      <c r="I974" s="62"/>
    </row>
    <row r="975">
      <c r="A975" s="64"/>
      <c r="B975" s="64"/>
      <c r="D975" s="121"/>
      <c r="F975" s="365"/>
      <c r="G975" s="62"/>
      <c r="I975" s="62"/>
    </row>
    <row r="976">
      <c r="A976" s="64"/>
      <c r="B976" s="64"/>
      <c r="D976" s="121"/>
      <c r="F976" s="365"/>
      <c r="G976" s="62"/>
      <c r="I976" s="62"/>
    </row>
    <row r="977">
      <c r="A977" s="64"/>
      <c r="B977" s="64"/>
      <c r="D977" s="121"/>
      <c r="F977" s="365"/>
      <c r="G977" s="62"/>
      <c r="I977" s="62"/>
    </row>
    <row r="978">
      <c r="A978" s="64"/>
      <c r="B978" s="64"/>
      <c r="D978" s="121"/>
      <c r="F978" s="365"/>
      <c r="G978" s="62"/>
      <c r="I978" s="62"/>
    </row>
    <row r="979">
      <c r="A979" s="64"/>
      <c r="B979" s="64"/>
      <c r="D979" s="121"/>
      <c r="F979" s="365"/>
      <c r="G979" s="62"/>
      <c r="I979" s="62"/>
    </row>
    <row r="980">
      <c r="A980" s="64"/>
      <c r="B980" s="64"/>
      <c r="D980" s="121"/>
      <c r="F980" s="365"/>
      <c r="G980" s="62"/>
      <c r="I980" s="62"/>
    </row>
    <row r="981">
      <c r="A981" s="64"/>
      <c r="B981" s="64"/>
      <c r="D981" s="121"/>
      <c r="F981" s="365"/>
      <c r="G981" s="62"/>
      <c r="I981" s="62"/>
    </row>
    <row r="982">
      <c r="A982" s="64"/>
      <c r="B982" s="64"/>
      <c r="D982" s="121"/>
      <c r="F982" s="365"/>
      <c r="G982" s="62"/>
      <c r="I982" s="62"/>
    </row>
    <row r="983">
      <c r="A983" s="64"/>
      <c r="B983" s="64"/>
      <c r="D983" s="121"/>
      <c r="F983" s="365"/>
      <c r="G983" s="62"/>
      <c r="I983" s="62"/>
    </row>
    <row r="984">
      <c r="A984" s="64"/>
      <c r="B984" s="64"/>
      <c r="D984" s="121"/>
      <c r="F984" s="365"/>
      <c r="G984" s="62"/>
      <c r="I984" s="62"/>
    </row>
    <row r="985">
      <c r="A985" s="64"/>
      <c r="B985" s="64"/>
      <c r="D985" s="121"/>
      <c r="F985" s="365"/>
      <c r="G985" s="62"/>
      <c r="I985" s="62"/>
    </row>
    <row r="986">
      <c r="A986" s="64"/>
      <c r="B986" s="64"/>
      <c r="D986" s="121"/>
      <c r="F986" s="365"/>
      <c r="G986" s="62"/>
      <c r="I986" s="62"/>
    </row>
    <row r="987">
      <c r="A987" s="64"/>
      <c r="B987" s="64"/>
      <c r="D987" s="121"/>
      <c r="F987" s="365"/>
      <c r="G987" s="62"/>
      <c r="I987" s="62"/>
    </row>
    <row r="988">
      <c r="A988" s="64"/>
      <c r="B988" s="64"/>
      <c r="D988" s="121"/>
      <c r="F988" s="365"/>
      <c r="G988" s="62"/>
      <c r="I988" s="62"/>
    </row>
    <row r="989">
      <c r="A989" s="64"/>
      <c r="B989" s="64"/>
      <c r="D989" s="121"/>
      <c r="F989" s="365"/>
      <c r="G989" s="62"/>
      <c r="I989" s="62"/>
    </row>
    <row r="990">
      <c r="A990" s="64"/>
      <c r="B990" s="64"/>
      <c r="D990" s="121"/>
      <c r="F990" s="365"/>
      <c r="G990" s="62"/>
      <c r="I990" s="62"/>
    </row>
    <row r="991">
      <c r="A991" s="64"/>
      <c r="B991" s="64"/>
      <c r="D991" s="121"/>
      <c r="F991" s="365"/>
      <c r="G991" s="62"/>
      <c r="I991" s="62"/>
    </row>
    <row r="992">
      <c r="A992" s="64"/>
      <c r="B992" s="64"/>
      <c r="D992" s="121"/>
      <c r="F992" s="365"/>
      <c r="G992" s="62"/>
      <c r="I992" s="62"/>
    </row>
    <row r="993">
      <c r="A993" s="64"/>
      <c r="B993" s="64"/>
      <c r="D993" s="121"/>
      <c r="F993" s="365"/>
      <c r="G993" s="62"/>
      <c r="I993" s="62"/>
    </row>
    <row r="994">
      <c r="A994" s="64"/>
      <c r="B994" s="64"/>
      <c r="D994" s="121"/>
      <c r="F994" s="365"/>
      <c r="G994" s="62"/>
      <c r="I994" s="62"/>
    </row>
    <row r="995">
      <c r="A995" s="64"/>
      <c r="B995" s="64"/>
      <c r="D995" s="121"/>
      <c r="F995" s="365"/>
      <c r="G995" s="62"/>
      <c r="I995" s="62"/>
    </row>
    <row r="996">
      <c r="A996" s="64"/>
      <c r="B996" s="64"/>
      <c r="D996" s="121"/>
      <c r="F996" s="365"/>
      <c r="G996" s="62"/>
      <c r="I996" s="62"/>
    </row>
    <row r="997">
      <c r="A997" s="64"/>
      <c r="B997" s="64"/>
      <c r="D997" s="121"/>
      <c r="F997" s="365"/>
      <c r="G997" s="62"/>
      <c r="I997" s="62"/>
    </row>
    <row r="998">
      <c r="A998" s="64"/>
      <c r="B998" s="64"/>
      <c r="D998" s="121"/>
      <c r="F998" s="365"/>
      <c r="G998" s="62"/>
      <c r="I998" s="62"/>
    </row>
    <row r="999">
      <c r="A999" s="64"/>
      <c r="B999" s="64"/>
      <c r="D999" s="121"/>
      <c r="F999" s="365"/>
      <c r="G999" s="62"/>
      <c r="I999" s="62"/>
    </row>
    <row r="1000">
      <c r="A1000" s="64"/>
      <c r="B1000" s="64"/>
      <c r="D1000" s="121"/>
      <c r="F1000" s="365"/>
      <c r="G1000" s="62"/>
      <c r="I1000" s="62"/>
    </row>
    <row r="1001">
      <c r="A1001" s="64"/>
      <c r="B1001" s="64"/>
      <c r="D1001" s="121"/>
      <c r="F1001" s="365"/>
      <c r="G1001" s="62"/>
      <c r="I1001" s="62"/>
    </row>
    <row r="1002">
      <c r="A1002" s="64"/>
      <c r="B1002" s="64"/>
      <c r="D1002" s="121"/>
      <c r="F1002" s="365"/>
      <c r="G1002" s="62"/>
      <c r="I1002" s="62"/>
    </row>
  </sheetData>
  <mergeCells count="6">
    <mergeCell ref="A2:C2"/>
    <mergeCell ref="D2:F2"/>
    <mergeCell ref="H2:I2"/>
    <mergeCell ref="J2:L2"/>
    <mergeCell ref="D3:E3"/>
    <mergeCell ref="F3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50.0"/>
    <col customWidth="1" min="3" max="3" width="48.86"/>
  </cols>
  <sheetData>
    <row r="1">
      <c r="A1" s="51"/>
      <c r="B1" s="51"/>
    </row>
    <row r="2">
      <c r="A2" s="51"/>
      <c r="B2" s="51"/>
    </row>
    <row r="3">
      <c r="A3" s="51" t="s">
        <v>3358</v>
      </c>
      <c r="B3" s="51" t="s">
        <v>3359</v>
      </c>
      <c r="C3" s="51" t="s">
        <v>3360</v>
      </c>
    </row>
    <row r="4">
      <c r="A4" s="51" t="s">
        <v>3361</v>
      </c>
      <c r="B4" s="661" t="s">
        <v>3362</v>
      </c>
      <c r="C4" s="51" t="s">
        <v>3363</v>
      </c>
    </row>
    <row r="5">
      <c r="A5" s="51" t="s">
        <v>3364</v>
      </c>
      <c r="B5" s="661" t="s">
        <v>3365</v>
      </c>
      <c r="C5" s="51" t="s">
        <v>3366</v>
      </c>
    </row>
    <row r="6">
      <c r="A6" s="51" t="s">
        <v>3367</v>
      </c>
      <c r="B6" s="661" t="s">
        <v>3368</v>
      </c>
    </row>
    <row r="7">
      <c r="B7" s="661" t="s">
        <v>3369</v>
      </c>
    </row>
    <row r="8">
      <c r="B8" s="661" t="s">
        <v>3370</v>
      </c>
    </row>
    <row r="9">
      <c r="A9" s="51" t="s">
        <v>3371</v>
      </c>
      <c r="B9" s="661" t="s">
        <v>3372</v>
      </c>
      <c r="C9" s="51" t="s">
        <v>3373</v>
      </c>
    </row>
    <row r="10">
      <c r="B10" s="661" t="s">
        <v>3374</v>
      </c>
    </row>
    <row r="11">
      <c r="B11" s="51" t="s">
        <v>3375</v>
      </c>
    </row>
    <row r="12">
      <c r="A12" s="51" t="s">
        <v>3376</v>
      </c>
      <c r="B12" s="51" t="s">
        <v>3377</v>
      </c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57"/>
    <col customWidth="1" min="2" max="2" width="9.71"/>
    <col customWidth="1" min="3" max="3" width="11.71"/>
    <col customWidth="1" min="4" max="4" width="8.71"/>
    <col customWidth="1" min="5" max="5" width="9.71"/>
    <col customWidth="1" min="6" max="6" width="8.57"/>
    <col customWidth="1" min="7" max="7" width="10.71"/>
    <col customWidth="1" min="8" max="8" width="8.57"/>
    <col customWidth="1" min="9" max="9" width="10.71"/>
    <col customWidth="1" min="10" max="10" width="9.0"/>
    <col customWidth="1" min="11" max="11" width="11.71"/>
    <col customWidth="1" min="12" max="12" width="8.71"/>
    <col customWidth="1" min="13" max="13" width="9.71"/>
    <col customWidth="1" min="14" max="14" width="0.86"/>
    <col customWidth="1" min="15" max="15" width="1.0"/>
    <col customWidth="1" min="16" max="16" width="11.71"/>
    <col customWidth="1" min="17" max="17" width="10.57"/>
    <col customWidth="1" min="18" max="18" width="8.71"/>
  </cols>
  <sheetData>
    <row r="1" ht="116.25" customHeight="1">
      <c r="A1" s="662" t="s">
        <v>3378</v>
      </c>
      <c r="B1" s="15"/>
      <c r="C1" s="663" t="s">
        <v>3379</v>
      </c>
      <c r="D1" s="664" t="s">
        <v>3380</v>
      </c>
      <c r="E1" s="663" t="s">
        <v>3381</v>
      </c>
      <c r="F1" s="665"/>
      <c r="G1" s="666"/>
      <c r="H1" s="666" t="s">
        <v>3382</v>
      </c>
      <c r="I1" s="667" t="s">
        <v>3383</v>
      </c>
      <c r="J1" s="666" t="s">
        <v>3384</v>
      </c>
      <c r="K1" s="668" t="s">
        <v>3385</v>
      </c>
      <c r="L1" s="666" t="s">
        <v>3380</v>
      </c>
      <c r="M1" s="668" t="s">
        <v>3386</v>
      </c>
      <c r="N1" s="669"/>
      <c r="O1" s="670"/>
      <c r="P1" s="671" t="s">
        <v>3387</v>
      </c>
    </row>
    <row r="2">
      <c r="A2" s="672" t="s">
        <v>3388</v>
      </c>
      <c r="B2" s="673">
        <v>20207.0</v>
      </c>
      <c r="C2" s="674">
        <v>0.0</v>
      </c>
      <c r="D2" s="673">
        <v>0.2064</v>
      </c>
      <c r="E2" s="674">
        <v>0.0</v>
      </c>
      <c r="F2" s="675"/>
      <c r="G2" s="673" t="s">
        <v>3388</v>
      </c>
      <c r="H2" s="673">
        <v>8341.0</v>
      </c>
      <c r="I2" s="674">
        <v>0.0</v>
      </c>
      <c r="J2" s="676">
        <v>11.401</v>
      </c>
      <c r="K2" s="674">
        <v>0.0</v>
      </c>
      <c r="L2" s="677">
        <v>0.1093</v>
      </c>
      <c r="M2" s="678">
        <v>0.0</v>
      </c>
      <c r="N2" s="669"/>
      <c r="O2" s="670"/>
      <c r="P2" s="679" t="s">
        <v>3378</v>
      </c>
      <c r="Q2" s="679" t="s">
        <v>3382</v>
      </c>
    </row>
    <row r="3">
      <c r="A3" s="672" t="s">
        <v>3389</v>
      </c>
      <c r="B3" s="673">
        <v>20330.0</v>
      </c>
      <c r="C3" s="674">
        <f>B3-B2</f>
        <v>123</v>
      </c>
      <c r="D3" s="673">
        <v>0.2064</v>
      </c>
      <c r="E3" s="674">
        <f t="shared" ref="E3:E4" si="1">C3*D3</f>
        <v>25.3872</v>
      </c>
      <c r="F3" s="675"/>
      <c r="G3" s="673" t="s">
        <v>3390</v>
      </c>
      <c r="H3" s="673">
        <v>8391.0</v>
      </c>
      <c r="I3" s="674">
        <f t="shared" ref="I3:I4" si="2">H3-H2</f>
        <v>50</v>
      </c>
      <c r="J3" s="676">
        <v>11.401</v>
      </c>
      <c r="K3" s="674">
        <f t="shared" ref="K3:K4" si="3">I3*J3</f>
        <v>570.05</v>
      </c>
      <c r="L3" s="677">
        <v>0.1093</v>
      </c>
      <c r="M3" s="678">
        <f t="shared" ref="M3:M4" si="4">K3*L3</f>
        <v>62.306465</v>
      </c>
      <c r="N3" s="669"/>
      <c r="O3" s="670"/>
      <c r="P3" s="680">
        <v>12.67</v>
      </c>
      <c r="Q3" s="680">
        <v>23.38</v>
      </c>
    </row>
    <row r="4">
      <c r="A4" s="672"/>
      <c r="B4" s="674"/>
      <c r="C4" s="674"/>
      <c r="D4" s="673">
        <v>0.2064</v>
      </c>
      <c r="E4" s="674">
        <f t="shared" si="1"/>
        <v>0</v>
      </c>
      <c r="F4" s="675"/>
      <c r="G4" s="673" t="s">
        <v>3391</v>
      </c>
      <c r="H4" s="673">
        <v>8703.0</v>
      </c>
      <c r="I4" s="674">
        <f t="shared" si="2"/>
        <v>312</v>
      </c>
      <c r="J4" s="676">
        <v>11.401</v>
      </c>
      <c r="K4" s="681">
        <f t="shared" si="3"/>
        <v>3557.112</v>
      </c>
      <c r="L4" s="677">
        <v>0.1093</v>
      </c>
      <c r="M4" s="678">
        <f t="shared" si="4"/>
        <v>388.7923416</v>
      </c>
      <c r="N4" s="669"/>
      <c r="O4" s="670"/>
      <c r="P4" s="674"/>
      <c r="Q4" s="674"/>
    </row>
    <row r="5">
      <c r="A5" s="682"/>
      <c r="B5" s="674"/>
      <c r="C5" s="674"/>
      <c r="D5" s="674"/>
      <c r="E5" s="678"/>
      <c r="F5" s="683"/>
      <c r="G5" s="674"/>
      <c r="H5" s="674"/>
      <c r="I5" s="674"/>
      <c r="J5" s="684"/>
      <c r="K5" s="674"/>
      <c r="L5" s="685"/>
      <c r="M5" s="678"/>
      <c r="N5" s="669"/>
      <c r="O5" s="670"/>
      <c r="P5" s="674"/>
      <c r="Q5" s="674"/>
    </row>
    <row r="6">
      <c r="A6" s="682"/>
      <c r="B6" s="674"/>
      <c r="C6" s="674"/>
      <c r="D6" s="674"/>
      <c r="E6" s="678"/>
      <c r="F6" s="683"/>
      <c r="G6" s="674"/>
      <c r="H6" s="674"/>
      <c r="I6" s="674"/>
      <c r="J6" s="684"/>
      <c r="K6" s="674"/>
      <c r="L6" s="685"/>
      <c r="M6" s="678"/>
      <c r="N6" s="669"/>
      <c r="O6" s="670"/>
      <c r="P6" s="674"/>
      <c r="Q6" s="674"/>
    </row>
    <row r="7">
      <c r="A7" s="682"/>
      <c r="B7" s="674"/>
      <c r="C7" s="674"/>
      <c r="D7" s="674"/>
      <c r="E7" s="678"/>
      <c r="F7" s="683"/>
      <c r="G7" s="674"/>
      <c r="H7" s="674"/>
      <c r="I7" s="674"/>
      <c r="J7" s="684"/>
      <c r="K7" s="674"/>
      <c r="L7" s="685"/>
      <c r="M7" s="678"/>
      <c r="N7" s="669"/>
      <c r="O7" s="670"/>
      <c r="P7" s="674"/>
      <c r="Q7" s="674"/>
    </row>
    <row r="8">
      <c r="A8" s="682"/>
      <c r="B8" s="674"/>
      <c r="C8" s="674"/>
      <c r="D8" s="674"/>
      <c r="E8" s="678"/>
      <c r="F8" s="683"/>
      <c r="G8" s="674"/>
      <c r="H8" s="674"/>
      <c r="I8" s="674"/>
      <c r="J8" s="684"/>
      <c r="K8" s="674"/>
      <c r="L8" s="685"/>
      <c r="M8" s="678"/>
      <c r="N8" s="669"/>
      <c r="O8" s="670"/>
      <c r="P8" s="674"/>
      <c r="Q8" s="674"/>
    </row>
    <row r="9">
      <c r="A9" s="682"/>
      <c r="B9" s="674"/>
      <c r="C9" s="674"/>
      <c r="D9" s="674"/>
      <c r="E9" s="678"/>
      <c r="F9" s="683"/>
      <c r="G9" s="674"/>
      <c r="H9" s="674"/>
      <c r="I9" s="674"/>
      <c r="J9" s="684"/>
      <c r="K9" s="674"/>
      <c r="L9" s="685"/>
      <c r="M9" s="678"/>
      <c r="N9" s="669"/>
      <c r="O9" s="670"/>
      <c r="P9" s="674"/>
      <c r="Q9" s="674"/>
    </row>
    <row r="10">
      <c r="A10" s="682"/>
      <c r="B10" s="674"/>
      <c r="C10" s="674"/>
      <c r="D10" s="674"/>
      <c r="E10" s="678"/>
      <c r="F10" s="683"/>
      <c r="G10" s="674"/>
      <c r="H10" s="674"/>
      <c r="I10" s="674"/>
      <c r="J10" s="684"/>
      <c r="K10" s="674"/>
      <c r="L10" s="685"/>
      <c r="M10" s="678"/>
      <c r="N10" s="669"/>
      <c r="O10" s="670"/>
      <c r="P10" s="674"/>
      <c r="Q10" s="674"/>
    </row>
    <row r="11">
      <c r="A11" s="682"/>
      <c r="B11" s="674"/>
      <c r="C11" s="674"/>
      <c r="D11" s="674"/>
      <c r="E11" s="678"/>
      <c r="F11" s="683"/>
      <c r="G11" s="674"/>
      <c r="H11" s="674"/>
      <c r="I11" s="674"/>
      <c r="J11" s="684"/>
      <c r="K11" s="674"/>
      <c r="L11" s="685"/>
      <c r="M11" s="678"/>
      <c r="N11" s="669"/>
      <c r="O11" s="670"/>
      <c r="P11" s="674"/>
      <c r="Q11" s="674"/>
    </row>
    <row r="12">
      <c r="A12" s="686"/>
      <c r="B12" s="673"/>
      <c r="C12" s="673"/>
      <c r="D12" s="673"/>
      <c r="E12" s="673"/>
      <c r="F12" s="675"/>
      <c r="G12" s="673"/>
      <c r="H12" s="673"/>
      <c r="I12" s="674"/>
      <c r="J12" s="684"/>
      <c r="K12" s="674"/>
      <c r="L12" s="685"/>
      <c r="M12" s="678"/>
      <c r="N12" s="669"/>
      <c r="O12" s="670"/>
      <c r="P12" s="674"/>
      <c r="Q12" s="674"/>
    </row>
    <row r="13">
      <c r="A13" s="686"/>
      <c r="B13" s="673"/>
      <c r="C13" s="673"/>
      <c r="D13" s="673"/>
      <c r="E13" s="673"/>
      <c r="F13" s="675"/>
      <c r="G13" s="673"/>
      <c r="H13" s="673"/>
      <c r="I13" s="674"/>
      <c r="J13" s="684"/>
      <c r="K13" s="674"/>
      <c r="L13" s="685"/>
      <c r="M13" s="678"/>
      <c r="N13" s="669"/>
      <c r="O13" s="670"/>
      <c r="P13" s="674"/>
      <c r="Q13" s="674"/>
    </row>
    <row r="14">
      <c r="A14" s="686"/>
      <c r="B14" s="673"/>
      <c r="C14" s="674"/>
      <c r="D14" s="674"/>
      <c r="E14" s="678"/>
      <c r="F14" s="675"/>
      <c r="G14" s="673"/>
      <c r="H14" s="673"/>
      <c r="I14" s="673"/>
      <c r="J14" s="673"/>
      <c r="K14" s="673"/>
      <c r="L14" s="673"/>
      <c r="M14" s="673"/>
      <c r="N14" s="669"/>
      <c r="O14" s="670"/>
      <c r="P14" s="674"/>
      <c r="Q14" s="674"/>
    </row>
    <row r="15">
      <c r="A15" s="674"/>
      <c r="B15" s="674"/>
      <c r="C15" s="674"/>
      <c r="D15" s="674"/>
      <c r="E15" s="674"/>
      <c r="F15" s="683"/>
      <c r="G15" s="674"/>
      <c r="H15" s="674"/>
      <c r="I15" s="674"/>
      <c r="J15" s="674"/>
      <c r="K15" s="674"/>
      <c r="L15" s="674"/>
      <c r="M15" s="674"/>
      <c r="N15" s="669"/>
      <c r="O15" s="670"/>
      <c r="P15" s="674"/>
      <c r="Q15" s="674"/>
    </row>
    <row r="16">
      <c r="A16" s="674"/>
      <c r="B16" s="674"/>
      <c r="C16" s="674"/>
      <c r="D16" s="674"/>
      <c r="E16" s="674"/>
      <c r="F16" s="683"/>
      <c r="G16" s="674"/>
      <c r="H16" s="674"/>
      <c r="I16" s="674"/>
      <c r="J16" s="674"/>
      <c r="K16" s="674"/>
      <c r="L16" s="674"/>
      <c r="M16" s="674"/>
      <c r="N16" s="669"/>
      <c r="O16" s="670"/>
      <c r="P16" s="674"/>
      <c r="Q16" s="674"/>
    </row>
    <row r="17">
      <c r="A17" s="674"/>
      <c r="B17" s="674"/>
      <c r="C17" s="674"/>
      <c r="D17" s="674"/>
      <c r="E17" s="674"/>
      <c r="F17" s="683"/>
      <c r="G17" s="674"/>
      <c r="H17" s="674"/>
      <c r="I17" s="674"/>
      <c r="J17" s="674"/>
      <c r="K17" s="674"/>
      <c r="L17" s="674"/>
      <c r="M17" s="674"/>
      <c r="N17" s="669"/>
      <c r="O17" s="670"/>
      <c r="P17" s="674"/>
      <c r="Q17" s="674"/>
    </row>
    <row r="18">
      <c r="A18" s="674"/>
      <c r="B18" s="674"/>
      <c r="C18" s="674"/>
      <c r="D18" s="674"/>
      <c r="E18" s="674"/>
      <c r="F18" s="683"/>
      <c r="G18" s="674"/>
      <c r="H18" s="674"/>
      <c r="I18" s="674"/>
      <c r="J18" s="674"/>
      <c r="K18" s="674"/>
      <c r="L18" s="674"/>
      <c r="M18" s="674"/>
      <c r="N18" s="669"/>
      <c r="O18" s="670"/>
      <c r="P18" s="674"/>
      <c r="Q18" s="674"/>
    </row>
    <row r="19">
      <c r="A19" s="674"/>
      <c r="B19" s="674"/>
      <c r="C19" s="674"/>
      <c r="D19" s="674"/>
      <c r="E19" s="674"/>
      <c r="F19" s="683"/>
      <c r="G19" s="674"/>
      <c r="H19" s="674"/>
      <c r="I19" s="674"/>
      <c r="J19" s="674"/>
      <c r="K19" s="674"/>
      <c r="L19" s="674"/>
      <c r="M19" s="674"/>
      <c r="N19" s="669"/>
      <c r="O19" s="670"/>
      <c r="P19" s="674"/>
      <c r="Q19" s="674"/>
    </row>
    <row r="20">
      <c r="A20" s="674"/>
      <c r="B20" s="674"/>
      <c r="C20" s="674"/>
      <c r="D20" s="674"/>
      <c r="E20" s="674"/>
      <c r="F20" s="683"/>
      <c r="G20" s="674"/>
      <c r="H20" s="674"/>
      <c r="I20" s="674"/>
      <c r="J20" s="674"/>
      <c r="K20" s="674"/>
      <c r="L20" s="674"/>
      <c r="M20" s="674"/>
      <c r="N20" s="669"/>
      <c r="O20" s="670"/>
      <c r="P20" s="674"/>
      <c r="Q20" s="674"/>
    </row>
    <row r="21">
      <c r="A21" s="674"/>
      <c r="B21" s="674"/>
      <c r="C21" s="674"/>
      <c r="D21" s="674"/>
      <c r="E21" s="674"/>
      <c r="F21" s="683"/>
      <c r="G21" s="674"/>
      <c r="H21" s="674"/>
      <c r="I21" s="674"/>
      <c r="J21" s="674"/>
      <c r="K21" s="674"/>
      <c r="L21" s="674"/>
      <c r="M21" s="674"/>
      <c r="N21" s="669"/>
      <c r="O21" s="670"/>
      <c r="P21" s="674"/>
      <c r="Q21" s="674"/>
    </row>
    <row r="22">
      <c r="A22" s="674"/>
      <c r="B22" s="674"/>
      <c r="C22" s="674"/>
      <c r="D22" s="674"/>
      <c r="E22" s="674"/>
      <c r="F22" s="683"/>
      <c r="G22" s="674"/>
      <c r="H22" s="674"/>
      <c r="I22" s="674"/>
      <c r="J22" s="674"/>
      <c r="K22" s="674"/>
      <c r="L22" s="674"/>
      <c r="M22" s="674"/>
      <c r="N22" s="669"/>
      <c r="O22" s="670"/>
      <c r="P22" s="674"/>
      <c r="Q22" s="674"/>
    </row>
    <row r="23">
      <c r="A23" s="674"/>
      <c r="B23" s="674"/>
      <c r="C23" s="674"/>
      <c r="D23" s="674"/>
      <c r="E23" s="674"/>
      <c r="F23" s="683"/>
      <c r="G23" s="674"/>
      <c r="H23" s="674"/>
      <c r="I23" s="674"/>
      <c r="J23" s="674"/>
      <c r="K23" s="674"/>
      <c r="L23" s="674"/>
      <c r="M23" s="674"/>
      <c r="N23" s="669"/>
      <c r="O23" s="670"/>
      <c r="P23" s="674"/>
      <c r="Q23" s="674"/>
    </row>
    <row r="24">
      <c r="A24" s="674"/>
      <c r="B24" s="674"/>
      <c r="C24" s="674"/>
      <c r="D24" s="674"/>
      <c r="E24" s="674"/>
      <c r="F24" s="683"/>
      <c r="G24" s="674"/>
      <c r="H24" s="674"/>
      <c r="I24" s="674"/>
      <c r="J24" s="674"/>
      <c r="K24" s="674"/>
      <c r="L24" s="674"/>
      <c r="M24" s="674"/>
      <c r="N24" s="669"/>
      <c r="O24" s="670"/>
      <c r="P24" s="674"/>
      <c r="Q24" s="674"/>
    </row>
    <row r="25">
      <c r="A25" s="674"/>
      <c r="B25" s="674"/>
      <c r="C25" s="674"/>
      <c r="D25" s="674"/>
      <c r="E25" s="674"/>
      <c r="F25" s="683"/>
      <c r="G25" s="674"/>
      <c r="H25" s="674"/>
      <c r="I25" s="674"/>
      <c r="J25" s="674"/>
      <c r="K25" s="674"/>
      <c r="L25" s="674"/>
      <c r="M25" s="674"/>
      <c r="N25" s="669"/>
      <c r="O25" s="670"/>
      <c r="P25" s="674"/>
      <c r="Q25" s="674"/>
    </row>
    <row r="26">
      <c r="A26" s="674"/>
      <c r="B26" s="674"/>
      <c r="C26" s="674"/>
      <c r="D26" s="674"/>
      <c r="E26" s="674"/>
      <c r="F26" s="683"/>
      <c r="G26" s="674"/>
      <c r="H26" s="674"/>
      <c r="I26" s="674"/>
      <c r="J26" s="674"/>
      <c r="K26" s="674"/>
      <c r="L26" s="674"/>
      <c r="M26" s="674"/>
      <c r="N26" s="669"/>
      <c r="O26" s="670"/>
      <c r="P26" s="674"/>
      <c r="Q26" s="674"/>
    </row>
    <row r="27">
      <c r="A27" s="674"/>
      <c r="B27" s="674"/>
      <c r="C27" s="674"/>
      <c r="D27" s="674"/>
      <c r="E27" s="674"/>
      <c r="F27" s="683"/>
      <c r="G27" s="674"/>
      <c r="H27" s="674"/>
      <c r="I27" s="674"/>
      <c r="J27" s="674"/>
      <c r="K27" s="674"/>
      <c r="L27" s="674"/>
      <c r="M27" s="674"/>
      <c r="N27" s="669"/>
      <c r="O27" s="670"/>
      <c r="P27" s="674"/>
      <c r="Q27" s="674"/>
    </row>
    <row r="28">
      <c r="A28" s="674"/>
      <c r="B28" s="674"/>
      <c r="C28" s="674"/>
      <c r="D28" s="674"/>
      <c r="E28" s="674"/>
      <c r="F28" s="683"/>
      <c r="G28" s="674"/>
      <c r="H28" s="674"/>
      <c r="I28" s="674"/>
      <c r="J28" s="674"/>
      <c r="K28" s="674"/>
      <c r="L28" s="674"/>
      <c r="M28" s="674"/>
      <c r="N28" s="669"/>
      <c r="O28" s="670"/>
      <c r="P28" s="674"/>
      <c r="Q28" s="674"/>
    </row>
    <row r="29">
      <c r="A29" s="674"/>
      <c r="B29" s="674"/>
      <c r="C29" s="674"/>
      <c r="D29" s="674"/>
      <c r="E29" s="674"/>
      <c r="F29" s="683"/>
      <c r="G29" s="674"/>
      <c r="H29" s="674"/>
      <c r="I29" s="674"/>
      <c r="J29" s="674"/>
      <c r="K29" s="674"/>
      <c r="L29" s="674"/>
      <c r="M29" s="674"/>
      <c r="N29" s="669"/>
      <c r="O29" s="670"/>
      <c r="P29" s="674"/>
      <c r="Q29" s="674"/>
    </row>
    <row r="30">
      <c r="A30" s="674"/>
      <c r="B30" s="674"/>
      <c r="C30" s="674"/>
      <c r="D30" s="674"/>
      <c r="E30" s="674"/>
      <c r="F30" s="683"/>
      <c r="G30" s="674"/>
      <c r="H30" s="674"/>
      <c r="I30" s="674"/>
      <c r="J30" s="674"/>
      <c r="K30" s="674"/>
      <c r="L30" s="674"/>
      <c r="M30" s="674"/>
      <c r="N30" s="669"/>
      <c r="O30" s="670"/>
      <c r="P30" s="674"/>
      <c r="Q30" s="674"/>
    </row>
    <row r="31">
      <c r="A31" s="674"/>
      <c r="B31" s="674"/>
      <c r="C31" s="674"/>
      <c r="D31" s="674"/>
      <c r="E31" s="674"/>
      <c r="F31" s="683"/>
      <c r="G31" s="674"/>
      <c r="H31" s="674"/>
      <c r="I31" s="674"/>
      <c r="J31" s="674"/>
      <c r="K31" s="674"/>
      <c r="L31" s="674"/>
      <c r="M31" s="674"/>
      <c r="N31" s="669"/>
      <c r="O31" s="670"/>
      <c r="P31" s="674"/>
      <c r="Q31" s="674"/>
    </row>
    <row r="32">
      <c r="A32" s="674"/>
      <c r="B32" s="674"/>
      <c r="C32" s="674"/>
      <c r="D32" s="674"/>
      <c r="E32" s="674"/>
      <c r="F32" s="683"/>
      <c r="G32" s="674"/>
      <c r="H32" s="674"/>
      <c r="I32" s="674"/>
      <c r="J32" s="674"/>
      <c r="K32" s="674"/>
      <c r="L32" s="674"/>
      <c r="M32" s="674"/>
      <c r="N32" s="669"/>
      <c r="O32" s="670"/>
      <c r="P32" s="674"/>
      <c r="Q32" s="674"/>
    </row>
    <row r="33">
      <c r="A33" s="674"/>
      <c r="B33" s="674"/>
      <c r="C33" s="674"/>
      <c r="D33" s="674"/>
      <c r="E33" s="674"/>
      <c r="F33" s="683"/>
      <c r="G33" s="674"/>
      <c r="H33" s="674"/>
      <c r="I33" s="674"/>
      <c r="J33" s="674"/>
      <c r="K33" s="674"/>
      <c r="L33" s="674"/>
      <c r="M33" s="674"/>
      <c r="N33" s="669"/>
      <c r="O33" s="670"/>
      <c r="P33" s="674"/>
      <c r="Q33" s="674"/>
    </row>
    <row r="34">
      <c r="A34" s="674"/>
      <c r="B34" s="674"/>
      <c r="C34" s="674"/>
      <c r="D34" s="674"/>
      <c r="E34" s="674"/>
      <c r="F34" s="683"/>
      <c r="G34" s="674"/>
      <c r="H34" s="674"/>
      <c r="I34" s="674"/>
      <c r="J34" s="674"/>
      <c r="K34" s="674"/>
      <c r="L34" s="674"/>
      <c r="M34" s="674"/>
      <c r="N34" s="669"/>
      <c r="O34" s="670"/>
      <c r="P34" s="674"/>
      <c r="Q34" s="674"/>
    </row>
    <row r="35">
      <c r="A35" s="674"/>
      <c r="B35" s="674"/>
      <c r="C35" s="674"/>
      <c r="D35" s="674"/>
      <c r="E35" s="674"/>
      <c r="F35" s="683"/>
      <c r="G35" s="674"/>
      <c r="H35" s="674"/>
      <c r="I35" s="674"/>
      <c r="J35" s="674"/>
      <c r="K35" s="674"/>
      <c r="L35" s="674"/>
      <c r="M35" s="674"/>
      <c r="N35" s="669"/>
      <c r="O35" s="670"/>
      <c r="P35" s="674"/>
      <c r="Q35" s="674"/>
    </row>
    <row r="36">
      <c r="A36" s="674"/>
      <c r="B36" s="674"/>
      <c r="C36" s="674"/>
      <c r="D36" s="674"/>
      <c r="E36" s="674"/>
      <c r="F36" s="683"/>
      <c r="G36" s="674"/>
      <c r="H36" s="674"/>
      <c r="I36" s="674"/>
      <c r="J36" s="674"/>
      <c r="K36" s="674"/>
      <c r="L36" s="674"/>
      <c r="M36" s="674"/>
      <c r="N36" s="669"/>
      <c r="O36" s="670"/>
      <c r="P36" s="674"/>
      <c r="Q36" s="674"/>
    </row>
    <row r="37">
      <c r="A37" s="674"/>
      <c r="B37" s="674"/>
      <c r="C37" s="674"/>
      <c r="D37" s="674"/>
      <c r="E37" s="674"/>
      <c r="F37" s="683"/>
      <c r="G37" s="674"/>
      <c r="H37" s="674"/>
      <c r="I37" s="674"/>
      <c r="J37" s="674"/>
      <c r="K37" s="674"/>
      <c r="L37" s="674"/>
      <c r="M37" s="674"/>
      <c r="N37" s="669"/>
      <c r="O37" s="670"/>
      <c r="P37" s="674"/>
      <c r="Q37" s="674"/>
    </row>
    <row r="38">
      <c r="A38" s="674"/>
      <c r="B38" s="674"/>
      <c r="C38" s="674"/>
      <c r="D38" s="674"/>
      <c r="E38" s="674"/>
      <c r="F38" s="683"/>
      <c r="G38" s="674"/>
      <c r="H38" s="674"/>
      <c r="I38" s="674"/>
      <c r="J38" s="674"/>
      <c r="K38" s="674"/>
      <c r="L38" s="674"/>
      <c r="M38" s="674"/>
      <c r="N38" s="669"/>
      <c r="O38" s="670"/>
      <c r="P38" s="674"/>
      <c r="Q38" s="674"/>
    </row>
    <row r="39">
      <c r="A39" s="674"/>
      <c r="B39" s="674"/>
      <c r="C39" s="674"/>
      <c r="D39" s="674"/>
      <c r="E39" s="674"/>
      <c r="F39" s="683"/>
      <c r="G39" s="674"/>
      <c r="H39" s="674"/>
      <c r="I39" s="674"/>
      <c r="J39" s="674"/>
      <c r="K39" s="674"/>
      <c r="L39" s="674"/>
      <c r="M39" s="674"/>
      <c r="N39" s="669"/>
      <c r="O39" s="670"/>
      <c r="P39" s="674"/>
      <c r="Q39" s="674"/>
    </row>
    <row r="40">
      <c r="A40" s="674"/>
      <c r="B40" s="674"/>
      <c r="C40" s="674"/>
      <c r="D40" s="674"/>
      <c r="E40" s="674"/>
      <c r="F40" s="683"/>
      <c r="G40" s="674"/>
      <c r="H40" s="674"/>
      <c r="I40" s="674"/>
      <c r="J40" s="674"/>
      <c r="K40" s="674"/>
      <c r="L40" s="674"/>
      <c r="M40" s="674"/>
      <c r="N40" s="669"/>
      <c r="O40" s="670"/>
      <c r="P40" s="674"/>
      <c r="Q40" s="674"/>
    </row>
    <row r="41">
      <c r="A41" s="674"/>
      <c r="B41" s="674"/>
      <c r="C41" s="674"/>
      <c r="D41" s="674"/>
      <c r="E41" s="674"/>
      <c r="F41" s="683"/>
      <c r="G41" s="674"/>
      <c r="H41" s="674"/>
      <c r="I41" s="674"/>
      <c r="J41" s="674"/>
      <c r="K41" s="674"/>
      <c r="L41" s="674"/>
      <c r="M41" s="674"/>
      <c r="N41" s="669"/>
      <c r="O41" s="670"/>
      <c r="P41" s="674"/>
      <c r="Q41" s="674"/>
    </row>
    <row r="42">
      <c r="A42" s="674"/>
      <c r="B42" s="674"/>
      <c r="C42" s="674"/>
      <c r="D42" s="674"/>
      <c r="E42" s="674"/>
      <c r="F42" s="683"/>
      <c r="G42" s="674"/>
      <c r="H42" s="674"/>
      <c r="I42" s="674"/>
      <c r="J42" s="674"/>
      <c r="K42" s="674"/>
      <c r="L42" s="674"/>
      <c r="M42" s="674"/>
      <c r="N42" s="669"/>
      <c r="O42" s="670"/>
      <c r="P42" s="674"/>
      <c r="Q42" s="674"/>
    </row>
    <row r="43">
      <c r="A43" s="674"/>
      <c r="B43" s="674"/>
      <c r="C43" s="674"/>
      <c r="D43" s="674"/>
      <c r="E43" s="674"/>
      <c r="F43" s="683"/>
      <c r="G43" s="674"/>
      <c r="H43" s="674"/>
      <c r="I43" s="674"/>
      <c r="J43" s="674"/>
      <c r="K43" s="674"/>
      <c r="L43" s="674"/>
      <c r="M43" s="674"/>
      <c r="N43" s="669"/>
      <c r="O43" s="670"/>
      <c r="P43" s="674"/>
      <c r="Q43" s="674"/>
    </row>
    <row r="44">
      <c r="A44" s="674"/>
      <c r="B44" s="674"/>
      <c r="C44" s="674"/>
      <c r="D44" s="674"/>
      <c r="E44" s="674"/>
      <c r="F44" s="683"/>
      <c r="G44" s="674"/>
      <c r="H44" s="674"/>
      <c r="I44" s="674"/>
      <c r="J44" s="674"/>
      <c r="K44" s="674"/>
      <c r="L44" s="674"/>
      <c r="M44" s="674"/>
      <c r="N44" s="669"/>
      <c r="O44" s="670"/>
      <c r="P44" s="674"/>
      <c r="Q44" s="674"/>
    </row>
    <row r="45">
      <c r="A45" s="674"/>
      <c r="B45" s="674"/>
      <c r="C45" s="674"/>
      <c r="D45" s="674"/>
      <c r="E45" s="674"/>
      <c r="F45" s="683"/>
      <c r="G45" s="674"/>
      <c r="H45" s="674"/>
      <c r="I45" s="674"/>
      <c r="J45" s="674"/>
      <c r="K45" s="674"/>
      <c r="L45" s="674"/>
      <c r="M45" s="674"/>
      <c r="N45" s="669"/>
      <c r="O45" s="670"/>
      <c r="P45" s="674"/>
      <c r="Q45" s="674"/>
    </row>
    <row r="46">
      <c r="A46" s="674"/>
      <c r="B46" s="674"/>
      <c r="C46" s="674"/>
      <c r="D46" s="674"/>
      <c r="E46" s="674"/>
      <c r="F46" s="683"/>
      <c r="G46" s="674"/>
      <c r="H46" s="674"/>
      <c r="I46" s="674"/>
      <c r="J46" s="674"/>
      <c r="K46" s="674"/>
      <c r="L46" s="674"/>
      <c r="M46" s="674"/>
      <c r="N46" s="669"/>
      <c r="O46" s="670"/>
      <c r="P46" s="674"/>
      <c r="Q46" s="674"/>
    </row>
    <row r="47">
      <c r="A47" s="674"/>
      <c r="B47" s="674"/>
      <c r="C47" s="674"/>
      <c r="D47" s="674"/>
      <c r="E47" s="674"/>
      <c r="F47" s="683"/>
      <c r="G47" s="674"/>
      <c r="H47" s="674"/>
      <c r="I47" s="674"/>
      <c r="J47" s="674"/>
      <c r="K47" s="674"/>
      <c r="L47" s="674"/>
      <c r="M47" s="674"/>
      <c r="N47" s="669"/>
      <c r="O47" s="670"/>
      <c r="P47" s="674"/>
      <c r="Q47" s="674"/>
    </row>
    <row r="48">
      <c r="A48" s="674"/>
      <c r="B48" s="674"/>
      <c r="C48" s="674"/>
      <c r="D48" s="674"/>
      <c r="E48" s="674"/>
      <c r="F48" s="683"/>
      <c r="G48" s="674"/>
      <c r="H48" s="674"/>
      <c r="I48" s="674"/>
      <c r="J48" s="674"/>
      <c r="K48" s="674"/>
      <c r="L48" s="674"/>
      <c r="M48" s="674"/>
      <c r="N48" s="669"/>
      <c r="O48" s="670"/>
      <c r="P48" s="674"/>
      <c r="Q48" s="674"/>
    </row>
    <row r="49">
      <c r="A49" s="674"/>
      <c r="B49" s="674"/>
      <c r="C49" s="674"/>
      <c r="D49" s="674"/>
      <c r="E49" s="674"/>
      <c r="F49" s="683"/>
      <c r="G49" s="674"/>
      <c r="H49" s="674"/>
      <c r="I49" s="674"/>
      <c r="J49" s="674"/>
      <c r="K49" s="674"/>
      <c r="L49" s="674"/>
      <c r="M49" s="674"/>
      <c r="N49" s="669"/>
      <c r="O49" s="670"/>
      <c r="P49" s="674"/>
      <c r="Q49" s="674"/>
    </row>
    <row r="50">
      <c r="A50" s="674"/>
      <c r="B50" s="674"/>
      <c r="C50" s="674"/>
      <c r="D50" s="674"/>
      <c r="E50" s="674"/>
      <c r="F50" s="683"/>
      <c r="G50" s="674"/>
      <c r="H50" s="674"/>
      <c r="I50" s="674"/>
      <c r="J50" s="674"/>
      <c r="K50" s="674"/>
      <c r="L50" s="674"/>
      <c r="M50" s="674"/>
      <c r="N50" s="669"/>
      <c r="O50" s="670"/>
      <c r="P50" s="674"/>
      <c r="Q50" s="674"/>
    </row>
    <row r="51">
      <c r="A51" s="674"/>
      <c r="B51" s="674"/>
      <c r="C51" s="674"/>
      <c r="D51" s="674"/>
      <c r="E51" s="674"/>
      <c r="F51" s="683"/>
      <c r="G51" s="674"/>
      <c r="H51" s="674"/>
      <c r="I51" s="674"/>
      <c r="J51" s="674"/>
      <c r="K51" s="674"/>
      <c r="L51" s="674"/>
      <c r="M51" s="674"/>
      <c r="N51" s="669"/>
      <c r="O51" s="670"/>
      <c r="P51" s="674"/>
      <c r="Q51" s="674"/>
    </row>
    <row r="52">
      <c r="A52" s="674"/>
      <c r="B52" s="674"/>
      <c r="C52" s="674"/>
      <c r="D52" s="674"/>
      <c r="E52" s="674"/>
      <c r="F52" s="683"/>
      <c r="G52" s="674"/>
      <c r="H52" s="674"/>
      <c r="I52" s="674"/>
      <c r="J52" s="674"/>
      <c r="K52" s="674"/>
      <c r="L52" s="674"/>
      <c r="M52" s="674"/>
      <c r="N52" s="669"/>
      <c r="O52" s="670"/>
      <c r="P52" s="674"/>
      <c r="Q52" s="674"/>
    </row>
    <row r="53">
      <c r="A53" s="674"/>
      <c r="B53" s="674"/>
      <c r="C53" s="674"/>
      <c r="D53" s="674"/>
      <c r="E53" s="674"/>
      <c r="F53" s="683"/>
      <c r="G53" s="674"/>
      <c r="H53" s="674"/>
      <c r="I53" s="674"/>
      <c r="J53" s="674"/>
      <c r="K53" s="674"/>
      <c r="L53" s="674"/>
      <c r="M53" s="674"/>
      <c r="N53" s="669"/>
      <c r="O53" s="670"/>
      <c r="P53" s="674"/>
      <c r="Q53" s="674"/>
    </row>
    <row r="54">
      <c r="A54" s="674"/>
      <c r="B54" s="674"/>
      <c r="C54" s="674"/>
      <c r="D54" s="674"/>
      <c r="E54" s="674"/>
      <c r="F54" s="683"/>
      <c r="G54" s="674"/>
      <c r="H54" s="674"/>
      <c r="I54" s="674"/>
      <c r="J54" s="674"/>
      <c r="K54" s="674"/>
      <c r="L54" s="674"/>
      <c r="M54" s="674"/>
      <c r="N54" s="669"/>
      <c r="O54" s="670"/>
      <c r="P54" s="674"/>
      <c r="Q54" s="674"/>
    </row>
    <row r="55">
      <c r="A55" s="674"/>
      <c r="B55" s="674"/>
      <c r="C55" s="674"/>
      <c r="D55" s="674"/>
      <c r="E55" s="674"/>
      <c r="F55" s="683"/>
      <c r="G55" s="674"/>
      <c r="H55" s="674"/>
      <c r="I55" s="674"/>
      <c r="J55" s="674"/>
      <c r="K55" s="674"/>
      <c r="L55" s="674"/>
      <c r="M55" s="674"/>
      <c r="N55" s="669"/>
      <c r="O55" s="670"/>
      <c r="P55" s="674"/>
      <c r="Q55" s="674"/>
    </row>
    <row r="56">
      <c r="A56" s="674"/>
      <c r="B56" s="674"/>
      <c r="C56" s="674"/>
      <c r="D56" s="674"/>
      <c r="E56" s="674"/>
      <c r="F56" s="683"/>
      <c r="G56" s="674"/>
      <c r="H56" s="674"/>
      <c r="I56" s="674"/>
      <c r="J56" s="674"/>
      <c r="K56" s="674"/>
      <c r="L56" s="674"/>
      <c r="M56" s="674"/>
      <c r="N56" s="669"/>
      <c r="O56" s="670"/>
      <c r="P56" s="674"/>
      <c r="Q56" s="674"/>
    </row>
    <row r="57">
      <c r="A57" s="674"/>
      <c r="B57" s="674"/>
      <c r="C57" s="674"/>
      <c r="D57" s="674"/>
      <c r="E57" s="674"/>
      <c r="F57" s="683"/>
      <c r="G57" s="674"/>
      <c r="H57" s="674"/>
      <c r="I57" s="674"/>
      <c r="J57" s="674"/>
      <c r="K57" s="674"/>
      <c r="L57" s="674"/>
      <c r="M57" s="674"/>
      <c r="N57" s="669"/>
      <c r="O57" s="670"/>
      <c r="P57" s="674"/>
      <c r="Q57" s="674"/>
    </row>
    <row r="58">
      <c r="A58" s="674"/>
      <c r="B58" s="674"/>
      <c r="C58" s="674"/>
      <c r="D58" s="674"/>
      <c r="E58" s="674"/>
      <c r="F58" s="683"/>
      <c r="G58" s="674"/>
      <c r="H58" s="674"/>
      <c r="I58" s="674"/>
      <c r="J58" s="674"/>
      <c r="K58" s="674"/>
      <c r="L58" s="674"/>
      <c r="M58" s="674"/>
      <c r="N58" s="669"/>
      <c r="O58" s="670"/>
      <c r="P58" s="674"/>
      <c r="Q58" s="674"/>
    </row>
    <row r="59">
      <c r="A59" s="674"/>
      <c r="B59" s="674"/>
      <c r="C59" s="674"/>
      <c r="D59" s="674"/>
      <c r="E59" s="674"/>
      <c r="F59" s="683"/>
      <c r="G59" s="674"/>
      <c r="H59" s="674"/>
      <c r="I59" s="674"/>
      <c r="J59" s="674"/>
      <c r="K59" s="674"/>
      <c r="L59" s="674"/>
      <c r="M59" s="674"/>
      <c r="N59" s="669"/>
      <c r="O59" s="670"/>
      <c r="P59" s="674"/>
      <c r="Q59" s="674"/>
    </row>
    <row r="60">
      <c r="A60" s="674"/>
      <c r="B60" s="674"/>
      <c r="C60" s="674"/>
      <c r="D60" s="674"/>
      <c r="E60" s="674"/>
      <c r="F60" s="683"/>
      <c r="G60" s="674"/>
      <c r="H60" s="674"/>
      <c r="I60" s="674"/>
      <c r="J60" s="674"/>
      <c r="K60" s="674"/>
      <c r="L60" s="674"/>
      <c r="M60" s="674"/>
      <c r="N60" s="669"/>
      <c r="O60" s="670"/>
      <c r="P60" s="674"/>
      <c r="Q60" s="674"/>
    </row>
    <row r="61">
      <c r="A61" s="674"/>
      <c r="B61" s="674"/>
      <c r="C61" s="674"/>
      <c r="D61" s="674"/>
      <c r="E61" s="674"/>
      <c r="F61" s="683"/>
      <c r="G61" s="674"/>
      <c r="H61" s="674"/>
      <c r="I61" s="674"/>
      <c r="J61" s="674"/>
      <c r="K61" s="674"/>
      <c r="L61" s="674"/>
      <c r="M61" s="674"/>
      <c r="N61" s="669"/>
      <c r="O61" s="670"/>
      <c r="P61" s="674"/>
      <c r="Q61" s="674"/>
    </row>
    <row r="62">
      <c r="A62" s="674"/>
      <c r="B62" s="674"/>
      <c r="C62" s="674"/>
      <c r="D62" s="674"/>
      <c r="E62" s="674"/>
      <c r="F62" s="683"/>
      <c r="G62" s="674"/>
      <c r="H62" s="674"/>
      <c r="I62" s="674"/>
      <c r="J62" s="674"/>
      <c r="K62" s="674"/>
      <c r="L62" s="674"/>
      <c r="M62" s="674"/>
      <c r="N62" s="669"/>
      <c r="O62" s="670"/>
      <c r="P62" s="674"/>
      <c r="Q62" s="674"/>
    </row>
    <row r="63">
      <c r="A63" s="674"/>
      <c r="B63" s="674"/>
      <c r="C63" s="674"/>
      <c r="D63" s="674"/>
      <c r="E63" s="674"/>
      <c r="F63" s="683"/>
      <c r="G63" s="674"/>
      <c r="H63" s="674"/>
      <c r="I63" s="674"/>
      <c r="J63" s="674"/>
      <c r="K63" s="674"/>
      <c r="L63" s="674"/>
      <c r="M63" s="674"/>
      <c r="N63" s="669"/>
      <c r="O63" s="670"/>
      <c r="P63" s="674"/>
      <c r="Q63" s="674"/>
    </row>
    <row r="64">
      <c r="A64" s="674"/>
      <c r="B64" s="674"/>
      <c r="C64" s="674"/>
      <c r="D64" s="674"/>
      <c r="E64" s="674"/>
      <c r="F64" s="683"/>
      <c r="G64" s="674"/>
      <c r="H64" s="674"/>
      <c r="I64" s="674"/>
      <c r="J64" s="674"/>
      <c r="K64" s="674"/>
      <c r="L64" s="674"/>
      <c r="M64" s="674"/>
      <c r="N64" s="669"/>
      <c r="O64" s="670"/>
      <c r="P64" s="674"/>
      <c r="Q64" s="674"/>
    </row>
    <row r="65">
      <c r="A65" s="674"/>
      <c r="B65" s="674"/>
      <c r="C65" s="674"/>
      <c r="D65" s="674"/>
      <c r="E65" s="674"/>
      <c r="F65" s="683"/>
      <c r="G65" s="674"/>
      <c r="H65" s="674"/>
      <c r="I65" s="674"/>
      <c r="J65" s="674"/>
      <c r="K65" s="674"/>
      <c r="L65" s="674"/>
      <c r="M65" s="674"/>
      <c r="N65" s="669"/>
      <c r="O65" s="670"/>
      <c r="P65" s="674"/>
      <c r="Q65" s="674"/>
    </row>
    <row r="66">
      <c r="A66" s="674"/>
      <c r="B66" s="674"/>
      <c r="C66" s="674"/>
      <c r="D66" s="674"/>
      <c r="E66" s="674"/>
      <c r="F66" s="683"/>
      <c r="G66" s="674"/>
      <c r="H66" s="674"/>
      <c r="I66" s="674"/>
      <c r="J66" s="674"/>
      <c r="K66" s="674"/>
      <c r="L66" s="674"/>
      <c r="M66" s="674"/>
      <c r="N66" s="669"/>
      <c r="O66" s="670"/>
      <c r="P66" s="674"/>
      <c r="Q66" s="674"/>
    </row>
    <row r="67">
      <c r="A67" s="674"/>
      <c r="B67" s="674"/>
      <c r="C67" s="674"/>
      <c r="D67" s="674"/>
      <c r="E67" s="674"/>
      <c r="F67" s="683"/>
      <c r="G67" s="674"/>
      <c r="H67" s="674"/>
      <c r="I67" s="674"/>
      <c r="J67" s="674"/>
      <c r="K67" s="674"/>
      <c r="L67" s="674"/>
      <c r="M67" s="674"/>
      <c r="N67" s="669"/>
      <c r="O67" s="670"/>
      <c r="P67" s="674"/>
      <c r="Q67" s="674"/>
    </row>
    <row r="68">
      <c r="A68" s="674"/>
      <c r="B68" s="674"/>
      <c r="C68" s="674"/>
      <c r="D68" s="674"/>
      <c r="E68" s="674"/>
      <c r="F68" s="683"/>
      <c r="G68" s="674"/>
      <c r="H68" s="674"/>
      <c r="I68" s="674"/>
      <c r="J68" s="674"/>
      <c r="K68" s="674"/>
      <c r="L68" s="674"/>
      <c r="M68" s="674"/>
      <c r="N68" s="669"/>
      <c r="O68" s="670"/>
      <c r="P68" s="674"/>
      <c r="Q68" s="674"/>
    </row>
    <row r="69">
      <c r="A69" s="674"/>
      <c r="B69" s="674"/>
      <c r="C69" s="674"/>
      <c r="D69" s="674"/>
      <c r="E69" s="674"/>
      <c r="F69" s="683"/>
      <c r="G69" s="674"/>
      <c r="H69" s="674"/>
      <c r="I69" s="674"/>
      <c r="J69" s="674"/>
      <c r="K69" s="674"/>
      <c r="L69" s="674"/>
      <c r="M69" s="674"/>
      <c r="N69" s="669"/>
      <c r="O69" s="670"/>
      <c r="P69" s="674"/>
      <c r="Q69" s="674"/>
    </row>
    <row r="70">
      <c r="A70" s="674"/>
      <c r="B70" s="674"/>
      <c r="C70" s="674"/>
      <c r="D70" s="674"/>
      <c r="E70" s="674"/>
      <c r="F70" s="683"/>
      <c r="G70" s="674"/>
      <c r="H70" s="674"/>
      <c r="I70" s="674"/>
      <c r="J70" s="674"/>
      <c r="K70" s="674"/>
      <c r="L70" s="674"/>
      <c r="M70" s="674"/>
      <c r="N70" s="669"/>
      <c r="O70" s="670"/>
      <c r="P70" s="674"/>
      <c r="Q70" s="674"/>
    </row>
    <row r="71">
      <c r="A71" s="674"/>
      <c r="B71" s="674"/>
      <c r="C71" s="674"/>
      <c r="D71" s="674"/>
      <c r="E71" s="674"/>
      <c r="F71" s="683"/>
      <c r="G71" s="674"/>
      <c r="H71" s="674"/>
      <c r="I71" s="674"/>
      <c r="J71" s="674"/>
      <c r="K71" s="674"/>
      <c r="L71" s="674"/>
      <c r="M71" s="674"/>
      <c r="N71" s="669"/>
      <c r="O71" s="670"/>
      <c r="P71" s="674"/>
      <c r="Q71" s="674"/>
    </row>
    <row r="72">
      <c r="A72" s="674"/>
      <c r="B72" s="674"/>
      <c r="C72" s="674"/>
      <c r="D72" s="674"/>
      <c r="E72" s="674"/>
      <c r="F72" s="683"/>
      <c r="G72" s="674"/>
      <c r="H72" s="674"/>
      <c r="I72" s="674"/>
      <c r="J72" s="674"/>
      <c r="K72" s="674"/>
      <c r="L72" s="674"/>
      <c r="M72" s="674"/>
      <c r="N72" s="669"/>
      <c r="O72" s="670"/>
      <c r="P72" s="674"/>
      <c r="Q72" s="674"/>
    </row>
    <row r="73">
      <c r="A73" s="674"/>
      <c r="B73" s="674"/>
      <c r="C73" s="674"/>
      <c r="D73" s="674"/>
      <c r="E73" s="674"/>
      <c r="F73" s="683"/>
      <c r="G73" s="674"/>
      <c r="H73" s="674"/>
      <c r="I73" s="674"/>
      <c r="J73" s="674"/>
      <c r="K73" s="674"/>
      <c r="L73" s="674"/>
      <c r="M73" s="674"/>
      <c r="N73" s="669"/>
      <c r="O73" s="670"/>
      <c r="P73" s="674"/>
      <c r="Q73" s="674"/>
    </row>
    <row r="74">
      <c r="A74" s="674"/>
      <c r="B74" s="674"/>
      <c r="C74" s="674"/>
      <c r="D74" s="674"/>
      <c r="E74" s="674"/>
      <c r="F74" s="683"/>
      <c r="G74" s="674"/>
      <c r="H74" s="674"/>
      <c r="I74" s="674"/>
      <c r="J74" s="674"/>
      <c r="K74" s="674"/>
      <c r="L74" s="674"/>
      <c r="M74" s="674"/>
      <c r="N74" s="669"/>
      <c r="O74" s="670"/>
      <c r="P74" s="674"/>
      <c r="Q74" s="674"/>
    </row>
    <row r="75">
      <c r="A75" s="674"/>
      <c r="B75" s="674"/>
      <c r="C75" s="674"/>
      <c r="D75" s="674"/>
      <c r="E75" s="674"/>
      <c r="F75" s="683"/>
      <c r="G75" s="674"/>
      <c r="H75" s="674"/>
      <c r="I75" s="674"/>
      <c r="J75" s="674"/>
      <c r="K75" s="674"/>
      <c r="L75" s="674"/>
      <c r="M75" s="674"/>
      <c r="N75" s="669"/>
      <c r="O75" s="670"/>
      <c r="P75" s="674"/>
      <c r="Q75" s="674"/>
    </row>
    <row r="76">
      <c r="A76" s="674"/>
      <c r="B76" s="674"/>
      <c r="C76" s="674"/>
      <c r="D76" s="674"/>
      <c r="E76" s="674"/>
      <c r="F76" s="683"/>
      <c r="G76" s="674"/>
      <c r="H76" s="674"/>
      <c r="I76" s="674"/>
      <c r="J76" s="674"/>
      <c r="K76" s="674"/>
      <c r="L76" s="674"/>
      <c r="M76" s="674"/>
      <c r="N76" s="669"/>
      <c r="O76" s="670"/>
      <c r="P76" s="674"/>
      <c r="Q76" s="674"/>
    </row>
    <row r="77">
      <c r="A77" s="674"/>
      <c r="B77" s="674"/>
      <c r="C77" s="674"/>
      <c r="D77" s="674"/>
      <c r="E77" s="674"/>
      <c r="F77" s="683"/>
      <c r="G77" s="674"/>
      <c r="H77" s="674"/>
      <c r="I77" s="674"/>
      <c r="J77" s="674"/>
      <c r="K77" s="674"/>
      <c r="L77" s="674"/>
      <c r="M77" s="674"/>
      <c r="N77" s="669"/>
      <c r="O77" s="670"/>
      <c r="P77" s="674"/>
      <c r="Q77" s="674"/>
    </row>
    <row r="78">
      <c r="A78" s="674"/>
      <c r="B78" s="674"/>
      <c r="C78" s="674"/>
      <c r="D78" s="674"/>
      <c r="E78" s="674"/>
      <c r="F78" s="683"/>
      <c r="G78" s="674"/>
      <c r="H78" s="674"/>
      <c r="I78" s="674"/>
      <c r="J78" s="674"/>
      <c r="K78" s="674"/>
      <c r="L78" s="674"/>
      <c r="M78" s="674"/>
      <c r="N78" s="669"/>
      <c r="O78" s="670"/>
      <c r="P78" s="674"/>
      <c r="Q78" s="674"/>
    </row>
    <row r="79">
      <c r="A79" s="674"/>
      <c r="B79" s="674"/>
      <c r="C79" s="674"/>
      <c r="D79" s="674"/>
      <c r="E79" s="674"/>
      <c r="F79" s="683"/>
      <c r="G79" s="674"/>
      <c r="H79" s="674"/>
      <c r="I79" s="674"/>
      <c r="J79" s="674"/>
      <c r="K79" s="674"/>
      <c r="L79" s="674"/>
      <c r="M79" s="674"/>
      <c r="N79" s="669"/>
      <c r="O79" s="670"/>
      <c r="P79" s="674"/>
      <c r="Q79" s="674"/>
    </row>
    <row r="80">
      <c r="A80" s="674"/>
      <c r="B80" s="674"/>
      <c r="C80" s="674"/>
      <c r="D80" s="674"/>
      <c r="E80" s="674"/>
      <c r="F80" s="683"/>
      <c r="G80" s="674"/>
      <c r="H80" s="674"/>
      <c r="I80" s="674"/>
      <c r="J80" s="674"/>
      <c r="K80" s="674"/>
      <c r="L80" s="674"/>
      <c r="M80" s="674"/>
      <c r="N80" s="669"/>
      <c r="O80" s="670"/>
      <c r="P80" s="674"/>
      <c r="Q80" s="674"/>
    </row>
    <row r="81">
      <c r="A81" s="674"/>
      <c r="B81" s="674"/>
      <c r="C81" s="674"/>
      <c r="D81" s="674"/>
      <c r="E81" s="674"/>
      <c r="F81" s="683"/>
      <c r="G81" s="674"/>
      <c r="H81" s="674"/>
      <c r="I81" s="674"/>
      <c r="J81" s="674"/>
      <c r="K81" s="674"/>
      <c r="L81" s="674"/>
      <c r="M81" s="674"/>
      <c r="N81" s="669"/>
      <c r="O81" s="670"/>
      <c r="P81" s="674"/>
      <c r="Q81" s="674"/>
    </row>
    <row r="82">
      <c r="A82" s="674"/>
      <c r="B82" s="674"/>
      <c r="C82" s="674"/>
      <c r="D82" s="674"/>
      <c r="E82" s="674"/>
      <c r="F82" s="683"/>
      <c r="G82" s="674"/>
      <c r="H82" s="674"/>
      <c r="I82" s="674"/>
      <c r="J82" s="674"/>
      <c r="K82" s="674"/>
      <c r="L82" s="674"/>
      <c r="M82" s="674"/>
      <c r="N82" s="669"/>
      <c r="O82" s="670"/>
      <c r="P82" s="674"/>
      <c r="Q82" s="674"/>
    </row>
    <row r="83">
      <c r="A83" s="674"/>
      <c r="B83" s="674"/>
      <c r="C83" s="674"/>
      <c r="D83" s="674"/>
      <c r="E83" s="674"/>
      <c r="F83" s="683"/>
      <c r="G83" s="674"/>
      <c r="H83" s="674"/>
      <c r="I83" s="674"/>
      <c r="J83" s="674"/>
      <c r="K83" s="674"/>
      <c r="L83" s="674"/>
      <c r="M83" s="674"/>
      <c r="N83" s="669"/>
      <c r="O83" s="670"/>
      <c r="P83" s="674"/>
      <c r="Q83" s="674"/>
    </row>
    <row r="84">
      <c r="A84" s="674"/>
      <c r="B84" s="674"/>
      <c r="C84" s="674"/>
      <c r="D84" s="674"/>
      <c r="E84" s="674"/>
      <c r="F84" s="683"/>
      <c r="G84" s="674"/>
      <c r="H84" s="674"/>
      <c r="I84" s="674"/>
      <c r="J84" s="674"/>
      <c r="K84" s="674"/>
      <c r="L84" s="674"/>
      <c r="M84" s="674"/>
      <c r="N84" s="669"/>
      <c r="O84" s="670"/>
      <c r="P84" s="674"/>
      <c r="Q84" s="674"/>
    </row>
    <row r="85">
      <c r="A85" s="674"/>
      <c r="B85" s="674"/>
      <c r="C85" s="674"/>
      <c r="D85" s="674"/>
      <c r="E85" s="674"/>
      <c r="F85" s="683"/>
      <c r="G85" s="674"/>
      <c r="H85" s="674"/>
      <c r="I85" s="674"/>
      <c r="J85" s="674"/>
      <c r="K85" s="674"/>
      <c r="L85" s="674"/>
      <c r="M85" s="674"/>
      <c r="N85" s="669"/>
      <c r="O85" s="670"/>
      <c r="P85" s="674"/>
      <c r="Q85" s="674"/>
    </row>
    <row r="86">
      <c r="A86" s="674"/>
      <c r="B86" s="674"/>
      <c r="C86" s="674"/>
      <c r="D86" s="674"/>
      <c r="E86" s="674"/>
      <c r="F86" s="683"/>
      <c r="G86" s="674"/>
      <c r="H86" s="674"/>
      <c r="I86" s="674"/>
      <c r="J86" s="674"/>
      <c r="K86" s="674"/>
      <c r="L86" s="674"/>
      <c r="M86" s="674"/>
      <c r="N86" s="669"/>
      <c r="O86" s="670"/>
      <c r="P86" s="674"/>
      <c r="Q86" s="674"/>
    </row>
    <row r="87">
      <c r="A87" s="674"/>
      <c r="B87" s="674"/>
      <c r="C87" s="674"/>
      <c r="D87" s="674"/>
      <c r="E87" s="674"/>
      <c r="F87" s="683"/>
      <c r="G87" s="674"/>
      <c r="H87" s="674"/>
      <c r="I87" s="674"/>
      <c r="J87" s="674"/>
      <c r="K87" s="674"/>
      <c r="L87" s="674"/>
      <c r="M87" s="674"/>
      <c r="N87" s="669"/>
      <c r="O87" s="670"/>
      <c r="P87" s="674"/>
      <c r="Q87" s="674"/>
    </row>
    <row r="88">
      <c r="A88" s="674"/>
      <c r="B88" s="674"/>
      <c r="C88" s="674"/>
      <c r="D88" s="674"/>
      <c r="E88" s="674"/>
      <c r="F88" s="683"/>
      <c r="G88" s="674"/>
      <c r="H88" s="674"/>
      <c r="I88" s="674"/>
      <c r="J88" s="674"/>
      <c r="K88" s="674"/>
      <c r="L88" s="674"/>
      <c r="M88" s="674"/>
      <c r="N88" s="669"/>
      <c r="O88" s="670"/>
      <c r="P88" s="674"/>
      <c r="Q88" s="674"/>
    </row>
    <row r="89">
      <c r="A89" s="674"/>
      <c r="B89" s="674"/>
      <c r="C89" s="674"/>
      <c r="D89" s="674"/>
      <c r="E89" s="674"/>
      <c r="F89" s="683"/>
      <c r="G89" s="674"/>
      <c r="H89" s="674"/>
      <c r="I89" s="674"/>
      <c r="J89" s="674"/>
      <c r="K89" s="674"/>
      <c r="L89" s="674"/>
      <c r="M89" s="674"/>
      <c r="N89" s="669"/>
      <c r="O89" s="670"/>
      <c r="P89" s="674"/>
      <c r="Q89" s="674"/>
    </row>
    <row r="90">
      <c r="A90" s="674"/>
      <c r="B90" s="674"/>
      <c r="C90" s="674"/>
      <c r="D90" s="674"/>
      <c r="E90" s="674"/>
      <c r="F90" s="683"/>
      <c r="G90" s="674"/>
      <c r="H90" s="674"/>
      <c r="I90" s="674"/>
      <c r="J90" s="674"/>
      <c r="K90" s="674"/>
      <c r="L90" s="674"/>
      <c r="M90" s="674"/>
      <c r="N90" s="669"/>
      <c r="O90" s="670"/>
      <c r="P90" s="674"/>
      <c r="Q90" s="674"/>
    </row>
    <row r="91">
      <c r="A91" s="674"/>
      <c r="B91" s="674"/>
      <c r="C91" s="674"/>
      <c r="D91" s="674"/>
      <c r="E91" s="674"/>
      <c r="F91" s="683"/>
      <c r="G91" s="674"/>
      <c r="H91" s="674"/>
      <c r="I91" s="674"/>
      <c r="J91" s="674"/>
      <c r="K91" s="674"/>
      <c r="L91" s="674"/>
      <c r="M91" s="674"/>
      <c r="N91" s="669"/>
      <c r="O91" s="670"/>
      <c r="P91" s="674"/>
      <c r="Q91" s="674"/>
    </row>
    <row r="92">
      <c r="A92" s="674"/>
      <c r="B92" s="674"/>
      <c r="C92" s="674"/>
      <c r="D92" s="674"/>
      <c r="E92" s="674"/>
      <c r="F92" s="683"/>
      <c r="G92" s="674"/>
      <c r="H92" s="674"/>
      <c r="I92" s="674"/>
      <c r="J92" s="674"/>
      <c r="K92" s="674"/>
      <c r="L92" s="674"/>
      <c r="M92" s="674"/>
      <c r="N92" s="669"/>
      <c r="O92" s="670"/>
      <c r="P92" s="674"/>
      <c r="Q92" s="674"/>
    </row>
    <row r="93">
      <c r="A93" s="674"/>
      <c r="B93" s="674"/>
      <c r="C93" s="674"/>
      <c r="D93" s="674"/>
      <c r="E93" s="674"/>
      <c r="F93" s="683"/>
      <c r="G93" s="674"/>
      <c r="H93" s="674"/>
      <c r="I93" s="674"/>
      <c r="J93" s="674"/>
      <c r="K93" s="674"/>
      <c r="L93" s="674"/>
      <c r="M93" s="674"/>
      <c r="N93" s="669"/>
      <c r="O93" s="670"/>
      <c r="P93" s="674"/>
      <c r="Q93" s="674"/>
    </row>
    <row r="94">
      <c r="A94" s="674"/>
      <c r="B94" s="674"/>
      <c r="C94" s="674"/>
      <c r="D94" s="674"/>
      <c r="E94" s="674"/>
      <c r="F94" s="683"/>
      <c r="G94" s="674"/>
      <c r="H94" s="674"/>
      <c r="I94" s="674"/>
      <c r="J94" s="674"/>
      <c r="K94" s="674"/>
      <c r="L94" s="674"/>
      <c r="M94" s="674"/>
      <c r="N94" s="669"/>
      <c r="O94" s="670"/>
      <c r="P94" s="674"/>
      <c r="Q94" s="674"/>
    </row>
    <row r="95">
      <c r="A95" s="674"/>
      <c r="B95" s="674"/>
      <c r="C95" s="674"/>
      <c r="D95" s="674"/>
      <c r="E95" s="674"/>
      <c r="F95" s="683"/>
      <c r="G95" s="674"/>
      <c r="H95" s="674"/>
      <c r="I95" s="674"/>
      <c r="J95" s="674"/>
      <c r="K95" s="674"/>
      <c r="L95" s="674"/>
      <c r="M95" s="674"/>
      <c r="N95" s="669"/>
      <c r="O95" s="670"/>
      <c r="P95" s="674"/>
      <c r="Q95" s="674"/>
    </row>
    <row r="96">
      <c r="A96" s="674"/>
      <c r="B96" s="674"/>
      <c r="C96" s="674"/>
      <c r="D96" s="674"/>
      <c r="E96" s="674"/>
      <c r="F96" s="683"/>
      <c r="G96" s="674"/>
      <c r="H96" s="674"/>
      <c r="I96" s="674"/>
      <c r="J96" s="674"/>
      <c r="K96" s="674"/>
      <c r="L96" s="674"/>
      <c r="M96" s="674"/>
      <c r="N96" s="669"/>
      <c r="O96" s="670"/>
      <c r="P96" s="674"/>
      <c r="Q96" s="674"/>
    </row>
    <row r="97">
      <c r="A97" s="674"/>
      <c r="B97" s="674"/>
      <c r="C97" s="674"/>
      <c r="D97" s="674"/>
      <c r="E97" s="674"/>
      <c r="F97" s="683"/>
      <c r="G97" s="674"/>
      <c r="H97" s="674"/>
      <c r="I97" s="674"/>
      <c r="J97" s="674"/>
      <c r="K97" s="674"/>
      <c r="L97" s="674"/>
      <c r="M97" s="674"/>
      <c r="N97" s="669"/>
      <c r="O97" s="670"/>
      <c r="P97" s="674"/>
      <c r="Q97" s="674"/>
    </row>
    <row r="98">
      <c r="A98" s="674"/>
      <c r="B98" s="674"/>
      <c r="C98" s="674"/>
      <c r="D98" s="674"/>
      <c r="E98" s="674"/>
      <c r="F98" s="683"/>
      <c r="G98" s="674"/>
      <c r="H98" s="674"/>
      <c r="I98" s="674"/>
      <c r="J98" s="674"/>
      <c r="K98" s="674"/>
      <c r="L98" s="674"/>
      <c r="M98" s="674"/>
      <c r="N98" s="669"/>
      <c r="O98" s="670"/>
      <c r="P98" s="674"/>
      <c r="Q98" s="674"/>
    </row>
    <row r="99">
      <c r="A99" s="674"/>
      <c r="B99" s="674"/>
      <c r="C99" s="674"/>
      <c r="D99" s="674"/>
      <c r="E99" s="674"/>
      <c r="F99" s="683"/>
      <c r="G99" s="674"/>
      <c r="H99" s="674"/>
      <c r="I99" s="674"/>
      <c r="J99" s="674"/>
      <c r="K99" s="674"/>
      <c r="L99" s="674"/>
      <c r="M99" s="674"/>
      <c r="N99" s="669"/>
      <c r="O99" s="670"/>
      <c r="P99" s="674"/>
      <c r="Q99" s="674"/>
    </row>
    <row r="100">
      <c r="A100" s="674"/>
      <c r="B100" s="674"/>
      <c r="C100" s="674"/>
      <c r="D100" s="674"/>
      <c r="E100" s="674"/>
      <c r="F100" s="683"/>
      <c r="G100" s="674"/>
      <c r="H100" s="674"/>
      <c r="I100" s="674"/>
      <c r="J100" s="674"/>
      <c r="K100" s="674"/>
      <c r="L100" s="674"/>
      <c r="M100" s="674"/>
      <c r="N100" s="669"/>
      <c r="O100" s="670"/>
      <c r="P100" s="674"/>
      <c r="Q100" s="674"/>
    </row>
    <row r="101">
      <c r="A101" s="674"/>
      <c r="B101" s="674"/>
      <c r="C101" s="674"/>
      <c r="D101" s="674"/>
      <c r="E101" s="674"/>
      <c r="F101" s="683"/>
      <c r="G101" s="674"/>
      <c r="H101" s="674"/>
      <c r="I101" s="674"/>
      <c r="J101" s="674"/>
      <c r="K101" s="674"/>
      <c r="L101" s="674"/>
      <c r="M101" s="674"/>
      <c r="N101" s="669"/>
      <c r="O101" s="670"/>
      <c r="P101" s="674"/>
      <c r="Q101" s="674"/>
    </row>
    <row r="102">
      <c r="A102" s="674"/>
      <c r="B102" s="674"/>
      <c r="C102" s="674"/>
      <c r="D102" s="674"/>
      <c r="E102" s="674"/>
      <c r="F102" s="683"/>
      <c r="G102" s="674"/>
      <c r="H102" s="674"/>
      <c r="I102" s="674"/>
      <c r="J102" s="674"/>
      <c r="K102" s="674"/>
      <c r="L102" s="674"/>
      <c r="M102" s="674"/>
      <c r="N102" s="669"/>
      <c r="O102" s="670"/>
      <c r="P102" s="674"/>
      <c r="Q102" s="674"/>
    </row>
    <row r="103">
      <c r="A103" s="674"/>
      <c r="B103" s="674"/>
      <c r="C103" s="674"/>
      <c r="D103" s="674"/>
      <c r="E103" s="674"/>
      <c r="F103" s="683"/>
      <c r="G103" s="674"/>
      <c r="H103" s="674"/>
      <c r="I103" s="674"/>
      <c r="J103" s="674"/>
      <c r="K103" s="674"/>
      <c r="L103" s="674"/>
      <c r="M103" s="674"/>
      <c r="N103" s="669"/>
      <c r="O103" s="670"/>
      <c r="P103" s="674"/>
      <c r="Q103" s="674"/>
    </row>
    <row r="104">
      <c r="A104" s="674"/>
      <c r="B104" s="674"/>
      <c r="C104" s="674"/>
      <c r="D104" s="674"/>
      <c r="E104" s="674"/>
      <c r="F104" s="683"/>
      <c r="G104" s="674"/>
      <c r="H104" s="674"/>
      <c r="I104" s="674"/>
      <c r="J104" s="674"/>
      <c r="K104" s="674"/>
      <c r="L104" s="674"/>
      <c r="M104" s="674"/>
      <c r="N104" s="669"/>
      <c r="O104" s="670"/>
      <c r="P104" s="674"/>
      <c r="Q104" s="674"/>
    </row>
    <row r="105">
      <c r="A105" s="674"/>
      <c r="B105" s="674"/>
      <c r="C105" s="674"/>
      <c r="D105" s="674"/>
      <c r="E105" s="674"/>
      <c r="F105" s="683"/>
      <c r="G105" s="674"/>
      <c r="H105" s="674"/>
      <c r="I105" s="674"/>
      <c r="J105" s="674"/>
      <c r="K105" s="674"/>
      <c r="L105" s="674"/>
      <c r="M105" s="674"/>
      <c r="N105" s="669"/>
      <c r="O105" s="670"/>
      <c r="P105" s="674"/>
      <c r="Q105" s="674"/>
    </row>
    <row r="106">
      <c r="A106" s="674"/>
      <c r="B106" s="674"/>
      <c r="C106" s="674"/>
      <c r="D106" s="674"/>
      <c r="E106" s="674"/>
      <c r="F106" s="683"/>
      <c r="G106" s="674"/>
      <c r="H106" s="674"/>
      <c r="I106" s="674"/>
      <c r="J106" s="674"/>
      <c r="K106" s="674"/>
      <c r="L106" s="674"/>
      <c r="M106" s="674"/>
      <c r="N106" s="669"/>
      <c r="O106" s="670"/>
      <c r="P106" s="674"/>
      <c r="Q106" s="674"/>
    </row>
    <row r="107">
      <c r="A107" s="674"/>
      <c r="B107" s="674"/>
      <c r="C107" s="674"/>
      <c r="D107" s="674"/>
      <c r="E107" s="674"/>
      <c r="F107" s="683"/>
      <c r="G107" s="674"/>
      <c r="H107" s="674"/>
      <c r="I107" s="674"/>
      <c r="J107" s="674"/>
      <c r="K107" s="674"/>
      <c r="L107" s="674"/>
      <c r="M107" s="674"/>
      <c r="N107" s="669"/>
      <c r="O107" s="670"/>
      <c r="P107" s="674"/>
      <c r="Q107" s="674"/>
    </row>
    <row r="108">
      <c r="A108" s="674"/>
      <c r="B108" s="674"/>
      <c r="C108" s="674"/>
      <c r="D108" s="674"/>
      <c r="E108" s="674"/>
      <c r="F108" s="683"/>
      <c r="G108" s="674"/>
      <c r="H108" s="674"/>
      <c r="I108" s="674"/>
      <c r="J108" s="674"/>
      <c r="K108" s="674"/>
      <c r="L108" s="674"/>
      <c r="M108" s="674"/>
      <c r="N108" s="669"/>
      <c r="O108" s="670"/>
      <c r="P108" s="674"/>
      <c r="Q108" s="674"/>
    </row>
    <row r="109">
      <c r="A109" s="674"/>
      <c r="B109" s="674"/>
      <c r="C109" s="674"/>
      <c r="D109" s="674"/>
      <c r="E109" s="674"/>
      <c r="F109" s="683"/>
      <c r="G109" s="674"/>
      <c r="H109" s="674"/>
      <c r="I109" s="674"/>
      <c r="J109" s="674"/>
      <c r="K109" s="674"/>
      <c r="L109" s="674"/>
      <c r="M109" s="674"/>
      <c r="N109" s="669"/>
      <c r="O109" s="670"/>
      <c r="P109" s="674"/>
      <c r="Q109" s="674"/>
    </row>
    <row r="110">
      <c r="A110" s="674"/>
      <c r="B110" s="674"/>
      <c r="C110" s="674"/>
      <c r="D110" s="674"/>
      <c r="E110" s="674"/>
      <c r="F110" s="683"/>
      <c r="G110" s="674"/>
      <c r="H110" s="674"/>
      <c r="I110" s="674"/>
      <c r="J110" s="674"/>
      <c r="K110" s="674"/>
      <c r="L110" s="674"/>
      <c r="M110" s="674"/>
      <c r="N110" s="669"/>
      <c r="O110" s="670"/>
      <c r="P110" s="674"/>
      <c r="Q110" s="674"/>
    </row>
    <row r="111">
      <c r="A111" s="674"/>
      <c r="B111" s="674"/>
      <c r="C111" s="674"/>
      <c r="D111" s="674"/>
      <c r="E111" s="674"/>
      <c r="F111" s="683"/>
      <c r="G111" s="674"/>
      <c r="H111" s="674"/>
      <c r="I111" s="674"/>
      <c r="J111" s="674"/>
      <c r="K111" s="674"/>
      <c r="L111" s="674"/>
      <c r="M111" s="674"/>
      <c r="N111" s="669"/>
      <c r="O111" s="670"/>
      <c r="P111" s="674"/>
      <c r="Q111" s="674"/>
    </row>
    <row r="112">
      <c r="A112" s="674"/>
      <c r="B112" s="674"/>
      <c r="C112" s="674"/>
      <c r="D112" s="674"/>
      <c r="E112" s="674"/>
      <c r="F112" s="683"/>
      <c r="G112" s="674"/>
      <c r="H112" s="674"/>
      <c r="I112" s="674"/>
      <c r="J112" s="674"/>
      <c r="K112" s="674"/>
      <c r="L112" s="674"/>
      <c r="M112" s="674"/>
      <c r="N112" s="669"/>
      <c r="O112" s="670"/>
      <c r="P112" s="674"/>
      <c r="Q112" s="674"/>
    </row>
    <row r="113">
      <c r="A113" s="674"/>
      <c r="B113" s="674"/>
      <c r="C113" s="674"/>
      <c r="D113" s="674"/>
      <c r="E113" s="674"/>
      <c r="F113" s="683"/>
      <c r="G113" s="674"/>
      <c r="H113" s="674"/>
      <c r="I113" s="674"/>
      <c r="J113" s="674"/>
      <c r="K113" s="674"/>
      <c r="L113" s="674"/>
      <c r="M113" s="674"/>
      <c r="N113" s="669"/>
      <c r="O113" s="670"/>
      <c r="P113" s="674"/>
      <c r="Q113" s="674"/>
    </row>
    <row r="114">
      <c r="A114" s="674"/>
      <c r="B114" s="674"/>
      <c r="C114" s="674"/>
      <c r="D114" s="674"/>
      <c r="E114" s="674"/>
      <c r="F114" s="683"/>
      <c r="G114" s="674"/>
      <c r="H114" s="674"/>
      <c r="I114" s="674"/>
      <c r="J114" s="674"/>
      <c r="K114" s="674"/>
      <c r="L114" s="674"/>
      <c r="M114" s="674"/>
      <c r="N114" s="669"/>
      <c r="O114" s="670"/>
      <c r="P114" s="674"/>
      <c r="Q114" s="674"/>
    </row>
    <row r="115">
      <c r="A115" s="674"/>
      <c r="B115" s="674"/>
      <c r="C115" s="674"/>
      <c r="D115" s="674"/>
      <c r="E115" s="674"/>
      <c r="F115" s="683"/>
      <c r="G115" s="674"/>
      <c r="H115" s="674"/>
      <c r="I115" s="674"/>
      <c r="J115" s="674"/>
      <c r="K115" s="674"/>
      <c r="L115" s="674"/>
      <c r="M115" s="674"/>
      <c r="N115" s="669"/>
      <c r="O115" s="670"/>
      <c r="P115" s="674"/>
      <c r="Q115" s="674"/>
    </row>
    <row r="116">
      <c r="A116" s="674"/>
      <c r="B116" s="674"/>
      <c r="C116" s="674"/>
      <c r="D116" s="674"/>
      <c r="E116" s="674"/>
      <c r="F116" s="683"/>
      <c r="G116" s="674"/>
      <c r="H116" s="674"/>
      <c r="I116" s="674"/>
      <c r="J116" s="674"/>
      <c r="K116" s="674"/>
      <c r="L116" s="674"/>
      <c r="M116" s="674"/>
      <c r="N116" s="669"/>
      <c r="O116" s="670"/>
      <c r="P116" s="674"/>
      <c r="Q116" s="674"/>
    </row>
    <row r="117">
      <c r="A117" s="674"/>
      <c r="B117" s="674"/>
      <c r="C117" s="674"/>
      <c r="D117" s="674"/>
      <c r="E117" s="674"/>
      <c r="F117" s="683"/>
      <c r="G117" s="674"/>
      <c r="H117" s="674"/>
      <c r="I117" s="674"/>
      <c r="J117" s="674"/>
      <c r="K117" s="674"/>
      <c r="L117" s="674"/>
      <c r="M117" s="674"/>
      <c r="N117" s="669"/>
      <c r="O117" s="670"/>
      <c r="P117" s="674"/>
      <c r="Q117" s="674"/>
    </row>
    <row r="118">
      <c r="A118" s="674"/>
      <c r="B118" s="674"/>
      <c r="C118" s="674"/>
      <c r="D118" s="674"/>
      <c r="E118" s="674"/>
      <c r="F118" s="683"/>
      <c r="G118" s="674"/>
      <c r="H118" s="674"/>
      <c r="I118" s="674"/>
      <c r="J118" s="674"/>
      <c r="K118" s="674"/>
      <c r="L118" s="674"/>
      <c r="M118" s="674"/>
      <c r="N118" s="669"/>
      <c r="O118" s="670"/>
      <c r="P118" s="674"/>
      <c r="Q118" s="674"/>
    </row>
    <row r="119">
      <c r="A119" s="674"/>
      <c r="B119" s="674"/>
      <c r="C119" s="674"/>
      <c r="D119" s="674"/>
      <c r="E119" s="674"/>
      <c r="F119" s="683"/>
      <c r="G119" s="674"/>
      <c r="H119" s="674"/>
      <c r="I119" s="674"/>
      <c r="J119" s="674"/>
      <c r="K119" s="674"/>
      <c r="L119" s="674"/>
      <c r="M119" s="674"/>
      <c r="N119" s="669"/>
      <c r="O119" s="670"/>
      <c r="P119" s="674"/>
      <c r="Q119" s="674"/>
    </row>
    <row r="120">
      <c r="A120" s="674"/>
      <c r="B120" s="674"/>
      <c r="C120" s="674"/>
      <c r="D120" s="674"/>
      <c r="E120" s="674"/>
      <c r="F120" s="683"/>
      <c r="G120" s="674"/>
      <c r="H120" s="674"/>
      <c r="I120" s="674"/>
      <c r="J120" s="674"/>
      <c r="K120" s="674"/>
      <c r="L120" s="674"/>
      <c r="M120" s="674"/>
      <c r="N120" s="669"/>
      <c r="O120" s="670"/>
      <c r="P120" s="674"/>
      <c r="Q120" s="674"/>
    </row>
    <row r="121">
      <c r="A121" s="674"/>
      <c r="B121" s="674"/>
      <c r="C121" s="674"/>
      <c r="D121" s="674"/>
      <c r="E121" s="674"/>
      <c r="F121" s="683"/>
      <c r="G121" s="674"/>
      <c r="H121" s="674"/>
      <c r="I121" s="674"/>
      <c r="J121" s="674"/>
      <c r="K121" s="674"/>
      <c r="L121" s="674"/>
      <c r="M121" s="674"/>
      <c r="N121" s="669"/>
      <c r="O121" s="670"/>
      <c r="P121" s="674"/>
      <c r="Q121" s="674"/>
    </row>
    <row r="122">
      <c r="A122" s="674"/>
      <c r="B122" s="674"/>
      <c r="C122" s="674"/>
      <c r="D122" s="674"/>
      <c r="E122" s="674"/>
      <c r="F122" s="683"/>
      <c r="G122" s="674"/>
      <c r="H122" s="674"/>
      <c r="I122" s="674"/>
      <c r="J122" s="674"/>
      <c r="K122" s="674"/>
      <c r="L122" s="674"/>
      <c r="M122" s="674"/>
      <c r="N122" s="669"/>
      <c r="O122" s="670"/>
      <c r="P122" s="674"/>
      <c r="Q122" s="674"/>
    </row>
    <row r="123">
      <c r="A123" s="674"/>
      <c r="B123" s="674"/>
      <c r="C123" s="674"/>
      <c r="D123" s="674"/>
      <c r="E123" s="674"/>
      <c r="F123" s="683"/>
      <c r="G123" s="674"/>
      <c r="H123" s="674"/>
      <c r="I123" s="674"/>
      <c r="J123" s="674"/>
      <c r="K123" s="674"/>
      <c r="L123" s="674"/>
      <c r="M123" s="674"/>
      <c r="N123" s="669"/>
      <c r="O123" s="670"/>
      <c r="P123" s="674"/>
      <c r="Q123" s="674"/>
    </row>
    <row r="124">
      <c r="A124" s="674"/>
      <c r="B124" s="674"/>
      <c r="C124" s="674"/>
      <c r="D124" s="674"/>
      <c r="E124" s="674"/>
      <c r="F124" s="683"/>
      <c r="G124" s="674"/>
      <c r="H124" s="674"/>
      <c r="I124" s="674"/>
      <c r="J124" s="674"/>
      <c r="K124" s="674"/>
      <c r="L124" s="674"/>
      <c r="M124" s="674"/>
      <c r="N124" s="669"/>
      <c r="O124" s="670"/>
      <c r="P124" s="674"/>
      <c r="Q124" s="674"/>
    </row>
    <row r="125">
      <c r="A125" s="674"/>
      <c r="B125" s="674"/>
      <c r="C125" s="674"/>
      <c r="D125" s="674"/>
      <c r="E125" s="674"/>
      <c r="F125" s="683"/>
      <c r="G125" s="674"/>
      <c r="H125" s="674"/>
      <c r="I125" s="674"/>
      <c r="J125" s="674"/>
      <c r="K125" s="674"/>
      <c r="L125" s="674"/>
      <c r="M125" s="674"/>
      <c r="N125" s="669"/>
      <c r="O125" s="670"/>
      <c r="P125" s="674"/>
      <c r="Q125" s="674"/>
    </row>
    <row r="126">
      <c r="A126" s="674"/>
      <c r="B126" s="674"/>
      <c r="C126" s="674"/>
      <c r="D126" s="674"/>
      <c r="E126" s="674"/>
      <c r="F126" s="683"/>
      <c r="G126" s="674"/>
      <c r="H126" s="674"/>
      <c r="I126" s="674"/>
      <c r="J126" s="674"/>
      <c r="K126" s="674"/>
      <c r="L126" s="674"/>
      <c r="M126" s="674"/>
      <c r="N126" s="669"/>
      <c r="O126" s="670"/>
      <c r="P126" s="674"/>
      <c r="Q126" s="674"/>
    </row>
    <row r="127">
      <c r="A127" s="674"/>
      <c r="B127" s="674"/>
      <c r="C127" s="674"/>
      <c r="D127" s="674"/>
      <c r="E127" s="674"/>
      <c r="F127" s="683"/>
      <c r="G127" s="674"/>
      <c r="H127" s="674"/>
      <c r="I127" s="674"/>
      <c r="J127" s="674"/>
      <c r="K127" s="674"/>
      <c r="L127" s="674"/>
      <c r="M127" s="674"/>
      <c r="N127" s="669"/>
      <c r="O127" s="670"/>
      <c r="P127" s="674"/>
      <c r="Q127" s="674"/>
    </row>
    <row r="128">
      <c r="A128" s="674"/>
      <c r="B128" s="674"/>
      <c r="C128" s="674"/>
      <c r="D128" s="674"/>
      <c r="E128" s="674"/>
      <c r="F128" s="683"/>
      <c r="G128" s="674"/>
      <c r="H128" s="674"/>
      <c r="I128" s="674"/>
      <c r="J128" s="674"/>
      <c r="K128" s="674"/>
      <c r="L128" s="674"/>
      <c r="M128" s="674"/>
      <c r="N128" s="669"/>
      <c r="O128" s="670"/>
      <c r="P128" s="674"/>
      <c r="Q128" s="674"/>
    </row>
    <row r="129">
      <c r="A129" s="674"/>
      <c r="B129" s="674"/>
      <c r="C129" s="674"/>
      <c r="D129" s="674"/>
      <c r="E129" s="674"/>
      <c r="F129" s="683"/>
      <c r="G129" s="674"/>
      <c r="H129" s="674"/>
      <c r="I129" s="674"/>
      <c r="J129" s="674"/>
      <c r="K129" s="674"/>
      <c r="L129" s="674"/>
      <c r="M129" s="674"/>
      <c r="N129" s="669"/>
      <c r="O129" s="670"/>
      <c r="P129" s="674"/>
      <c r="Q129" s="674"/>
    </row>
    <row r="130">
      <c r="A130" s="674"/>
      <c r="B130" s="674"/>
      <c r="C130" s="674"/>
      <c r="D130" s="674"/>
      <c r="E130" s="674"/>
      <c r="F130" s="683"/>
      <c r="G130" s="674"/>
      <c r="H130" s="674"/>
      <c r="I130" s="674"/>
      <c r="J130" s="674"/>
      <c r="K130" s="674"/>
      <c r="L130" s="674"/>
      <c r="M130" s="674"/>
      <c r="N130" s="669"/>
      <c r="O130" s="670"/>
      <c r="P130" s="674"/>
      <c r="Q130" s="674"/>
    </row>
    <row r="131">
      <c r="A131" s="674"/>
      <c r="B131" s="674"/>
      <c r="C131" s="674"/>
      <c r="D131" s="674"/>
      <c r="E131" s="674"/>
      <c r="F131" s="683"/>
      <c r="G131" s="674"/>
      <c r="H131" s="674"/>
      <c r="I131" s="674"/>
      <c r="J131" s="674"/>
      <c r="K131" s="674"/>
      <c r="L131" s="674"/>
      <c r="M131" s="674"/>
      <c r="N131" s="669"/>
      <c r="O131" s="670"/>
      <c r="P131" s="674"/>
      <c r="Q131" s="674"/>
    </row>
    <row r="132">
      <c r="A132" s="674"/>
      <c r="B132" s="674"/>
      <c r="C132" s="674"/>
      <c r="D132" s="674"/>
      <c r="E132" s="674"/>
      <c r="F132" s="683"/>
      <c r="G132" s="674"/>
      <c r="H132" s="674"/>
      <c r="I132" s="674"/>
      <c r="J132" s="674"/>
      <c r="K132" s="674"/>
      <c r="L132" s="674"/>
      <c r="M132" s="674"/>
      <c r="N132" s="669"/>
      <c r="O132" s="670"/>
      <c r="P132" s="674"/>
      <c r="Q132" s="674"/>
    </row>
    <row r="133">
      <c r="A133" s="674"/>
      <c r="B133" s="674"/>
      <c r="C133" s="674"/>
      <c r="D133" s="674"/>
      <c r="E133" s="674"/>
      <c r="F133" s="683"/>
      <c r="G133" s="674"/>
      <c r="H133" s="674"/>
      <c r="I133" s="674"/>
      <c r="J133" s="674"/>
      <c r="K133" s="674"/>
      <c r="L133" s="674"/>
      <c r="M133" s="674"/>
      <c r="N133" s="669"/>
      <c r="O133" s="670"/>
      <c r="P133" s="674"/>
      <c r="Q133" s="674"/>
    </row>
    <row r="134">
      <c r="A134" s="674"/>
      <c r="B134" s="674"/>
      <c r="C134" s="674"/>
      <c r="D134" s="674"/>
      <c r="E134" s="674"/>
      <c r="F134" s="683"/>
      <c r="G134" s="674"/>
      <c r="H134" s="674"/>
      <c r="I134" s="674"/>
      <c r="J134" s="674"/>
      <c r="K134" s="674"/>
      <c r="L134" s="674"/>
      <c r="M134" s="674"/>
      <c r="N134" s="669"/>
      <c r="O134" s="670"/>
      <c r="P134" s="674"/>
      <c r="Q134" s="674"/>
    </row>
    <row r="135">
      <c r="A135" s="674"/>
      <c r="B135" s="674"/>
      <c r="C135" s="674"/>
      <c r="D135" s="674"/>
      <c r="E135" s="674"/>
      <c r="F135" s="683"/>
      <c r="G135" s="674"/>
      <c r="H135" s="674"/>
      <c r="I135" s="674"/>
      <c r="J135" s="674"/>
      <c r="K135" s="674"/>
      <c r="L135" s="674"/>
      <c r="M135" s="674"/>
      <c r="N135" s="669"/>
      <c r="O135" s="670"/>
      <c r="P135" s="674"/>
      <c r="Q135" s="674"/>
    </row>
    <row r="136">
      <c r="A136" s="674"/>
      <c r="B136" s="674"/>
      <c r="C136" s="674"/>
      <c r="D136" s="674"/>
      <c r="E136" s="674"/>
      <c r="F136" s="683"/>
      <c r="G136" s="674"/>
      <c r="H136" s="674"/>
      <c r="I136" s="674"/>
      <c r="J136" s="674"/>
      <c r="K136" s="674"/>
      <c r="L136" s="674"/>
      <c r="M136" s="674"/>
      <c r="N136" s="669"/>
      <c r="O136" s="670"/>
      <c r="P136" s="674"/>
      <c r="Q136" s="674"/>
    </row>
    <row r="137">
      <c r="A137" s="674"/>
      <c r="B137" s="674"/>
      <c r="C137" s="674"/>
      <c r="D137" s="674"/>
      <c r="E137" s="674"/>
      <c r="F137" s="683"/>
      <c r="G137" s="674"/>
      <c r="H137" s="674"/>
      <c r="I137" s="674"/>
      <c r="J137" s="674"/>
      <c r="K137" s="674"/>
      <c r="L137" s="674"/>
      <c r="M137" s="674"/>
      <c r="N137" s="669"/>
      <c r="O137" s="670"/>
      <c r="P137" s="674"/>
      <c r="Q137" s="674"/>
    </row>
    <row r="138">
      <c r="A138" s="674"/>
      <c r="B138" s="674"/>
      <c r="C138" s="674"/>
      <c r="D138" s="674"/>
      <c r="E138" s="674"/>
      <c r="F138" s="683"/>
      <c r="G138" s="674"/>
      <c r="H138" s="674"/>
      <c r="I138" s="674"/>
      <c r="J138" s="674"/>
      <c r="K138" s="674"/>
      <c r="L138" s="674"/>
      <c r="M138" s="674"/>
      <c r="N138" s="669"/>
      <c r="O138" s="670"/>
      <c r="P138" s="674"/>
      <c r="Q138" s="674"/>
    </row>
    <row r="139">
      <c r="A139" s="674"/>
      <c r="B139" s="674"/>
      <c r="C139" s="674"/>
      <c r="D139" s="674"/>
      <c r="E139" s="674"/>
      <c r="F139" s="683"/>
      <c r="G139" s="674"/>
      <c r="H139" s="674"/>
      <c r="I139" s="674"/>
      <c r="J139" s="674"/>
      <c r="K139" s="674"/>
      <c r="L139" s="674"/>
      <c r="M139" s="674"/>
      <c r="N139" s="669"/>
      <c r="O139" s="670"/>
      <c r="P139" s="674"/>
      <c r="Q139" s="674"/>
    </row>
    <row r="140">
      <c r="A140" s="674"/>
      <c r="B140" s="674"/>
      <c r="C140" s="674"/>
      <c r="D140" s="674"/>
      <c r="E140" s="674"/>
      <c r="F140" s="683"/>
      <c r="G140" s="674"/>
      <c r="H140" s="674"/>
      <c r="I140" s="674"/>
      <c r="J140" s="674"/>
      <c r="K140" s="674"/>
      <c r="L140" s="674"/>
      <c r="M140" s="674"/>
      <c r="N140" s="669"/>
      <c r="O140" s="670"/>
      <c r="P140" s="674"/>
      <c r="Q140" s="674"/>
    </row>
    <row r="141">
      <c r="A141" s="674"/>
      <c r="B141" s="674"/>
      <c r="C141" s="674"/>
      <c r="D141" s="674"/>
      <c r="E141" s="674"/>
      <c r="F141" s="683"/>
      <c r="G141" s="674"/>
      <c r="H141" s="674"/>
      <c r="I141" s="674"/>
      <c r="J141" s="674"/>
      <c r="K141" s="674"/>
      <c r="L141" s="674"/>
      <c r="M141" s="674"/>
      <c r="N141" s="669"/>
      <c r="O141" s="670"/>
      <c r="P141" s="674"/>
      <c r="Q141" s="674"/>
    </row>
    <row r="142">
      <c r="A142" s="674"/>
      <c r="B142" s="674"/>
      <c r="C142" s="674"/>
      <c r="D142" s="674"/>
      <c r="E142" s="674"/>
      <c r="F142" s="683"/>
      <c r="G142" s="674"/>
      <c r="H142" s="674"/>
      <c r="I142" s="674"/>
      <c r="J142" s="674"/>
      <c r="K142" s="674"/>
      <c r="L142" s="674"/>
      <c r="M142" s="674"/>
      <c r="N142" s="669"/>
      <c r="O142" s="670"/>
      <c r="P142" s="674"/>
      <c r="Q142" s="674"/>
    </row>
    <row r="143">
      <c r="A143" s="674"/>
      <c r="B143" s="674"/>
      <c r="C143" s="674"/>
      <c r="D143" s="674"/>
      <c r="E143" s="674"/>
      <c r="F143" s="683"/>
      <c r="G143" s="674"/>
      <c r="H143" s="674"/>
      <c r="I143" s="674"/>
      <c r="J143" s="674"/>
      <c r="K143" s="674"/>
      <c r="L143" s="674"/>
      <c r="M143" s="674"/>
      <c r="N143" s="669"/>
      <c r="O143" s="670"/>
      <c r="P143" s="674"/>
      <c r="Q143" s="674"/>
    </row>
    <row r="144">
      <c r="A144" s="674"/>
      <c r="B144" s="674"/>
      <c r="C144" s="674"/>
      <c r="D144" s="674"/>
      <c r="E144" s="674"/>
      <c r="F144" s="683"/>
      <c r="G144" s="674"/>
      <c r="H144" s="674"/>
      <c r="I144" s="674"/>
      <c r="J144" s="674"/>
      <c r="K144" s="674"/>
      <c r="L144" s="674"/>
      <c r="M144" s="674"/>
      <c r="N144" s="669"/>
      <c r="O144" s="670"/>
      <c r="P144" s="674"/>
      <c r="Q144" s="674"/>
    </row>
    <row r="145">
      <c r="A145" s="674"/>
      <c r="B145" s="674"/>
      <c r="C145" s="674"/>
      <c r="D145" s="674"/>
      <c r="E145" s="674"/>
      <c r="F145" s="683"/>
      <c r="G145" s="674"/>
      <c r="H145" s="674"/>
      <c r="I145" s="674"/>
      <c r="J145" s="674"/>
      <c r="K145" s="674"/>
      <c r="L145" s="674"/>
      <c r="M145" s="674"/>
      <c r="N145" s="669"/>
      <c r="O145" s="670"/>
      <c r="P145" s="674"/>
      <c r="Q145" s="674"/>
    </row>
    <row r="146">
      <c r="A146" s="674"/>
      <c r="B146" s="674"/>
      <c r="C146" s="674"/>
      <c r="D146" s="674"/>
      <c r="E146" s="674"/>
      <c r="F146" s="683"/>
      <c r="G146" s="674"/>
      <c r="H146" s="674"/>
      <c r="I146" s="674"/>
      <c r="J146" s="674"/>
      <c r="K146" s="674"/>
      <c r="L146" s="674"/>
      <c r="M146" s="674"/>
      <c r="N146" s="669"/>
      <c r="O146" s="670"/>
      <c r="P146" s="674"/>
      <c r="Q146" s="674"/>
    </row>
    <row r="147">
      <c r="A147" s="674"/>
      <c r="B147" s="674"/>
      <c r="C147" s="674"/>
      <c r="D147" s="674"/>
      <c r="E147" s="674"/>
      <c r="F147" s="683"/>
      <c r="G147" s="674"/>
      <c r="H147" s="674"/>
      <c r="I147" s="674"/>
      <c r="J147" s="674"/>
      <c r="K147" s="674"/>
      <c r="L147" s="674"/>
      <c r="M147" s="674"/>
      <c r="N147" s="669"/>
      <c r="O147" s="670"/>
      <c r="P147" s="674"/>
      <c r="Q147" s="674"/>
    </row>
    <row r="148">
      <c r="A148" s="674"/>
      <c r="B148" s="674"/>
      <c r="C148" s="674"/>
      <c r="D148" s="674"/>
      <c r="E148" s="674"/>
      <c r="F148" s="683"/>
      <c r="G148" s="674"/>
      <c r="H148" s="674"/>
      <c r="I148" s="674"/>
      <c r="J148" s="674"/>
      <c r="K148" s="674"/>
      <c r="L148" s="674"/>
      <c r="M148" s="674"/>
      <c r="N148" s="669"/>
      <c r="O148" s="670"/>
      <c r="P148" s="674"/>
      <c r="Q148" s="674"/>
    </row>
    <row r="149">
      <c r="A149" s="674"/>
      <c r="B149" s="674"/>
      <c r="C149" s="674"/>
      <c r="D149" s="674"/>
      <c r="E149" s="674"/>
      <c r="F149" s="683"/>
      <c r="G149" s="674"/>
      <c r="H149" s="674"/>
      <c r="I149" s="674"/>
      <c r="J149" s="674"/>
      <c r="K149" s="674"/>
      <c r="L149" s="674"/>
      <c r="M149" s="674"/>
      <c r="N149" s="669"/>
      <c r="O149" s="670"/>
      <c r="P149" s="674"/>
      <c r="Q149" s="674"/>
    </row>
    <row r="150">
      <c r="A150" s="674"/>
      <c r="B150" s="674"/>
      <c r="C150" s="674"/>
      <c r="D150" s="674"/>
      <c r="E150" s="674"/>
      <c r="F150" s="683"/>
      <c r="G150" s="674"/>
      <c r="H150" s="674"/>
      <c r="I150" s="674"/>
      <c r="J150" s="674"/>
      <c r="K150" s="674"/>
      <c r="L150" s="674"/>
      <c r="M150" s="674"/>
      <c r="N150" s="669"/>
      <c r="O150" s="670"/>
      <c r="P150" s="674"/>
      <c r="Q150" s="674"/>
    </row>
    <row r="151">
      <c r="A151" s="674"/>
      <c r="B151" s="674"/>
      <c r="C151" s="674"/>
      <c r="D151" s="674"/>
      <c r="E151" s="674"/>
      <c r="F151" s="683"/>
      <c r="G151" s="674"/>
      <c r="H151" s="674"/>
      <c r="I151" s="674"/>
      <c r="J151" s="674"/>
      <c r="K151" s="674"/>
      <c r="L151" s="674"/>
      <c r="M151" s="674"/>
      <c r="N151" s="669"/>
      <c r="O151" s="670"/>
      <c r="P151" s="674"/>
      <c r="Q151" s="674"/>
    </row>
    <row r="152">
      <c r="A152" s="674"/>
      <c r="B152" s="674"/>
      <c r="C152" s="674"/>
      <c r="D152" s="674"/>
      <c r="E152" s="674"/>
      <c r="F152" s="683"/>
      <c r="G152" s="674"/>
      <c r="H152" s="674"/>
      <c r="I152" s="674"/>
      <c r="J152" s="674"/>
      <c r="K152" s="674"/>
      <c r="L152" s="674"/>
      <c r="M152" s="674"/>
      <c r="N152" s="669"/>
      <c r="O152" s="670"/>
      <c r="P152" s="674"/>
      <c r="Q152" s="674"/>
    </row>
    <row r="153">
      <c r="A153" s="674"/>
      <c r="B153" s="674"/>
      <c r="C153" s="674"/>
      <c r="D153" s="674"/>
      <c r="E153" s="674"/>
      <c r="F153" s="683"/>
      <c r="G153" s="674"/>
      <c r="H153" s="674"/>
      <c r="I153" s="674"/>
      <c r="J153" s="674"/>
      <c r="K153" s="674"/>
      <c r="L153" s="674"/>
      <c r="M153" s="674"/>
      <c r="N153" s="669"/>
      <c r="O153" s="670"/>
      <c r="P153" s="674"/>
      <c r="Q153" s="674"/>
    </row>
    <row r="154">
      <c r="A154" s="674"/>
      <c r="B154" s="674"/>
      <c r="C154" s="674"/>
      <c r="D154" s="674"/>
      <c r="E154" s="674"/>
      <c r="F154" s="683"/>
      <c r="G154" s="674"/>
      <c r="H154" s="674"/>
      <c r="I154" s="674"/>
      <c r="J154" s="674"/>
      <c r="K154" s="674"/>
      <c r="L154" s="674"/>
      <c r="M154" s="674"/>
      <c r="N154" s="669"/>
      <c r="O154" s="670"/>
      <c r="P154" s="674"/>
      <c r="Q154" s="674"/>
    </row>
    <row r="155">
      <c r="A155" s="674"/>
      <c r="B155" s="674"/>
      <c r="C155" s="674"/>
      <c r="D155" s="674"/>
      <c r="E155" s="674"/>
      <c r="F155" s="683"/>
      <c r="G155" s="674"/>
      <c r="H155" s="674"/>
      <c r="I155" s="674"/>
      <c r="J155" s="674"/>
      <c r="K155" s="674"/>
      <c r="L155" s="674"/>
      <c r="M155" s="674"/>
      <c r="N155" s="669"/>
      <c r="O155" s="670"/>
      <c r="P155" s="674"/>
      <c r="Q155" s="674"/>
    </row>
    <row r="156">
      <c r="A156" s="674"/>
      <c r="B156" s="674"/>
      <c r="C156" s="674"/>
      <c r="D156" s="674"/>
      <c r="E156" s="674"/>
      <c r="F156" s="683"/>
      <c r="G156" s="674"/>
      <c r="H156" s="674"/>
      <c r="I156" s="674"/>
      <c r="J156" s="674"/>
      <c r="K156" s="674"/>
      <c r="L156" s="674"/>
      <c r="M156" s="674"/>
      <c r="N156" s="669"/>
      <c r="O156" s="670"/>
      <c r="P156" s="674"/>
      <c r="Q156" s="674"/>
    </row>
    <row r="157">
      <c r="A157" s="674"/>
      <c r="B157" s="674"/>
      <c r="C157" s="674"/>
      <c r="D157" s="674"/>
      <c r="E157" s="674"/>
      <c r="F157" s="683"/>
      <c r="G157" s="674"/>
      <c r="H157" s="674"/>
      <c r="I157" s="674"/>
      <c r="J157" s="674"/>
      <c r="K157" s="674"/>
      <c r="L157" s="674"/>
      <c r="M157" s="674"/>
      <c r="N157" s="669"/>
      <c r="O157" s="670"/>
      <c r="P157" s="674"/>
      <c r="Q157" s="674"/>
    </row>
    <row r="158">
      <c r="A158" s="674"/>
      <c r="B158" s="674"/>
      <c r="C158" s="674"/>
      <c r="D158" s="674"/>
      <c r="E158" s="674"/>
      <c r="F158" s="683"/>
      <c r="G158" s="674"/>
      <c r="H158" s="674"/>
      <c r="I158" s="674"/>
      <c r="J158" s="674"/>
      <c r="K158" s="674"/>
      <c r="L158" s="674"/>
      <c r="M158" s="674"/>
      <c r="N158" s="669"/>
      <c r="O158" s="670"/>
      <c r="P158" s="674"/>
      <c r="Q158" s="674"/>
    </row>
    <row r="159">
      <c r="A159" s="674"/>
      <c r="B159" s="674"/>
      <c r="C159" s="674"/>
      <c r="D159" s="674"/>
      <c r="E159" s="674"/>
      <c r="F159" s="683"/>
      <c r="G159" s="674"/>
      <c r="H159" s="674"/>
      <c r="I159" s="674"/>
      <c r="J159" s="674"/>
      <c r="K159" s="674"/>
      <c r="L159" s="674"/>
      <c r="M159" s="674"/>
      <c r="N159" s="669"/>
      <c r="O159" s="670"/>
      <c r="P159" s="674"/>
      <c r="Q159" s="674"/>
    </row>
    <row r="160">
      <c r="A160" s="674"/>
      <c r="B160" s="674"/>
      <c r="C160" s="674"/>
      <c r="D160" s="674"/>
      <c r="E160" s="674"/>
      <c r="F160" s="683"/>
      <c r="G160" s="674"/>
      <c r="H160" s="674"/>
      <c r="I160" s="674"/>
      <c r="J160" s="674"/>
      <c r="K160" s="674"/>
      <c r="L160" s="674"/>
      <c r="M160" s="674"/>
      <c r="N160" s="669"/>
      <c r="O160" s="670"/>
      <c r="P160" s="674"/>
      <c r="Q160" s="674"/>
    </row>
    <row r="161">
      <c r="A161" s="674"/>
      <c r="B161" s="674"/>
      <c r="C161" s="674"/>
      <c r="D161" s="674"/>
      <c r="E161" s="674"/>
      <c r="F161" s="683"/>
      <c r="G161" s="674"/>
      <c r="H161" s="674"/>
      <c r="I161" s="674"/>
      <c r="J161" s="674"/>
      <c r="K161" s="674"/>
      <c r="L161" s="674"/>
      <c r="M161" s="674"/>
      <c r="N161" s="669"/>
      <c r="O161" s="670"/>
      <c r="P161" s="674"/>
      <c r="Q161" s="674"/>
    </row>
    <row r="162">
      <c r="A162" s="674"/>
      <c r="B162" s="674"/>
      <c r="C162" s="674"/>
      <c r="D162" s="674"/>
      <c r="E162" s="674"/>
      <c r="F162" s="683"/>
      <c r="G162" s="674"/>
      <c r="H162" s="674"/>
      <c r="I162" s="674"/>
      <c r="J162" s="674"/>
      <c r="K162" s="674"/>
      <c r="L162" s="674"/>
      <c r="M162" s="674"/>
      <c r="N162" s="669"/>
      <c r="O162" s="670"/>
      <c r="P162" s="674"/>
      <c r="Q162" s="674"/>
    </row>
    <row r="163">
      <c r="A163" s="674"/>
      <c r="B163" s="674"/>
      <c r="C163" s="674"/>
      <c r="D163" s="674"/>
      <c r="E163" s="674"/>
      <c r="F163" s="683"/>
      <c r="G163" s="674"/>
      <c r="H163" s="674"/>
      <c r="I163" s="674"/>
      <c r="J163" s="674"/>
      <c r="K163" s="674"/>
      <c r="L163" s="674"/>
      <c r="M163" s="674"/>
      <c r="N163" s="669"/>
      <c r="O163" s="670"/>
      <c r="P163" s="674"/>
      <c r="Q163" s="674"/>
    </row>
    <row r="164">
      <c r="A164" s="674"/>
      <c r="B164" s="674"/>
      <c r="C164" s="674"/>
      <c r="D164" s="674"/>
      <c r="E164" s="674"/>
      <c r="F164" s="683"/>
      <c r="G164" s="674"/>
      <c r="H164" s="674"/>
      <c r="I164" s="674"/>
      <c r="J164" s="674"/>
      <c r="K164" s="674"/>
      <c r="L164" s="674"/>
      <c r="M164" s="674"/>
      <c r="N164" s="669"/>
      <c r="O164" s="670"/>
      <c r="P164" s="674"/>
      <c r="Q164" s="674"/>
    </row>
    <row r="165">
      <c r="A165" s="674"/>
      <c r="B165" s="674"/>
      <c r="C165" s="674"/>
      <c r="D165" s="674"/>
      <c r="E165" s="674"/>
      <c r="F165" s="683"/>
      <c r="G165" s="674"/>
      <c r="H165" s="674"/>
      <c r="I165" s="674"/>
      <c r="J165" s="674"/>
      <c r="K165" s="674"/>
      <c r="L165" s="674"/>
      <c r="M165" s="674"/>
      <c r="N165" s="669"/>
      <c r="O165" s="670"/>
      <c r="P165" s="674"/>
      <c r="Q165" s="674"/>
    </row>
    <row r="166">
      <c r="A166" s="674"/>
      <c r="B166" s="674"/>
      <c r="C166" s="674"/>
      <c r="D166" s="674"/>
      <c r="E166" s="674"/>
      <c r="F166" s="683"/>
      <c r="G166" s="674"/>
      <c r="H166" s="674"/>
      <c r="I166" s="674"/>
      <c r="J166" s="674"/>
      <c r="K166" s="674"/>
      <c r="L166" s="674"/>
      <c r="M166" s="674"/>
      <c r="N166" s="669"/>
      <c r="O166" s="670"/>
      <c r="P166" s="674"/>
      <c r="Q166" s="674"/>
    </row>
    <row r="167">
      <c r="A167" s="674"/>
      <c r="B167" s="674"/>
      <c r="C167" s="674"/>
      <c r="D167" s="674"/>
      <c r="E167" s="674"/>
      <c r="F167" s="683"/>
      <c r="G167" s="674"/>
      <c r="H167" s="674"/>
      <c r="I167" s="674"/>
      <c r="J167" s="674"/>
      <c r="K167" s="674"/>
      <c r="L167" s="674"/>
      <c r="M167" s="674"/>
      <c r="N167" s="669"/>
      <c r="O167" s="670"/>
      <c r="P167" s="674"/>
      <c r="Q167" s="674"/>
    </row>
    <row r="168">
      <c r="A168" s="674"/>
      <c r="B168" s="674"/>
      <c r="C168" s="674"/>
      <c r="D168" s="674"/>
      <c r="E168" s="674"/>
      <c r="F168" s="683"/>
      <c r="G168" s="674"/>
      <c r="H168" s="674"/>
      <c r="I168" s="674"/>
      <c r="J168" s="674"/>
      <c r="K168" s="674"/>
      <c r="L168" s="674"/>
      <c r="M168" s="674"/>
      <c r="N168" s="669"/>
      <c r="O168" s="670"/>
      <c r="P168" s="674"/>
      <c r="Q168" s="674"/>
    </row>
    <row r="169">
      <c r="A169" s="674"/>
      <c r="B169" s="674"/>
      <c r="C169" s="674"/>
      <c r="D169" s="674"/>
      <c r="E169" s="674"/>
      <c r="F169" s="683"/>
      <c r="G169" s="674"/>
      <c r="H169" s="674"/>
      <c r="I169" s="674"/>
      <c r="J169" s="674"/>
      <c r="K169" s="674"/>
      <c r="L169" s="674"/>
      <c r="M169" s="674"/>
      <c r="N169" s="669"/>
      <c r="O169" s="670"/>
      <c r="P169" s="674"/>
      <c r="Q169" s="674"/>
    </row>
    <row r="170">
      <c r="A170" s="674"/>
      <c r="B170" s="674"/>
      <c r="C170" s="674"/>
      <c r="D170" s="674"/>
      <c r="E170" s="674"/>
      <c r="F170" s="683"/>
      <c r="G170" s="674"/>
      <c r="H170" s="674"/>
      <c r="I170" s="674"/>
      <c r="J170" s="674"/>
      <c r="K170" s="674"/>
      <c r="L170" s="674"/>
      <c r="M170" s="674"/>
      <c r="N170" s="669"/>
      <c r="O170" s="670"/>
      <c r="P170" s="674"/>
      <c r="Q170" s="674"/>
    </row>
    <row r="171">
      <c r="A171" s="674"/>
      <c r="B171" s="674"/>
      <c r="C171" s="674"/>
      <c r="D171" s="674"/>
      <c r="E171" s="674"/>
      <c r="F171" s="683"/>
      <c r="G171" s="674"/>
      <c r="H171" s="674"/>
      <c r="I171" s="674"/>
      <c r="J171" s="674"/>
      <c r="K171" s="674"/>
      <c r="L171" s="674"/>
      <c r="M171" s="674"/>
      <c r="N171" s="669"/>
      <c r="O171" s="670"/>
      <c r="P171" s="674"/>
      <c r="Q171" s="674"/>
    </row>
    <row r="172">
      <c r="A172" s="674"/>
      <c r="B172" s="674"/>
      <c r="C172" s="674"/>
      <c r="D172" s="674"/>
      <c r="E172" s="674"/>
      <c r="F172" s="683"/>
      <c r="G172" s="674"/>
      <c r="H172" s="674"/>
      <c r="I172" s="674"/>
      <c r="J172" s="674"/>
      <c r="K172" s="674"/>
      <c r="L172" s="674"/>
      <c r="M172" s="674"/>
      <c r="N172" s="669"/>
      <c r="O172" s="670"/>
      <c r="P172" s="674"/>
      <c r="Q172" s="674"/>
    </row>
    <row r="173">
      <c r="A173" s="674"/>
      <c r="B173" s="674"/>
      <c r="C173" s="674"/>
      <c r="D173" s="674"/>
      <c r="E173" s="674"/>
      <c r="F173" s="683"/>
      <c r="G173" s="674"/>
      <c r="H173" s="674"/>
      <c r="I173" s="674"/>
      <c r="J173" s="674"/>
      <c r="K173" s="674"/>
      <c r="L173" s="674"/>
      <c r="M173" s="674"/>
      <c r="N173" s="669"/>
      <c r="O173" s="670"/>
      <c r="P173" s="674"/>
      <c r="Q173" s="674"/>
    </row>
    <row r="174">
      <c r="A174" s="674"/>
      <c r="B174" s="674"/>
      <c r="C174" s="674"/>
      <c r="D174" s="674"/>
      <c r="E174" s="674"/>
      <c r="F174" s="683"/>
      <c r="G174" s="674"/>
      <c r="H174" s="674"/>
      <c r="I174" s="674"/>
      <c r="J174" s="674"/>
      <c r="K174" s="674"/>
      <c r="L174" s="674"/>
      <c r="M174" s="674"/>
      <c r="N174" s="669"/>
      <c r="O174" s="670"/>
      <c r="P174" s="674"/>
      <c r="Q174" s="674"/>
    </row>
    <row r="175">
      <c r="A175" s="674"/>
      <c r="B175" s="674"/>
      <c r="C175" s="674"/>
      <c r="D175" s="674"/>
      <c r="E175" s="674"/>
      <c r="F175" s="683"/>
      <c r="G175" s="674"/>
      <c r="H175" s="674"/>
      <c r="I175" s="674"/>
      <c r="J175" s="674"/>
      <c r="K175" s="674"/>
      <c r="L175" s="674"/>
      <c r="M175" s="674"/>
      <c r="N175" s="669"/>
      <c r="O175" s="670"/>
      <c r="P175" s="674"/>
      <c r="Q175" s="674"/>
    </row>
    <row r="176">
      <c r="A176" s="674"/>
      <c r="B176" s="674"/>
      <c r="C176" s="674"/>
      <c r="D176" s="674"/>
      <c r="E176" s="674"/>
      <c r="F176" s="683"/>
      <c r="G176" s="674"/>
      <c r="H176" s="674"/>
      <c r="I176" s="674"/>
      <c r="J176" s="674"/>
      <c r="K176" s="674"/>
      <c r="L176" s="674"/>
      <c r="M176" s="674"/>
      <c r="N176" s="669"/>
      <c r="O176" s="670"/>
      <c r="P176" s="674"/>
      <c r="Q176" s="674"/>
    </row>
    <row r="177">
      <c r="A177" s="674"/>
      <c r="B177" s="674"/>
      <c r="C177" s="674"/>
      <c r="D177" s="674"/>
      <c r="E177" s="674"/>
      <c r="F177" s="683"/>
      <c r="G177" s="674"/>
      <c r="H177" s="674"/>
      <c r="I177" s="674"/>
      <c r="J177" s="674"/>
      <c r="K177" s="674"/>
      <c r="L177" s="674"/>
      <c r="M177" s="674"/>
      <c r="N177" s="669"/>
      <c r="O177" s="670"/>
      <c r="P177" s="674"/>
      <c r="Q177" s="674"/>
    </row>
    <row r="178">
      <c r="A178" s="674"/>
      <c r="B178" s="674"/>
      <c r="C178" s="674"/>
      <c r="D178" s="674"/>
      <c r="E178" s="674"/>
      <c r="F178" s="683"/>
      <c r="G178" s="674"/>
      <c r="H178" s="674"/>
      <c r="I178" s="674"/>
      <c r="J178" s="674"/>
      <c r="K178" s="674"/>
      <c r="L178" s="674"/>
      <c r="M178" s="674"/>
      <c r="N178" s="669"/>
      <c r="O178" s="670"/>
      <c r="P178" s="674"/>
      <c r="Q178" s="674"/>
    </row>
    <row r="179">
      <c r="A179" s="674"/>
      <c r="B179" s="674"/>
      <c r="C179" s="674"/>
      <c r="D179" s="674"/>
      <c r="E179" s="674"/>
      <c r="F179" s="683"/>
      <c r="G179" s="674"/>
      <c r="H179" s="674"/>
      <c r="I179" s="674"/>
      <c r="J179" s="674"/>
      <c r="K179" s="674"/>
      <c r="L179" s="674"/>
      <c r="M179" s="674"/>
      <c r="N179" s="669"/>
      <c r="O179" s="670"/>
      <c r="P179" s="674"/>
      <c r="Q179" s="674"/>
    </row>
    <row r="180">
      <c r="A180" s="674"/>
      <c r="B180" s="674"/>
      <c r="C180" s="674"/>
      <c r="D180" s="674"/>
      <c r="E180" s="674"/>
      <c r="F180" s="683"/>
      <c r="G180" s="674"/>
      <c r="H180" s="674"/>
      <c r="I180" s="674"/>
      <c r="J180" s="674"/>
      <c r="K180" s="674"/>
      <c r="L180" s="674"/>
      <c r="M180" s="674"/>
      <c r="N180" s="669"/>
      <c r="O180" s="670"/>
      <c r="P180" s="674"/>
      <c r="Q180" s="674"/>
    </row>
    <row r="181">
      <c r="A181" s="674"/>
      <c r="B181" s="674"/>
      <c r="C181" s="674"/>
      <c r="D181" s="674"/>
      <c r="E181" s="674"/>
      <c r="F181" s="683"/>
      <c r="G181" s="674"/>
      <c r="H181" s="674"/>
      <c r="I181" s="674"/>
      <c r="J181" s="674"/>
      <c r="K181" s="674"/>
      <c r="L181" s="674"/>
      <c r="M181" s="674"/>
      <c r="N181" s="669"/>
      <c r="O181" s="670"/>
      <c r="P181" s="674"/>
      <c r="Q181" s="674"/>
    </row>
    <row r="182">
      <c r="A182" s="674"/>
      <c r="B182" s="674"/>
      <c r="C182" s="674"/>
      <c r="D182" s="674"/>
      <c r="E182" s="674"/>
      <c r="F182" s="683"/>
      <c r="G182" s="674"/>
      <c r="H182" s="674"/>
      <c r="I182" s="674"/>
      <c r="J182" s="674"/>
      <c r="K182" s="674"/>
      <c r="L182" s="674"/>
      <c r="M182" s="674"/>
      <c r="N182" s="669"/>
      <c r="O182" s="670"/>
      <c r="P182" s="674"/>
      <c r="Q182" s="674"/>
    </row>
    <row r="183">
      <c r="A183" s="674"/>
      <c r="B183" s="674"/>
      <c r="C183" s="674"/>
      <c r="D183" s="674"/>
      <c r="E183" s="674"/>
      <c r="F183" s="683"/>
      <c r="G183" s="674"/>
      <c r="H183" s="674"/>
      <c r="I183" s="674"/>
      <c r="J183" s="674"/>
      <c r="K183" s="674"/>
      <c r="L183" s="674"/>
      <c r="M183" s="674"/>
      <c r="N183" s="669"/>
      <c r="O183" s="670"/>
      <c r="P183" s="674"/>
      <c r="Q183" s="674"/>
    </row>
    <row r="184">
      <c r="A184" s="674"/>
      <c r="B184" s="674"/>
      <c r="C184" s="674"/>
      <c r="D184" s="674"/>
      <c r="E184" s="674"/>
      <c r="F184" s="683"/>
      <c r="G184" s="674"/>
      <c r="H184" s="674"/>
      <c r="I184" s="674"/>
      <c r="J184" s="674"/>
      <c r="K184" s="674"/>
      <c r="L184" s="674"/>
      <c r="M184" s="674"/>
      <c r="N184" s="669"/>
      <c r="O184" s="670"/>
      <c r="P184" s="674"/>
      <c r="Q184" s="674"/>
    </row>
    <row r="185">
      <c r="A185" s="674"/>
      <c r="B185" s="674"/>
      <c r="C185" s="674"/>
      <c r="D185" s="674"/>
      <c r="E185" s="674"/>
      <c r="F185" s="683"/>
      <c r="G185" s="674"/>
      <c r="H185" s="674"/>
      <c r="I185" s="674"/>
      <c r="J185" s="674"/>
      <c r="K185" s="674"/>
      <c r="L185" s="674"/>
      <c r="M185" s="674"/>
      <c r="N185" s="669"/>
      <c r="O185" s="670"/>
      <c r="P185" s="674"/>
      <c r="Q185" s="674"/>
    </row>
    <row r="186">
      <c r="A186" s="674"/>
      <c r="B186" s="674"/>
      <c r="C186" s="674"/>
      <c r="D186" s="674"/>
      <c r="E186" s="674"/>
      <c r="F186" s="683"/>
      <c r="G186" s="674"/>
      <c r="H186" s="674"/>
      <c r="I186" s="674"/>
      <c r="J186" s="674"/>
      <c r="K186" s="674"/>
      <c r="L186" s="674"/>
      <c r="M186" s="674"/>
      <c r="N186" s="669"/>
      <c r="O186" s="670"/>
      <c r="P186" s="674"/>
      <c r="Q186" s="674"/>
    </row>
    <row r="187">
      <c r="A187" s="674"/>
      <c r="B187" s="674"/>
      <c r="C187" s="674"/>
      <c r="D187" s="674"/>
      <c r="E187" s="674"/>
      <c r="F187" s="683"/>
      <c r="G187" s="674"/>
      <c r="H187" s="674"/>
      <c r="I187" s="674"/>
      <c r="J187" s="674"/>
      <c r="K187" s="674"/>
      <c r="L187" s="674"/>
      <c r="M187" s="674"/>
      <c r="N187" s="669"/>
      <c r="O187" s="670"/>
      <c r="P187" s="674"/>
      <c r="Q187" s="674"/>
    </row>
    <row r="188">
      <c r="A188" s="674"/>
      <c r="B188" s="674"/>
      <c r="C188" s="674"/>
      <c r="D188" s="674"/>
      <c r="E188" s="674"/>
      <c r="F188" s="683"/>
      <c r="G188" s="674"/>
      <c r="H188" s="674"/>
      <c r="I188" s="674"/>
      <c r="J188" s="674"/>
      <c r="K188" s="674"/>
      <c r="L188" s="674"/>
      <c r="M188" s="674"/>
      <c r="N188" s="669"/>
      <c r="O188" s="670"/>
      <c r="P188" s="674"/>
      <c r="Q188" s="674"/>
    </row>
    <row r="189">
      <c r="A189" s="674"/>
      <c r="B189" s="674"/>
      <c r="C189" s="674"/>
      <c r="D189" s="674"/>
      <c r="E189" s="674"/>
      <c r="F189" s="683"/>
      <c r="G189" s="674"/>
      <c r="H189" s="674"/>
      <c r="I189" s="674"/>
      <c r="J189" s="674"/>
      <c r="K189" s="674"/>
      <c r="L189" s="674"/>
      <c r="M189" s="674"/>
      <c r="N189" s="669"/>
      <c r="O189" s="670"/>
      <c r="P189" s="674"/>
      <c r="Q189" s="674"/>
    </row>
    <row r="190">
      <c r="A190" s="674"/>
      <c r="B190" s="674"/>
      <c r="C190" s="674"/>
      <c r="D190" s="674"/>
      <c r="E190" s="674"/>
      <c r="F190" s="683"/>
      <c r="G190" s="674"/>
      <c r="H190" s="674"/>
      <c r="I190" s="674"/>
      <c r="J190" s="674"/>
      <c r="K190" s="674"/>
      <c r="L190" s="674"/>
      <c r="M190" s="674"/>
      <c r="N190" s="669"/>
      <c r="O190" s="670"/>
      <c r="P190" s="674"/>
      <c r="Q190" s="674"/>
    </row>
    <row r="191">
      <c r="A191" s="674"/>
      <c r="B191" s="674"/>
      <c r="C191" s="674"/>
      <c r="D191" s="674"/>
      <c r="E191" s="674"/>
      <c r="F191" s="683"/>
      <c r="G191" s="674"/>
      <c r="H191" s="674"/>
      <c r="I191" s="674"/>
      <c r="J191" s="674"/>
      <c r="K191" s="674"/>
      <c r="L191" s="674"/>
      <c r="M191" s="674"/>
      <c r="N191" s="669"/>
      <c r="O191" s="670"/>
      <c r="P191" s="674"/>
      <c r="Q191" s="674"/>
    </row>
    <row r="192">
      <c r="A192" s="674"/>
      <c r="B192" s="674"/>
      <c r="C192" s="674"/>
      <c r="D192" s="674"/>
      <c r="E192" s="674"/>
      <c r="F192" s="683"/>
      <c r="G192" s="674"/>
      <c r="H192" s="674"/>
      <c r="I192" s="674"/>
      <c r="J192" s="674"/>
      <c r="K192" s="674"/>
      <c r="L192" s="674"/>
      <c r="M192" s="674"/>
      <c r="N192" s="669"/>
      <c r="O192" s="670"/>
      <c r="P192" s="674"/>
      <c r="Q192" s="674"/>
    </row>
    <row r="193">
      <c r="A193" s="674"/>
      <c r="B193" s="674"/>
      <c r="C193" s="674"/>
      <c r="D193" s="674"/>
      <c r="E193" s="674"/>
      <c r="F193" s="683"/>
      <c r="G193" s="674"/>
      <c r="H193" s="674"/>
      <c r="I193" s="674"/>
      <c r="J193" s="674"/>
      <c r="K193" s="674"/>
      <c r="L193" s="674"/>
      <c r="M193" s="674"/>
      <c r="N193" s="669"/>
      <c r="O193" s="670"/>
      <c r="P193" s="674"/>
      <c r="Q193" s="674"/>
    </row>
    <row r="194">
      <c r="A194" s="674"/>
      <c r="B194" s="674"/>
      <c r="C194" s="674"/>
      <c r="D194" s="674"/>
      <c r="E194" s="674"/>
      <c r="F194" s="683"/>
      <c r="G194" s="674"/>
      <c r="H194" s="674"/>
      <c r="I194" s="674"/>
      <c r="J194" s="674"/>
      <c r="K194" s="674"/>
      <c r="L194" s="674"/>
      <c r="M194" s="674"/>
      <c r="N194" s="669"/>
      <c r="O194" s="670"/>
      <c r="P194" s="674"/>
      <c r="Q194" s="674"/>
    </row>
    <row r="195">
      <c r="A195" s="674"/>
      <c r="B195" s="674"/>
      <c r="C195" s="674"/>
      <c r="D195" s="674"/>
      <c r="E195" s="674"/>
      <c r="F195" s="683"/>
      <c r="G195" s="674"/>
      <c r="H195" s="674"/>
      <c r="I195" s="674"/>
      <c r="J195" s="674"/>
      <c r="K195" s="674"/>
      <c r="L195" s="674"/>
      <c r="M195" s="674"/>
      <c r="N195" s="669"/>
      <c r="O195" s="670"/>
      <c r="P195" s="674"/>
      <c r="Q195" s="674"/>
    </row>
    <row r="196">
      <c r="A196" s="674"/>
      <c r="B196" s="674"/>
      <c r="C196" s="674"/>
      <c r="D196" s="674"/>
      <c r="E196" s="674"/>
      <c r="F196" s="683"/>
      <c r="G196" s="674"/>
      <c r="H196" s="674"/>
      <c r="I196" s="674"/>
      <c r="J196" s="674"/>
      <c r="K196" s="674"/>
      <c r="L196" s="674"/>
      <c r="M196" s="674"/>
      <c r="N196" s="669"/>
      <c r="O196" s="670"/>
      <c r="P196" s="674"/>
      <c r="Q196" s="674"/>
    </row>
    <row r="197">
      <c r="A197" s="674"/>
      <c r="B197" s="674"/>
      <c r="C197" s="674"/>
      <c r="D197" s="674"/>
      <c r="E197" s="674"/>
      <c r="F197" s="683"/>
      <c r="G197" s="674"/>
      <c r="H197" s="674"/>
      <c r="I197" s="674"/>
      <c r="J197" s="674"/>
      <c r="K197" s="674"/>
      <c r="L197" s="674"/>
      <c r="M197" s="674"/>
      <c r="N197" s="669"/>
      <c r="O197" s="670"/>
      <c r="P197" s="674"/>
      <c r="Q197" s="674"/>
    </row>
    <row r="198">
      <c r="A198" s="674"/>
      <c r="B198" s="674"/>
      <c r="C198" s="674"/>
      <c r="D198" s="674"/>
      <c r="E198" s="674"/>
      <c r="F198" s="683"/>
      <c r="G198" s="674"/>
      <c r="H198" s="674"/>
      <c r="I198" s="674"/>
      <c r="J198" s="674"/>
      <c r="K198" s="674"/>
      <c r="L198" s="674"/>
      <c r="M198" s="674"/>
      <c r="N198" s="669"/>
      <c r="O198" s="670"/>
      <c r="P198" s="674"/>
      <c r="Q198" s="674"/>
    </row>
    <row r="199">
      <c r="A199" s="674"/>
      <c r="B199" s="674"/>
      <c r="C199" s="674"/>
      <c r="D199" s="674"/>
      <c r="E199" s="674"/>
      <c r="F199" s="683"/>
      <c r="G199" s="674"/>
      <c r="H199" s="674"/>
      <c r="I199" s="674"/>
      <c r="J199" s="674"/>
      <c r="K199" s="674"/>
      <c r="L199" s="674"/>
      <c r="M199" s="674"/>
      <c r="N199" s="669"/>
      <c r="O199" s="670"/>
      <c r="P199" s="674"/>
      <c r="Q199" s="674"/>
    </row>
    <row r="200">
      <c r="A200" s="674"/>
      <c r="B200" s="674"/>
      <c r="C200" s="674"/>
      <c r="D200" s="674"/>
      <c r="E200" s="674"/>
      <c r="F200" s="683"/>
      <c r="G200" s="674"/>
      <c r="H200" s="674"/>
      <c r="I200" s="674"/>
      <c r="J200" s="674"/>
      <c r="K200" s="674"/>
      <c r="L200" s="674"/>
      <c r="M200" s="674"/>
      <c r="N200" s="669"/>
      <c r="O200" s="670"/>
      <c r="P200" s="674"/>
      <c r="Q200" s="674"/>
    </row>
    <row r="201">
      <c r="A201" s="674"/>
      <c r="B201" s="674"/>
      <c r="C201" s="674"/>
      <c r="D201" s="674"/>
      <c r="E201" s="674"/>
      <c r="F201" s="683"/>
      <c r="G201" s="674"/>
      <c r="H201" s="674"/>
      <c r="I201" s="674"/>
      <c r="J201" s="674"/>
      <c r="K201" s="674"/>
      <c r="L201" s="674"/>
      <c r="M201" s="674"/>
      <c r="N201" s="669"/>
      <c r="O201" s="670"/>
      <c r="P201" s="674"/>
      <c r="Q201" s="674"/>
    </row>
    <row r="202">
      <c r="A202" s="674"/>
      <c r="B202" s="674"/>
      <c r="C202" s="674"/>
      <c r="D202" s="674"/>
      <c r="E202" s="674"/>
      <c r="F202" s="683"/>
      <c r="G202" s="674"/>
      <c r="H202" s="674"/>
      <c r="I202" s="674"/>
      <c r="J202" s="674"/>
      <c r="K202" s="674"/>
      <c r="L202" s="674"/>
      <c r="M202" s="674"/>
      <c r="N202" s="669"/>
      <c r="O202" s="670"/>
      <c r="P202" s="674"/>
      <c r="Q202" s="674"/>
    </row>
    <row r="203">
      <c r="A203" s="674"/>
      <c r="B203" s="674"/>
      <c r="C203" s="674"/>
      <c r="D203" s="674"/>
      <c r="E203" s="674"/>
      <c r="F203" s="683"/>
      <c r="G203" s="674"/>
      <c r="H203" s="674"/>
      <c r="I203" s="674"/>
      <c r="J203" s="674"/>
      <c r="K203" s="674"/>
      <c r="L203" s="674"/>
      <c r="M203" s="674"/>
      <c r="N203" s="669"/>
      <c r="O203" s="670"/>
      <c r="P203" s="674"/>
      <c r="Q203" s="674"/>
    </row>
    <row r="204">
      <c r="A204" s="674"/>
      <c r="B204" s="674"/>
      <c r="C204" s="674"/>
      <c r="D204" s="674"/>
      <c r="E204" s="674"/>
      <c r="F204" s="683"/>
      <c r="G204" s="674"/>
      <c r="H204" s="674"/>
      <c r="I204" s="674"/>
      <c r="J204" s="674"/>
      <c r="K204" s="674"/>
      <c r="L204" s="674"/>
      <c r="M204" s="674"/>
      <c r="N204" s="669"/>
      <c r="O204" s="670"/>
      <c r="P204" s="674"/>
      <c r="Q204" s="674"/>
    </row>
    <row r="205">
      <c r="A205" s="674"/>
      <c r="B205" s="674"/>
      <c r="C205" s="674"/>
      <c r="D205" s="674"/>
      <c r="E205" s="674"/>
      <c r="F205" s="683"/>
      <c r="G205" s="674"/>
      <c r="H205" s="674"/>
      <c r="I205" s="674"/>
      <c r="J205" s="674"/>
      <c r="K205" s="674"/>
      <c r="L205" s="674"/>
      <c r="M205" s="674"/>
      <c r="N205" s="669"/>
      <c r="O205" s="670"/>
      <c r="P205" s="674"/>
      <c r="Q205" s="674"/>
    </row>
    <row r="206">
      <c r="A206" s="674"/>
      <c r="B206" s="674"/>
      <c r="C206" s="674"/>
      <c r="D206" s="674"/>
      <c r="E206" s="674"/>
      <c r="F206" s="683"/>
      <c r="G206" s="674"/>
      <c r="H206" s="674"/>
      <c r="I206" s="674"/>
      <c r="J206" s="674"/>
      <c r="K206" s="674"/>
      <c r="L206" s="674"/>
      <c r="M206" s="674"/>
      <c r="N206" s="669"/>
      <c r="O206" s="670"/>
      <c r="P206" s="674"/>
      <c r="Q206" s="674"/>
    </row>
    <row r="207">
      <c r="A207" s="674"/>
      <c r="B207" s="674"/>
      <c r="C207" s="674"/>
      <c r="D207" s="674"/>
      <c r="E207" s="674"/>
      <c r="F207" s="683"/>
      <c r="G207" s="674"/>
      <c r="H207" s="674"/>
      <c r="I207" s="674"/>
      <c r="J207" s="674"/>
      <c r="K207" s="674"/>
      <c r="L207" s="674"/>
      <c r="M207" s="674"/>
      <c r="N207" s="669"/>
      <c r="O207" s="670"/>
      <c r="P207" s="674"/>
      <c r="Q207" s="674"/>
    </row>
    <row r="208">
      <c r="A208" s="674"/>
      <c r="B208" s="674"/>
      <c r="C208" s="674"/>
      <c r="D208" s="674"/>
      <c r="E208" s="674"/>
      <c r="F208" s="683"/>
      <c r="G208" s="674"/>
      <c r="H208" s="674"/>
      <c r="I208" s="674"/>
      <c r="J208" s="674"/>
      <c r="K208" s="674"/>
      <c r="L208" s="674"/>
      <c r="M208" s="674"/>
      <c r="N208" s="669"/>
      <c r="O208" s="670"/>
      <c r="P208" s="674"/>
      <c r="Q208" s="674"/>
    </row>
    <row r="209">
      <c r="A209" s="674"/>
      <c r="B209" s="674"/>
      <c r="C209" s="674"/>
      <c r="D209" s="674"/>
      <c r="E209" s="674"/>
      <c r="F209" s="683"/>
      <c r="G209" s="674"/>
      <c r="H209" s="674"/>
      <c r="I209" s="674"/>
      <c r="J209" s="674"/>
      <c r="K209" s="674"/>
      <c r="L209" s="674"/>
      <c r="M209" s="674"/>
      <c r="N209" s="669"/>
      <c r="O209" s="670"/>
      <c r="P209" s="674"/>
      <c r="Q209" s="674"/>
    </row>
    <row r="210">
      <c r="A210" s="674"/>
      <c r="B210" s="674"/>
      <c r="C210" s="674"/>
      <c r="D210" s="674"/>
      <c r="E210" s="674"/>
      <c r="F210" s="683"/>
      <c r="G210" s="674"/>
      <c r="H210" s="674"/>
      <c r="I210" s="674"/>
      <c r="J210" s="674"/>
      <c r="K210" s="674"/>
      <c r="L210" s="674"/>
      <c r="M210" s="674"/>
      <c r="N210" s="669"/>
      <c r="O210" s="670"/>
      <c r="P210" s="674"/>
      <c r="Q210" s="674"/>
    </row>
    <row r="211">
      <c r="A211" s="674"/>
      <c r="B211" s="674"/>
      <c r="C211" s="674"/>
      <c r="D211" s="674"/>
      <c r="E211" s="674"/>
      <c r="F211" s="683"/>
      <c r="G211" s="674"/>
      <c r="H211" s="674"/>
      <c r="I211" s="674"/>
      <c r="J211" s="674"/>
      <c r="K211" s="674"/>
      <c r="L211" s="674"/>
      <c r="M211" s="674"/>
      <c r="N211" s="669"/>
      <c r="O211" s="670"/>
      <c r="P211" s="674"/>
      <c r="Q211" s="674"/>
    </row>
    <row r="212">
      <c r="A212" s="674"/>
      <c r="B212" s="674"/>
      <c r="C212" s="674"/>
      <c r="D212" s="674"/>
      <c r="E212" s="674"/>
      <c r="F212" s="683"/>
      <c r="G212" s="674"/>
      <c r="H212" s="674"/>
      <c r="I212" s="674"/>
      <c r="J212" s="674"/>
      <c r="K212" s="674"/>
      <c r="L212" s="674"/>
      <c r="M212" s="674"/>
      <c r="N212" s="669"/>
      <c r="O212" s="670"/>
      <c r="P212" s="674"/>
      <c r="Q212" s="674"/>
    </row>
    <row r="213">
      <c r="A213" s="674"/>
      <c r="B213" s="674"/>
      <c r="C213" s="674"/>
      <c r="D213" s="674"/>
      <c r="E213" s="674"/>
      <c r="F213" s="683"/>
      <c r="G213" s="674"/>
      <c r="H213" s="674"/>
      <c r="I213" s="674"/>
      <c r="J213" s="674"/>
      <c r="K213" s="674"/>
      <c r="L213" s="674"/>
      <c r="M213" s="674"/>
      <c r="N213" s="669"/>
      <c r="O213" s="670"/>
      <c r="P213" s="674"/>
      <c r="Q213" s="674"/>
    </row>
    <row r="214">
      <c r="A214" s="674"/>
      <c r="B214" s="674"/>
      <c r="C214" s="674"/>
      <c r="D214" s="674"/>
      <c r="E214" s="674"/>
      <c r="F214" s="683"/>
      <c r="G214" s="674"/>
      <c r="H214" s="674"/>
      <c r="I214" s="674"/>
      <c r="J214" s="674"/>
      <c r="K214" s="674"/>
      <c r="L214" s="674"/>
      <c r="M214" s="674"/>
      <c r="N214" s="669"/>
      <c r="O214" s="670"/>
      <c r="P214" s="674"/>
      <c r="Q214" s="674"/>
    </row>
    <row r="215">
      <c r="A215" s="674"/>
      <c r="B215" s="674"/>
      <c r="C215" s="674"/>
      <c r="D215" s="674"/>
      <c r="E215" s="674"/>
      <c r="F215" s="683"/>
      <c r="G215" s="674"/>
      <c r="H215" s="674"/>
      <c r="I215" s="674"/>
      <c r="J215" s="674"/>
      <c r="K215" s="674"/>
      <c r="L215" s="674"/>
      <c r="M215" s="674"/>
      <c r="N215" s="669"/>
      <c r="O215" s="670"/>
      <c r="P215" s="674"/>
      <c r="Q215" s="674"/>
    </row>
    <row r="216">
      <c r="A216" s="674"/>
      <c r="B216" s="674"/>
      <c r="C216" s="674"/>
      <c r="D216" s="674"/>
      <c r="E216" s="674"/>
      <c r="F216" s="683"/>
      <c r="G216" s="674"/>
      <c r="H216" s="674"/>
      <c r="I216" s="674"/>
      <c r="J216" s="674"/>
      <c r="K216" s="674"/>
      <c r="L216" s="674"/>
      <c r="M216" s="674"/>
      <c r="N216" s="669"/>
      <c r="O216" s="670"/>
      <c r="P216" s="674"/>
      <c r="Q216" s="674"/>
    </row>
    <row r="217">
      <c r="A217" s="674"/>
      <c r="B217" s="674"/>
      <c r="C217" s="674"/>
      <c r="D217" s="674"/>
      <c r="E217" s="674"/>
      <c r="F217" s="683"/>
      <c r="G217" s="674"/>
      <c r="H217" s="674"/>
      <c r="I217" s="674"/>
      <c r="J217" s="674"/>
      <c r="K217" s="674"/>
      <c r="L217" s="674"/>
      <c r="M217" s="674"/>
      <c r="N217" s="669"/>
      <c r="O217" s="670"/>
      <c r="P217" s="674"/>
      <c r="Q217" s="674"/>
    </row>
    <row r="218">
      <c r="A218" s="674"/>
      <c r="B218" s="674"/>
      <c r="C218" s="674"/>
      <c r="D218" s="674"/>
      <c r="E218" s="674"/>
      <c r="F218" s="683"/>
      <c r="G218" s="674"/>
      <c r="H218" s="674"/>
      <c r="I218" s="674"/>
      <c r="J218" s="674"/>
      <c r="K218" s="674"/>
      <c r="L218" s="674"/>
      <c r="M218" s="674"/>
      <c r="N218" s="669"/>
      <c r="O218" s="670"/>
      <c r="P218" s="674"/>
      <c r="Q218" s="674"/>
    </row>
    <row r="219">
      <c r="A219" s="674"/>
      <c r="B219" s="674"/>
      <c r="C219" s="674"/>
      <c r="D219" s="674"/>
      <c r="E219" s="674"/>
      <c r="F219" s="683"/>
      <c r="G219" s="674"/>
      <c r="H219" s="674"/>
      <c r="I219" s="674"/>
      <c r="J219" s="674"/>
      <c r="K219" s="674"/>
      <c r="L219" s="674"/>
      <c r="M219" s="674"/>
      <c r="N219" s="669"/>
      <c r="O219" s="670"/>
      <c r="P219" s="674"/>
      <c r="Q219" s="674"/>
    </row>
    <row r="220">
      <c r="A220" s="674"/>
      <c r="B220" s="674"/>
      <c r="C220" s="674"/>
      <c r="D220" s="674"/>
      <c r="E220" s="674"/>
      <c r="F220" s="683"/>
      <c r="G220" s="674"/>
      <c r="H220" s="674"/>
      <c r="I220" s="674"/>
      <c r="J220" s="674"/>
      <c r="K220" s="674"/>
      <c r="L220" s="674"/>
      <c r="M220" s="674"/>
      <c r="N220" s="669"/>
      <c r="O220" s="670"/>
      <c r="P220" s="674"/>
      <c r="Q220" s="674"/>
    </row>
    <row r="221">
      <c r="A221" s="674"/>
      <c r="B221" s="674"/>
      <c r="C221" s="674"/>
      <c r="D221" s="674"/>
      <c r="E221" s="674"/>
      <c r="F221" s="683"/>
      <c r="G221" s="674"/>
      <c r="H221" s="674"/>
      <c r="I221" s="674"/>
      <c r="J221" s="674"/>
      <c r="K221" s="674"/>
      <c r="L221" s="674"/>
      <c r="M221" s="674"/>
      <c r="N221" s="669"/>
      <c r="O221" s="670"/>
      <c r="P221" s="674"/>
      <c r="Q221" s="674"/>
    </row>
    <row r="222">
      <c r="A222" s="674"/>
      <c r="B222" s="674"/>
      <c r="C222" s="674"/>
      <c r="D222" s="674"/>
      <c r="E222" s="674"/>
      <c r="F222" s="683"/>
      <c r="G222" s="674"/>
      <c r="H222" s="674"/>
      <c r="I222" s="674"/>
      <c r="J222" s="674"/>
      <c r="K222" s="674"/>
      <c r="L222" s="674"/>
      <c r="M222" s="674"/>
      <c r="N222" s="669"/>
      <c r="O222" s="670"/>
      <c r="P222" s="674"/>
      <c r="Q222" s="674"/>
    </row>
    <row r="223">
      <c r="A223" s="674"/>
      <c r="B223" s="674"/>
      <c r="C223" s="674"/>
      <c r="D223" s="674"/>
      <c r="E223" s="674"/>
      <c r="F223" s="683"/>
      <c r="G223" s="674"/>
      <c r="H223" s="674"/>
      <c r="I223" s="674"/>
      <c r="J223" s="674"/>
      <c r="K223" s="674"/>
      <c r="L223" s="674"/>
      <c r="M223" s="674"/>
      <c r="N223" s="669"/>
      <c r="O223" s="670"/>
      <c r="P223" s="674"/>
      <c r="Q223" s="674"/>
    </row>
    <row r="224">
      <c r="A224" s="674"/>
      <c r="B224" s="674"/>
      <c r="C224" s="674"/>
      <c r="D224" s="674"/>
      <c r="E224" s="674"/>
      <c r="F224" s="683"/>
      <c r="G224" s="674"/>
      <c r="H224" s="674"/>
      <c r="I224" s="674"/>
      <c r="J224" s="674"/>
      <c r="K224" s="674"/>
      <c r="L224" s="674"/>
      <c r="M224" s="674"/>
      <c r="N224" s="669"/>
      <c r="O224" s="670"/>
      <c r="P224" s="674"/>
      <c r="Q224" s="674"/>
    </row>
    <row r="225">
      <c r="A225" s="674"/>
      <c r="B225" s="674"/>
      <c r="C225" s="674"/>
      <c r="D225" s="674"/>
      <c r="E225" s="674"/>
      <c r="F225" s="683"/>
      <c r="G225" s="674"/>
      <c r="H225" s="674"/>
      <c r="I225" s="674"/>
      <c r="J225" s="674"/>
      <c r="K225" s="674"/>
      <c r="L225" s="674"/>
      <c r="M225" s="674"/>
      <c r="N225" s="669"/>
      <c r="O225" s="670"/>
      <c r="P225" s="674"/>
      <c r="Q225" s="674"/>
    </row>
    <row r="226">
      <c r="A226" s="674"/>
      <c r="B226" s="674"/>
      <c r="C226" s="674"/>
      <c r="D226" s="674"/>
      <c r="E226" s="674"/>
      <c r="F226" s="683"/>
      <c r="G226" s="674"/>
      <c r="H226" s="674"/>
      <c r="I226" s="674"/>
      <c r="J226" s="674"/>
      <c r="K226" s="674"/>
      <c r="L226" s="674"/>
      <c r="M226" s="674"/>
      <c r="N226" s="669"/>
      <c r="O226" s="670"/>
      <c r="P226" s="674"/>
      <c r="Q226" s="674"/>
    </row>
    <row r="227">
      <c r="A227" s="674"/>
      <c r="B227" s="674"/>
      <c r="C227" s="674"/>
      <c r="D227" s="674"/>
      <c r="E227" s="674"/>
      <c r="F227" s="683"/>
      <c r="G227" s="674"/>
      <c r="H227" s="674"/>
      <c r="I227" s="674"/>
      <c r="J227" s="674"/>
      <c r="K227" s="674"/>
      <c r="L227" s="674"/>
      <c r="M227" s="674"/>
      <c r="N227" s="669"/>
      <c r="O227" s="670"/>
      <c r="P227" s="674"/>
      <c r="Q227" s="674"/>
    </row>
    <row r="228">
      <c r="A228" s="674"/>
      <c r="B228" s="674"/>
      <c r="C228" s="674"/>
      <c r="D228" s="674"/>
      <c r="E228" s="674"/>
      <c r="F228" s="683"/>
      <c r="G228" s="674"/>
      <c r="H228" s="674"/>
      <c r="I228" s="674"/>
      <c r="J228" s="674"/>
      <c r="K228" s="674"/>
      <c r="L228" s="674"/>
      <c r="M228" s="674"/>
      <c r="N228" s="669"/>
      <c r="O228" s="670"/>
      <c r="P228" s="674"/>
      <c r="Q228" s="674"/>
    </row>
    <row r="229">
      <c r="A229" s="674"/>
      <c r="B229" s="674"/>
      <c r="C229" s="674"/>
      <c r="D229" s="674"/>
      <c r="E229" s="674"/>
      <c r="F229" s="683"/>
      <c r="G229" s="674"/>
      <c r="H229" s="674"/>
      <c r="I229" s="674"/>
      <c r="J229" s="674"/>
      <c r="K229" s="674"/>
      <c r="L229" s="674"/>
      <c r="M229" s="674"/>
      <c r="N229" s="669"/>
      <c r="O229" s="670"/>
      <c r="P229" s="674"/>
      <c r="Q229" s="674"/>
    </row>
    <row r="230">
      <c r="A230" s="674"/>
      <c r="B230" s="674"/>
      <c r="C230" s="674"/>
      <c r="D230" s="674"/>
      <c r="E230" s="674"/>
      <c r="F230" s="683"/>
      <c r="G230" s="674"/>
      <c r="H230" s="674"/>
      <c r="I230" s="674"/>
      <c r="J230" s="674"/>
      <c r="K230" s="674"/>
      <c r="L230" s="674"/>
      <c r="M230" s="674"/>
      <c r="N230" s="669"/>
      <c r="O230" s="670"/>
      <c r="P230" s="674"/>
      <c r="Q230" s="674"/>
    </row>
    <row r="231">
      <c r="A231" s="674"/>
      <c r="B231" s="674"/>
      <c r="C231" s="674"/>
      <c r="D231" s="674"/>
      <c r="E231" s="674"/>
      <c r="F231" s="683"/>
      <c r="G231" s="674"/>
      <c r="H231" s="674"/>
      <c r="I231" s="674"/>
      <c r="J231" s="674"/>
      <c r="K231" s="674"/>
      <c r="L231" s="674"/>
      <c r="M231" s="674"/>
      <c r="N231" s="669"/>
      <c r="O231" s="670"/>
      <c r="P231" s="674"/>
      <c r="Q231" s="674"/>
    </row>
    <row r="232">
      <c r="A232" s="674"/>
      <c r="B232" s="674"/>
      <c r="C232" s="674"/>
      <c r="D232" s="674"/>
      <c r="E232" s="674"/>
      <c r="F232" s="683"/>
      <c r="G232" s="674"/>
      <c r="H232" s="674"/>
      <c r="I232" s="674"/>
      <c r="J232" s="674"/>
      <c r="K232" s="674"/>
      <c r="L232" s="674"/>
      <c r="M232" s="674"/>
      <c r="N232" s="669"/>
      <c r="O232" s="670"/>
      <c r="P232" s="674"/>
      <c r="Q232" s="674"/>
    </row>
    <row r="233">
      <c r="A233" s="674"/>
      <c r="B233" s="674"/>
      <c r="C233" s="674"/>
      <c r="D233" s="674"/>
      <c r="E233" s="674"/>
      <c r="F233" s="683"/>
      <c r="G233" s="674"/>
      <c r="H233" s="674"/>
      <c r="I233" s="674"/>
      <c r="J233" s="674"/>
      <c r="K233" s="674"/>
      <c r="L233" s="674"/>
      <c r="M233" s="674"/>
      <c r="N233" s="669"/>
      <c r="O233" s="670"/>
      <c r="P233" s="674"/>
      <c r="Q233" s="674"/>
    </row>
    <row r="234">
      <c r="A234" s="674"/>
      <c r="B234" s="674"/>
      <c r="C234" s="674"/>
      <c r="D234" s="674"/>
      <c r="E234" s="674"/>
      <c r="F234" s="683"/>
      <c r="G234" s="674"/>
      <c r="H234" s="674"/>
      <c r="I234" s="674"/>
      <c r="J234" s="674"/>
      <c r="K234" s="674"/>
      <c r="L234" s="674"/>
      <c r="M234" s="674"/>
      <c r="N234" s="669"/>
      <c r="O234" s="670"/>
      <c r="P234" s="674"/>
      <c r="Q234" s="674"/>
    </row>
    <row r="235">
      <c r="A235" s="674"/>
      <c r="B235" s="674"/>
      <c r="C235" s="674"/>
      <c r="D235" s="674"/>
      <c r="E235" s="674"/>
      <c r="F235" s="683"/>
      <c r="G235" s="674"/>
      <c r="H235" s="674"/>
      <c r="I235" s="674"/>
      <c r="J235" s="674"/>
      <c r="K235" s="674"/>
      <c r="L235" s="674"/>
      <c r="M235" s="674"/>
      <c r="N235" s="669"/>
      <c r="O235" s="670"/>
      <c r="P235" s="674"/>
      <c r="Q235" s="674"/>
    </row>
    <row r="236">
      <c r="A236" s="674"/>
      <c r="B236" s="674"/>
      <c r="C236" s="674"/>
      <c r="D236" s="674"/>
      <c r="E236" s="674"/>
      <c r="F236" s="683"/>
      <c r="G236" s="674"/>
      <c r="H236" s="674"/>
      <c r="I236" s="674"/>
      <c r="J236" s="674"/>
      <c r="K236" s="674"/>
      <c r="L236" s="674"/>
      <c r="M236" s="674"/>
      <c r="N236" s="669"/>
      <c r="O236" s="670"/>
      <c r="P236" s="674"/>
      <c r="Q236" s="674"/>
    </row>
    <row r="237">
      <c r="A237" s="674"/>
      <c r="B237" s="674"/>
      <c r="C237" s="674"/>
      <c r="D237" s="674"/>
      <c r="E237" s="674"/>
      <c r="F237" s="683"/>
      <c r="G237" s="674"/>
      <c r="H237" s="674"/>
      <c r="I237" s="674"/>
      <c r="J237" s="674"/>
      <c r="K237" s="674"/>
      <c r="L237" s="674"/>
      <c r="M237" s="674"/>
      <c r="N237" s="669"/>
      <c r="O237" s="670"/>
      <c r="P237" s="674"/>
      <c r="Q237" s="674"/>
    </row>
    <row r="238">
      <c r="A238" s="674"/>
      <c r="B238" s="674"/>
      <c r="C238" s="674"/>
      <c r="D238" s="674"/>
      <c r="E238" s="674"/>
      <c r="F238" s="683"/>
      <c r="G238" s="674"/>
      <c r="H238" s="674"/>
      <c r="I238" s="674"/>
      <c r="J238" s="674"/>
      <c r="K238" s="674"/>
      <c r="L238" s="674"/>
      <c r="M238" s="674"/>
      <c r="N238" s="669"/>
      <c r="O238" s="670"/>
      <c r="P238" s="674"/>
      <c r="Q238" s="674"/>
    </row>
    <row r="239">
      <c r="A239" s="674"/>
      <c r="B239" s="674"/>
      <c r="C239" s="674"/>
      <c r="D239" s="674"/>
      <c r="E239" s="674"/>
      <c r="F239" s="683"/>
      <c r="G239" s="674"/>
      <c r="H239" s="674"/>
      <c r="I239" s="674"/>
      <c r="J239" s="674"/>
      <c r="K239" s="674"/>
      <c r="L239" s="674"/>
      <c r="M239" s="674"/>
      <c r="N239" s="669"/>
      <c r="O239" s="670"/>
      <c r="P239" s="674"/>
      <c r="Q239" s="674"/>
    </row>
    <row r="240">
      <c r="A240" s="674"/>
      <c r="B240" s="674"/>
      <c r="C240" s="674"/>
      <c r="D240" s="674"/>
      <c r="E240" s="674"/>
      <c r="F240" s="683"/>
      <c r="G240" s="674"/>
      <c r="H240" s="674"/>
      <c r="I240" s="674"/>
      <c r="J240" s="674"/>
      <c r="K240" s="674"/>
      <c r="L240" s="674"/>
      <c r="M240" s="674"/>
      <c r="N240" s="669"/>
      <c r="O240" s="670"/>
      <c r="P240" s="674"/>
      <c r="Q240" s="674"/>
    </row>
    <row r="241">
      <c r="A241" s="674"/>
      <c r="B241" s="674"/>
      <c r="C241" s="674"/>
      <c r="D241" s="674"/>
      <c r="E241" s="674"/>
      <c r="F241" s="683"/>
      <c r="G241" s="674"/>
      <c r="H241" s="674"/>
      <c r="I241" s="674"/>
      <c r="J241" s="674"/>
      <c r="K241" s="674"/>
      <c r="L241" s="674"/>
      <c r="M241" s="674"/>
      <c r="N241" s="669"/>
      <c r="O241" s="670"/>
      <c r="P241" s="674"/>
      <c r="Q241" s="674"/>
    </row>
    <row r="242">
      <c r="A242" s="674"/>
      <c r="B242" s="674"/>
      <c r="C242" s="674"/>
      <c r="D242" s="674"/>
      <c r="E242" s="674"/>
      <c r="F242" s="683"/>
      <c r="G242" s="674"/>
      <c r="H242" s="674"/>
      <c r="I242" s="674"/>
      <c r="J242" s="674"/>
      <c r="K242" s="674"/>
      <c r="L242" s="674"/>
      <c r="M242" s="674"/>
      <c r="N242" s="669"/>
      <c r="O242" s="670"/>
      <c r="P242" s="674"/>
      <c r="Q242" s="674"/>
    </row>
    <row r="243">
      <c r="A243" s="674"/>
      <c r="B243" s="674"/>
      <c r="C243" s="674"/>
      <c r="D243" s="674"/>
      <c r="E243" s="674"/>
      <c r="F243" s="683"/>
      <c r="G243" s="674"/>
      <c r="H243" s="674"/>
      <c r="I243" s="674"/>
      <c r="J243" s="674"/>
      <c r="K243" s="674"/>
      <c r="L243" s="674"/>
      <c r="M243" s="674"/>
      <c r="N243" s="669"/>
      <c r="O243" s="670"/>
      <c r="P243" s="674"/>
      <c r="Q243" s="674"/>
    </row>
    <row r="244">
      <c r="A244" s="674"/>
      <c r="B244" s="674"/>
      <c r="C244" s="674"/>
      <c r="D244" s="674"/>
      <c r="E244" s="674"/>
      <c r="F244" s="683"/>
      <c r="G244" s="674"/>
      <c r="H244" s="674"/>
      <c r="I244" s="674"/>
      <c r="J244" s="674"/>
      <c r="K244" s="674"/>
      <c r="L244" s="674"/>
      <c r="M244" s="674"/>
      <c r="N244" s="669"/>
      <c r="O244" s="670"/>
      <c r="P244" s="674"/>
      <c r="Q244" s="674"/>
    </row>
    <row r="245">
      <c r="A245" s="674"/>
      <c r="B245" s="674"/>
      <c r="C245" s="674"/>
      <c r="D245" s="674"/>
      <c r="E245" s="674"/>
      <c r="F245" s="683"/>
      <c r="G245" s="674"/>
      <c r="H245" s="674"/>
      <c r="I245" s="674"/>
      <c r="J245" s="674"/>
      <c r="K245" s="674"/>
      <c r="L245" s="674"/>
      <c r="M245" s="674"/>
      <c r="N245" s="669"/>
      <c r="O245" s="670"/>
      <c r="P245" s="674"/>
      <c r="Q245" s="674"/>
    </row>
    <row r="246">
      <c r="A246" s="674"/>
      <c r="B246" s="674"/>
      <c r="C246" s="674"/>
      <c r="D246" s="674"/>
      <c r="E246" s="674"/>
      <c r="F246" s="683"/>
      <c r="G246" s="674"/>
      <c r="H246" s="674"/>
      <c r="I246" s="674"/>
      <c r="J246" s="674"/>
      <c r="K246" s="674"/>
      <c r="L246" s="674"/>
      <c r="M246" s="674"/>
      <c r="N246" s="669"/>
      <c r="O246" s="670"/>
      <c r="P246" s="674"/>
      <c r="Q246" s="674"/>
    </row>
    <row r="247">
      <c r="A247" s="674"/>
      <c r="B247" s="674"/>
      <c r="C247" s="674"/>
      <c r="D247" s="674"/>
      <c r="E247" s="674"/>
      <c r="F247" s="683"/>
      <c r="G247" s="674"/>
      <c r="H247" s="674"/>
      <c r="I247" s="674"/>
      <c r="J247" s="674"/>
      <c r="K247" s="674"/>
      <c r="L247" s="674"/>
      <c r="M247" s="674"/>
      <c r="N247" s="669"/>
      <c r="O247" s="670"/>
      <c r="P247" s="674"/>
      <c r="Q247" s="674"/>
    </row>
    <row r="248">
      <c r="A248" s="674"/>
      <c r="B248" s="674"/>
      <c r="C248" s="674"/>
      <c r="D248" s="674"/>
      <c r="E248" s="674"/>
      <c r="F248" s="683"/>
      <c r="G248" s="674"/>
      <c r="H248" s="674"/>
      <c r="I248" s="674"/>
      <c r="J248" s="674"/>
      <c r="K248" s="674"/>
      <c r="L248" s="674"/>
      <c r="M248" s="674"/>
      <c r="N248" s="669"/>
      <c r="O248" s="670"/>
      <c r="P248" s="674"/>
      <c r="Q248" s="674"/>
    </row>
    <row r="249">
      <c r="A249" s="674"/>
      <c r="B249" s="674"/>
      <c r="C249" s="674"/>
      <c r="D249" s="674"/>
      <c r="E249" s="674"/>
      <c r="F249" s="683"/>
      <c r="G249" s="674"/>
      <c r="H249" s="674"/>
      <c r="I249" s="674"/>
      <c r="J249" s="674"/>
      <c r="K249" s="674"/>
      <c r="L249" s="674"/>
      <c r="M249" s="674"/>
      <c r="N249" s="669"/>
      <c r="O249" s="670"/>
      <c r="P249" s="674"/>
      <c r="Q249" s="674"/>
    </row>
    <row r="250">
      <c r="A250" s="674"/>
      <c r="B250" s="674"/>
      <c r="C250" s="674"/>
      <c r="D250" s="674"/>
      <c r="E250" s="674"/>
      <c r="F250" s="683"/>
      <c r="G250" s="674"/>
      <c r="H250" s="674"/>
      <c r="I250" s="674"/>
      <c r="J250" s="674"/>
      <c r="K250" s="674"/>
      <c r="L250" s="674"/>
      <c r="M250" s="674"/>
      <c r="N250" s="669"/>
      <c r="O250" s="670"/>
      <c r="P250" s="674"/>
      <c r="Q250" s="674"/>
    </row>
    <row r="251">
      <c r="A251" s="674"/>
      <c r="B251" s="674"/>
      <c r="C251" s="674"/>
      <c r="D251" s="674"/>
      <c r="E251" s="674"/>
      <c r="F251" s="683"/>
      <c r="G251" s="674"/>
      <c r="H251" s="674"/>
      <c r="I251" s="674"/>
      <c r="J251" s="674"/>
      <c r="K251" s="674"/>
      <c r="L251" s="674"/>
      <c r="M251" s="674"/>
      <c r="N251" s="669"/>
      <c r="O251" s="670"/>
      <c r="P251" s="674"/>
      <c r="Q251" s="674"/>
    </row>
    <row r="252">
      <c r="A252" s="674"/>
      <c r="B252" s="674"/>
      <c r="C252" s="674"/>
      <c r="D252" s="674"/>
      <c r="E252" s="674"/>
      <c r="F252" s="683"/>
      <c r="G252" s="674"/>
      <c r="H252" s="674"/>
      <c r="I252" s="674"/>
      <c r="J252" s="674"/>
      <c r="K252" s="674"/>
      <c r="L252" s="674"/>
      <c r="M252" s="674"/>
      <c r="N252" s="669"/>
      <c r="O252" s="670"/>
      <c r="P252" s="674"/>
      <c r="Q252" s="674"/>
    </row>
    <row r="253">
      <c r="A253" s="674"/>
      <c r="B253" s="674"/>
      <c r="C253" s="674"/>
      <c r="D253" s="674"/>
      <c r="E253" s="674"/>
      <c r="F253" s="683"/>
      <c r="G253" s="674"/>
      <c r="H253" s="674"/>
      <c r="I253" s="674"/>
      <c r="J253" s="674"/>
      <c r="K253" s="674"/>
      <c r="L253" s="674"/>
      <c r="M253" s="674"/>
      <c r="N253" s="669"/>
      <c r="O253" s="670"/>
      <c r="P253" s="674"/>
      <c r="Q253" s="674"/>
    </row>
    <row r="254">
      <c r="A254" s="674"/>
      <c r="B254" s="674"/>
      <c r="C254" s="674"/>
      <c r="D254" s="674"/>
      <c r="E254" s="674"/>
      <c r="F254" s="683"/>
      <c r="G254" s="674"/>
      <c r="H254" s="674"/>
      <c r="I254" s="674"/>
      <c r="J254" s="674"/>
      <c r="K254" s="674"/>
      <c r="L254" s="674"/>
      <c r="M254" s="674"/>
      <c r="N254" s="669"/>
      <c r="O254" s="670"/>
      <c r="P254" s="674"/>
      <c r="Q254" s="674"/>
    </row>
    <row r="255">
      <c r="A255" s="674"/>
      <c r="B255" s="674"/>
      <c r="C255" s="674"/>
      <c r="D255" s="674"/>
      <c r="E255" s="674"/>
      <c r="F255" s="683"/>
      <c r="G255" s="674"/>
      <c r="H255" s="674"/>
      <c r="I255" s="674"/>
      <c r="J255" s="674"/>
      <c r="K255" s="674"/>
      <c r="L255" s="674"/>
      <c r="M255" s="674"/>
      <c r="N255" s="669"/>
      <c r="O255" s="670"/>
      <c r="P255" s="674"/>
      <c r="Q255" s="674"/>
    </row>
    <row r="256">
      <c r="A256" s="674"/>
      <c r="B256" s="674"/>
      <c r="C256" s="674"/>
      <c r="D256" s="674"/>
      <c r="E256" s="674"/>
      <c r="F256" s="683"/>
      <c r="G256" s="674"/>
      <c r="H256" s="674"/>
      <c r="I256" s="674"/>
      <c r="J256" s="674"/>
      <c r="K256" s="674"/>
      <c r="L256" s="674"/>
      <c r="M256" s="674"/>
      <c r="N256" s="669"/>
      <c r="O256" s="670"/>
      <c r="P256" s="674"/>
      <c r="Q256" s="674"/>
    </row>
    <row r="257">
      <c r="A257" s="674"/>
      <c r="B257" s="674"/>
      <c r="C257" s="674"/>
      <c r="D257" s="674"/>
      <c r="E257" s="674"/>
      <c r="F257" s="683"/>
      <c r="G257" s="674"/>
      <c r="H257" s="674"/>
      <c r="I257" s="674"/>
      <c r="J257" s="674"/>
      <c r="K257" s="674"/>
      <c r="L257" s="674"/>
      <c r="M257" s="674"/>
      <c r="N257" s="669"/>
      <c r="O257" s="670"/>
      <c r="P257" s="674"/>
      <c r="Q257" s="674"/>
    </row>
    <row r="258">
      <c r="A258" s="674"/>
      <c r="B258" s="674"/>
      <c r="C258" s="674"/>
      <c r="D258" s="674"/>
      <c r="E258" s="674"/>
      <c r="F258" s="683"/>
      <c r="G258" s="674"/>
      <c r="H258" s="674"/>
      <c r="I258" s="674"/>
      <c r="J258" s="674"/>
      <c r="K258" s="674"/>
      <c r="L258" s="674"/>
      <c r="M258" s="674"/>
      <c r="N258" s="669"/>
      <c r="O258" s="670"/>
      <c r="P258" s="674"/>
      <c r="Q258" s="674"/>
    </row>
    <row r="259">
      <c r="A259" s="674"/>
      <c r="B259" s="674"/>
      <c r="C259" s="674"/>
      <c r="D259" s="674"/>
      <c r="E259" s="674"/>
      <c r="F259" s="683"/>
      <c r="G259" s="674"/>
      <c r="H259" s="674"/>
      <c r="I259" s="674"/>
      <c r="J259" s="674"/>
      <c r="K259" s="674"/>
      <c r="L259" s="674"/>
      <c r="M259" s="674"/>
      <c r="N259" s="669"/>
      <c r="O259" s="670"/>
      <c r="P259" s="674"/>
      <c r="Q259" s="674"/>
    </row>
    <row r="260">
      <c r="A260" s="674"/>
      <c r="B260" s="674"/>
      <c r="C260" s="674"/>
      <c r="D260" s="674"/>
      <c r="E260" s="674"/>
      <c r="F260" s="683"/>
      <c r="G260" s="674"/>
      <c r="H260" s="674"/>
      <c r="I260" s="674"/>
      <c r="J260" s="674"/>
      <c r="K260" s="674"/>
      <c r="L260" s="674"/>
      <c r="M260" s="674"/>
      <c r="N260" s="669"/>
      <c r="O260" s="670"/>
      <c r="P260" s="674"/>
      <c r="Q260" s="674"/>
    </row>
    <row r="261">
      <c r="A261" s="674"/>
      <c r="B261" s="674"/>
      <c r="C261" s="674"/>
      <c r="D261" s="674"/>
      <c r="E261" s="674"/>
      <c r="F261" s="683"/>
      <c r="G261" s="674"/>
      <c r="H261" s="674"/>
      <c r="I261" s="674"/>
      <c r="J261" s="674"/>
      <c r="K261" s="674"/>
      <c r="L261" s="674"/>
      <c r="M261" s="674"/>
      <c r="N261" s="669"/>
      <c r="O261" s="670"/>
      <c r="P261" s="674"/>
      <c r="Q261" s="674"/>
    </row>
    <row r="262">
      <c r="A262" s="674"/>
      <c r="B262" s="674"/>
      <c r="C262" s="674"/>
      <c r="D262" s="674"/>
      <c r="E262" s="674"/>
      <c r="F262" s="683"/>
      <c r="G262" s="674"/>
      <c r="H262" s="674"/>
      <c r="I262" s="674"/>
      <c r="J262" s="674"/>
      <c r="K262" s="674"/>
      <c r="L262" s="674"/>
      <c r="M262" s="674"/>
      <c r="N262" s="669"/>
      <c r="O262" s="670"/>
      <c r="P262" s="674"/>
      <c r="Q262" s="674"/>
    </row>
    <row r="263">
      <c r="A263" s="674"/>
      <c r="B263" s="674"/>
      <c r="C263" s="674"/>
      <c r="D263" s="674"/>
      <c r="E263" s="674"/>
      <c r="F263" s="683"/>
      <c r="G263" s="674"/>
      <c r="H263" s="674"/>
      <c r="I263" s="674"/>
      <c r="J263" s="674"/>
      <c r="K263" s="674"/>
      <c r="L263" s="674"/>
      <c r="M263" s="674"/>
      <c r="N263" s="669"/>
      <c r="O263" s="670"/>
      <c r="P263" s="674"/>
      <c r="Q263" s="674"/>
    </row>
    <row r="264">
      <c r="A264" s="674"/>
      <c r="B264" s="674"/>
      <c r="C264" s="674"/>
      <c r="D264" s="674"/>
      <c r="E264" s="674"/>
      <c r="F264" s="683"/>
      <c r="G264" s="674"/>
      <c r="H264" s="674"/>
      <c r="I264" s="674"/>
      <c r="J264" s="674"/>
      <c r="K264" s="674"/>
      <c r="L264" s="674"/>
      <c r="M264" s="674"/>
      <c r="N264" s="669"/>
      <c r="O264" s="670"/>
      <c r="P264" s="674"/>
      <c r="Q264" s="674"/>
    </row>
    <row r="265">
      <c r="A265" s="674"/>
      <c r="B265" s="674"/>
      <c r="C265" s="674"/>
      <c r="D265" s="674"/>
      <c r="E265" s="674"/>
      <c r="F265" s="683"/>
      <c r="G265" s="674"/>
      <c r="H265" s="674"/>
      <c r="I265" s="674"/>
      <c r="J265" s="674"/>
      <c r="K265" s="674"/>
      <c r="L265" s="674"/>
      <c r="M265" s="674"/>
      <c r="N265" s="669"/>
      <c r="O265" s="670"/>
      <c r="P265" s="674"/>
      <c r="Q265" s="674"/>
    </row>
    <row r="266">
      <c r="A266" s="674"/>
      <c r="B266" s="674"/>
      <c r="C266" s="674"/>
      <c r="D266" s="674"/>
      <c r="E266" s="674"/>
      <c r="F266" s="683"/>
      <c r="G266" s="674"/>
      <c r="H266" s="674"/>
      <c r="I266" s="674"/>
      <c r="J266" s="674"/>
      <c r="K266" s="674"/>
      <c r="L266" s="674"/>
      <c r="M266" s="674"/>
      <c r="N266" s="669"/>
      <c r="O266" s="670"/>
      <c r="P266" s="674"/>
      <c r="Q266" s="674"/>
    </row>
    <row r="267">
      <c r="A267" s="674"/>
      <c r="B267" s="674"/>
      <c r="C267" s="674"/>
      <c r="D267" s="674"/>
      <c r="E267" s="674"/>
      <c r="F267" s="683"/>
      <c r="G267" s="674"/>
      <c r="H267" s="674"/>
      <c r="I267" s="674"/>
      <c r="J267" s="674"/>
      <c r="K267" s="674"/>
      <c r="L267" s="674"/>
      <c r="M267" s="674"/>
      <c r="N267" s="669"/>
      <c r="O267" s="670"/>
      <c r="P267" s="674"/>
      <c r="Q267" s="674"/>
    </row>
    <row r="268">
      <c r="A268" s="674"/>
      <c r="B268" s="674"/>
      <c r="C268" s="674"/>
      <c r="D268" s="674"/>
      <c r="E268" s="674"/>
      <c r="F268" s="683"/>
      <c r="G268" s="674"/>
      <c r="H268" s="674"/>
      <c r="I268" s="674"/>
      <c r="J268" s="674"/>
      <c r="K268" s="674"/>
      <c r="L268" s="674"/>
      <c r="M268" s="674"/>
      <c r="N268" s="669"/>
      <c r="O268" s="670"/>
      <c r="P268" s="674"/>
      <c r="Q268" s="674"/>
    </row>
    <row r="269">
      <c r="A269" s="674"/>
      <c r="B269" s="674"/>
      <c r="C269" s="674"/>
      <c r="D269" s="674"/>
      <c r="E269" s="674"/>
      <c r="F269" s="683"/>
      <c r="G269" s="674"/>
      <c r="H269" s="674"/>
      <c r="I269" s="674"/>
      <c r="J269" s="674"/>
      <c r="K269" s="674"/>
      <c r="L269" s="674"/>
      <c r="M269" s="674"/>
      <c r="N269" s="669"/>
      <c r="O269" s="670"/>
      <c r="P269" s="674"/>
      <c r="Q269" s="674"/>
    </row>
    <row r="270">
      <c r="A270" s="674"/>
      <c r="B270" s="674"/>
      <c r="C270" s="674"/>
      <c r="D270" s="674"/>
      <c r="E270" s="674"/>
      <c r="F270" s="683"/>
      <c r="G270" s="674"/>
      <c r="H270" s="674"/>
      <c r="I270" s="674"/>
      <c r="J270" s="674"/>
      <c r="K270" s="674"/>
      <c r="L270" s="674"/>
      <c r="M270" s="674"/>
      <c r="N270" s="669"/>
      <c r="O270" s="670"/>
      <c r="P270" s="674"/>
      <c r="Q270" s="674"/>
    </row>
    <row r="271">
      <c r="A271" s="674"/>
      <c r="B271" s="674"/>
      <c r="C271" s="674"/>
      <c r="D271" s="674"/>
      <c r="E271" s="674"/>
      <c r="F271" s="683"/>
      <c r="G271" s="674"/>
      <c r="H271" s="674"/>
      <c r="I271" s="674"/>
      <c r="J271" s="674"/>
      <c r="K271" s="674"/>
      <c r="L271" s="674"/>
      <c r="M271" s="674"/>
      <c r="N271" s="669"/>
      <c r="O271" s="670"/>
      <c r="P271" s="674"/>
      <c r="Q271" s="674"/>
    </row>
    <row r="272">
      <c r="A272" s="674"/>
      <c r="B272" s="674"/>
      <c r="C272" s="674"/>
      <c r="D272" s="674"/>
      <c r="E272" s="674"/>
      <c r="F272" s="683"/>
      <c r="G272" s="674"/>
      <c r="H272" s="674"/>
      <c r="I272" s="674"/>
      <c r="J272" s="674"/>
      <c r="K272" s="674"/>
      <c r="L272" s="674"/>
      <c r="M272" s="674"/>
      <c r="N272" s="669"/>
      <c r="O272" s="670"/>
      <c r="P272" s="674"/>
      <c r="Q272" s="674"/>
    </row>
    <row r="273">
      <c r="A273" s="674"/>
      <c r="B273" s="674"/>
      <c r="C273" s="674"/>
      <c r="D273" s="674"/>
      <c r="E273" s="674"/>
      <c r="F273" s="683"/>
      <c r="G273" s="674"/>
      <c r="H273" s="674"/>
      <c r="I273" s="674"/>
      <c r="J273" s="674"/>
      <c r="K273" s="674"/>
      <c r="L273" s="674"/>
      <c r="M273" s="674"/>
      <c r="N273" s="669"/>
      <c r="O273" s="670"/>
      <c r="P273" s="674"/>
      <c r="Q273" s="674"/>
    </row>
    <row r="274">
      <c r="A274" s="674"/>
      <c r="B274" s="674"/>
      <c r="C274" s="674"/>
      <c r="D274" s="674"/>
      <c r="E274" s="674"/>
      <c r="F274" s="683"/>
      <c r="G274" s="674"/>
      <c r="H274" s="674"/>
      <c r="I274" s="674"/>
      <c r="J274" s="674"/>
      <c r="K274" s="674"/>
      <c r="L274" s="674"/>
      <c r="M274" s="674"/>
      <c r="N274" s="669"/>
      <c r="O274" s="670"/>
      <c r="P274" s="674"/>
      <c r="Q274" s="674"/>
    </row>
    <row r="275">
      <c r="A275" s="674"/>
      <c r="B275" s="674"/>
      <c r="C275" s="674"/>
      <c r="D275" s="674"/>
      <c r="E275" s="674"/>
      <c r="F275" s="683"/>
      <c r="G275" s="674"/>
      <c r="H275" s="674"/>
      <c r="I275" s="674"/>
      <c r="J275" s="674"/>
      <c r="K275" s="674"/>
      <c r="L275" s="674"/>
      <c r="M275" s="674"/>
      <c r="N275" s="669"/>
      <c r="O275" s="670"/>
      <c r="P275" s="674"/>
      <c r="Q275" s="674"/>
    </row>
    <row r="276">
      <c r="A276" s="674"/>
      <c r="B276" s="674"/>
      <c r="C276" s="674"/>
      <c r="D276" s="674"/>
      <c r="E276" s="674"/>
      <c r="F276" s="683"/>
      <c r="G276" s="674"/>
      <c r="H276" s="674"/>
      <c r="I276" s="674"/>
      <c r="J276" s="674"/>
      <c r="K276" s="674"/>
      <c r="L276" s="674"/>
      <c r="M276" s="674"/>
      <c r="N276" s="669"/>
      <c r="O276" s="670"/>
      <c r="P276" s="674"/>
      <c r="Q276" s="674"/>
    </row>
    <row r="277">
      <c r="A277" s="674"/>
      <c r="B277" s="674"/>
      <c r="C277" s="674"/>
      <c r="D277" s="674"/>
      <c r="E277" s="674"/>
      <c r="F277" s="683"/>
      <c r="G277" s="674"/>
      <c r="H277" s="674"/>
      <c r="I277" s="674"/>
      <c r="J277" s="674"/>
      <c r="K277" s="674"/>
      <c r="L277" s="674"/>
      <c r="M277" s="674"/>
      <c r="N277" s="669"/>
      <c r="O277" s="670"/>
      <c r="P277" s="674"/>
      <c r="Q277" s="674"/>
    </row>
    <row r="278">
      <c r="A278" s="674"/>
      <c r="B278" s="674"/>
      <c r="C278" s="674"/>
      <c r="D278" s="674"/>
      <c r="E278" s="674"/>
      <c r="F278" s="683"/>
      <c r="G278" s="674"/>
      <c r="H278" s="674"/>
      <c r="I278" s="674"/>
      <c r="J278" s="674"/>
      <c r="K278" s="674"/>
      <c r="L278" s="674"/>
      <c r="M278" s="674"/>
      <c r="N278" s="669"/>
      <c r="O278" s="670"/>
      <c r="P278" s="674"/>
      <c r="Q278" s="674"/>
    </row>
    <row r="279">
      <c r="A279" s="674"/>
      <c r="B279" s="674"/>
      <c r="C279" s="674"/>
      <c r="D279" s="674"/>
      <c r="E279" s="674"/>
      <c r="F279" s="683"/>
      <c r="G279" s="674"/>
      <c r="H279" s="674"/>
      <c r="I279" s="674"/>
      <c r="J279" s="674"/>
      <c r="K279" s="674"/>
      <c r="L279" s="674"/>
      <c r="M279" s="674"/>
      <c r="N279" s="669"/>
      <c r="O279" s="670"/>
      <c r="P279" s="674"/>
      <c r="Q279" s="674"/>
    </row>
    <row r="280">
      <c r="A280" s="674"/>
      <c r="B280" s="674"/>
      <c r="C280" s="674"/>
      <c r="D280" s="674"/>
      <c r="E280" s="674"/>
      <c r="F280" s="683"/>
      <c r="G280" s="674"/>
      <c r="H280" s="674"/>
      <c r="I280" s="674"/>
      <c r="J280" s="674"/>
      <c r="K280" s="674"/>
      <c r="L280" s="674"/>
      <c r="M280" s="674"/>
      <c r="N280" s="669"/>
      <c r="O280" s="670"/>
      <c r="P280" s="674"/>
      <c r="Q280" s="674"/>
    </row>
    <row r="281">
      <c r="A281" s="674"/>
      <c r="B281" s="674"/>
      <c r="C281" s="674"/>
      <c r="D281" s="674"/>
      <c r="E281" s="674"/>
      <c r="F281" s="683"/>
      <c r="G281" s="674"/>
      <c r="H281" s="674"/>
      <c r="I281" s="674"/>
      <c r="J281" s="674"/>
      <c r="K281" s="674"/>
      <c r="L281" s="674"/>
      <c r="M281" s="674"/>
      <c r="N281" s="669"/>
      <c r="O281" s="670"/>
      <c r="P281" s="674"/>
      <c r="Q281" s="674"/>
    </row>
    <row r="282">
      <c r="A282" s="674"/>
      <c r="B282" s="674"/>
      <c r="C282" s="674"/>
      <c r="D282" s="674"/>
      <c r="E282" s="674"/>
      <c r="F282" s="683"/>
      <c r="G282" s="674"/>
      <c r="H282" s="674"/>
      <c r="I282" s="674"/>
      <c r="J282" s="674"/>
      <c r="K282" s="674"/>
      <c r="L282" s="674"/>
      <c r="M282" s="674"/>
      <c r="N282" s="669"/>
      <c r="O282" s="670"/>
      <c r="P282" s="674"/>
      <c r="Q282" s="674"/>
    </row>
    <row r="283">
      <c r="A283" s="674"/>
      <c r="B283" s="674"/>
      <c r="C283" s="674"/>
      <c r="D283" s="674"/>
      <c r="E283" s="674"/>
      <c r="F283" s="683"/>
      <c r="G283" s="674"/>
      <c r="H283" s="674"/>
      <c r="I283" s="674"/>
      <c r="J283" s="674"/>
      <c r="K283" s="674"/>
      <c r="L283" s="674"/>
      <c r="M283" s="674"/>
      <c r="N283" s="669"/>
      <c r="O283" s="670"/>
      <c r="P283" s="674"/>
      <c r="Q283" s="674"/>
    </row>
    <row r="284">
      <c r="A284" s="674"/>
      <c r="B284" s="674"/>
      <c r="C284" s="674"/>
      <c r="D284" s="674"/>
      <c r="E284" s="674"/>
      <c r="F284" s="683"/>
      <c r="G284" s="674"/>
      <c r="H284" s="674"/>
      <c r="I284" s="674"/>
      <c r="J284" s="674"/>
      <c r="K284" s="674"/>
      <c r="L284" s="674"/>
      <c r="M284" s="674"/>
      <c r="N284" s="669"/>
      <c r="O284" s="670"/>
      <c r="P284" s="674"/>
      <c r="Q284" s="674"/>
    </row>
    <row r="285">
      <c r="A285" s="674"/>
      <c r="B285" s="674"/>
      <c r="C285" s="674"/>
      <c r="D285" s="674"/>
      <c r="E285" s="674"/>
      <c r="F285" s="683"/>
      <c r="G285" s="674"/>
      <c r="H285" s="674"/>
      <c r="I285" s="674"/>
      <c r="J285" s="674"/>
      <c r="K285" s="674"/>
      <c r="L285" s="674"/>
      <c r="M285" s="674"/>
      <c r="N285" s="669"/>
      <c r="O285" s="670"/>
      <c r="P285" s="674"/>
      <c r="Q285" s="674"/>
    </row>
    <row r="286">
      <c r="A286" s="674"/>
      <c r="B286" s="674"/>
      <c r="C286" s="674"/>
      <c r="D286" s="674"/>
      <c r="E286" s="674"/>
      <c r="F286" s="683"/>
      <c r="G286" s="674"/>
      <c r="H286" s="674"/>
      <c r="I286" s="674"/>
      <c r="J286" s="674"/>
      <c r="K286" s="674"/>
      <c r="L286" s="674"/>
      <c r="M286" s="674"/>
      <c r="N286" s="669"/>
      <c r="O286" s="670"/>
      <c r="P286" s="674"/>
      <c r="Q286" s="674"/>
    </row>
    <row r="287">
      <c r="A287" s="674"/>
      <c r="B287" s="674"/>
      <c r="C287" s="674"/>
      <c r="D287" s="674"/>
      <c r="E287" s="674"/>
      <c r="F287" s="683"/>
      <c r="G287" s="674"/>
      <c r="H287" s="674"/>
      <c r="I287" s="674"/>
      <c r="J287" s="674"/>
      <c r="K287" s="674"/>
      <c r="L287" s="674"/>
      <c r="M287" s="674"/>
      <c r="N287" s="669"/>
      <c r="O287" s="670"/>
      <c r="P287" s="674"/>
      <c r="Q287" s="674"/>
    </row>
    <row r="288">
      <c r="A288" s="674"/>
      <c r="B288" s="674"/>
      <c r="C288" s="674"/>
      <c r="D288" s="674"/>
      <c r="E288" s="674"/>
      <c r="F288" s="683"/>
      <c r="G288" s="674"/>
      <c r="H288" s="674"/>
      <c r="I288" s="674"/>
      <c r="J288" s="674"/>
      <c r="K288" s="674"/>
      <c r="L288" s="674"/>
      <c r="M288" s="674"/>
      <c r="N288" s="669"/>
      <c r="O288" s="670"/>
      <c r="P288" s="674"/>
      <c r="Q288" s="674"/>
    </row>
    <row r="289">
      <c r="A289" s="674"/>
      <c r="B289" s="674"/>
      <c r="C289" s="674"/>
      <c r="D289" s="674"/>
      <c r="E289" s="674"/>
      <c r="F289" s="683"/>
      <c r="G289" s="674"/>
      <c r="H289" s="674"/>
      <c r="I289" s="674"/>
      <c r="J289" s="674"/>
      <c r="K289" s="674"/>
      <c r="L289" s="674"/>
      <c r="M289" s="674"/>
      <c r="N289" s="669"/>
      <c r="O289" s="670"/>
      <c r="P289" s="674"/>
      <c r="Q289" s="674"/>
    </row>
    <row r="290">
      <c r="A290" s="674"/>
      <c r="B290" s="674"/>
      <c r="C290" s="674"/>
      <c r="D290" s="674"/>
      <c r="E290" s="674"/>
      <c r="F290" s="683"/>
      <c r="G290" s="674"/>
      <c r="H290" s="674"/>
      <c r="I290" s="674"/>
      <c r="J290" s="674"/>
      <c r="K290" s="674"/>
      <c r="L290" s="674"/>
      <c r="M290" s="674"/>
      <c r="N290" s="669"/>
      <c r="O290" s="670"/>
      <c r="P290" s="674"/>
      <c r="Q290" s="674"/>
    </row>
    <row r="291">
      <c r="A291" s="674"/>
      <c r="B291" s="674"/>
      <c r="C291" s="674"/>
      <c r="D291" s="674"/>
      <c r="E291" s="674"/>
      <c r="F291" s="683"/>
      <c r="G291" s="674"/>
      <c r="H291" s="674"/>
      <c r="I291" s="674"/>
      <c r="J291" s="674"/>
      <c r="K291" s="674"/>
      <c r="L291" s="674"/>
      <c r="M291" s="674"/>
      <c r="N291" s="669"/>
      <c r="O291" s="670"/>
      <c r="P291" s="674"/>
      <c r="Q291" s="674"/>
    </row>
    <row r="292">
      <c r="A292" s="674"/>
      <c r="B292" s="674"/>
      <c r="C292" s="674"/>
      <c r="D292" s="674"/>
      <c r="E292" s="674"/>
      <c r="F292" s="683"/>
      <c r="G292" s="674"/>
      <c r="H292" s="674"/>
      <c r="I292" s="674"/>
      <c r="J292" s="674"/>
      <c r="K292" s="674"/>
      <c r="L292" s="674"/>
      <c r="M292" s="674"/>
      <c r="N292" s="669"/>
      <c r="O292" s="670"/>
      <c r="P292" s="674"/>
      <c r="Q292" s="674"/>
    </row>
    <row r="293">
      <c r="A293" s="674"/>
      <c r="B293" s="674"/>
      <c r="C293" s="674"/>
      <c r="D293" s="674"/>
      <c r="E293" s="674"/>
      <c r="F293" s="683"/>
      <c r="G293" s="674"/>
      <c r="H293" s="674"/>
      <c r="I293" s="674"/>
      <c r="J293" s="674"/>
      <c r="K293" s="674"/>
      <c r="L293" s="674"/>
      <c r="M293" s="674"/>
      <c r="N293" s="669"/>
      <c r="O293" s="670"/>
      <c r="P293" s="674"/>
      <c r="Q293" s="674"/>
    </row>
    <row r="294">
      <c r="A294" s="674"/>
      <c r="B294" s="674"/>
      <c r="C294" s="674"/>
      <c r="D294" s="674"/>
      <c r="E294" s="674"/>
      <c r="F294" s="683"/>
      <c r="G294" s="674"/>
      <c r="H294" s="674"/>
      <c r="I294" s="674"/>
      <c r="J294" s="674"/>
      <c r="K294" s="674"/>
      <c r="L294" s="674"/>
      <c r="M294" s="674"/>
      <c r="N294" s="669"/>
      <c r="O294" s="670"/>
      <c r="P294" s="674"/>
      <c r="Q294" s="674"/>
    </row>
    <row r="295">
      <c r="A295" s="674"/>
      <c r="B295" s="674"/>
      <c r="C295" s="674"/>
      <c r="D295" s="674"/>
      <c r="E295" s="674"/>
      <c r="F295" s="683"/>
      <c r="G295" s="674"/>
      <c r="H295" s="674"/>
      <c r="I295" s="674"/>
      <c r="J295" s="674"/>
      <c r="K295" s="674"/>
      <c r="L295" s="674"/>
      <c r="M295" s="674"/>
      <c r="N295" s="669"/>
      <c r="O295" s="670"/>
      <c r="P295" s="674"/>
      <c r="Q295" s="674"/>
    </row>
    <row r="296">
      <c r="A296" s="674"/>
      <c r="B296" s="674"/>
      <c r="C296" s="674"/>
      <c r="D296" s="674"/>
      <c r="E296" s="674"/>
      <c r="F296" s="683"/>
      <c r="G296" s="674"/>
      <c r="H296" s="674"/>
      <c r="I296" s="674"/>
      <c r="J296" s="674"/>
      <c r="K296" s="674"/>
      <c r="L296" s="674"/>
      <c r="M296" s="674"/>
      <c r="N296" s="669"/>
      <c r="O296" s="670"/>
      <c r="P296" s="674"/>
      <c r="Q296" s="674"/>
    </row>
    <row r="297">
      <c r="A297" s="674"/>
      <c r="B297" s="674"/>
      <c r="C297" s="674"/>
      <c r="D297" s="674"/>
      <c r="E297" s="674"/>
      <c r="F297" s="683"/>
      <c r="G297" s="674"/>
      <c r="H297" s="674"/>
      <c r="I297" s="674"/>
      <c r="J297" s="674"/>
      <c r="K297" s="674"/>
      <c r="L297" s="674"/>
      <c r="M297" s="674"/>
      <c r="N297" s="669"/>
      <c r="O297" s="670"/>
      <c r="P297" s="674"/>
      <c r="Q297" s="674"/>
    </row>
    <row r="298">
      <c r="A298" s="674"/>
      <c r="B298" s="674"/>
      <c r="C298" s="674"/>
      <c r="D298" s="674"/>
      <c r="E298" s="674"/>
      <c r="F298" s="683"/>
      <c r="G298" s="674"/>
      <c r="H298" s="674"/>
      <c r="I298" s="674"/>
      <c r="J298" s="674"/>
      <c r="K298" s="674"/>
      <c r="L298" s="674"/>
      <c r="M298" s="674"/>
      <c r="N298" s="669"/>
      <c r="O298" s="670"/>
      <c r="P298" s="674"/>
      <c r="Q298" s="674"/>
    </row>
    <row r="299">
      <c r="A299" s="674"/>
      <c r="B299" s="674"/>
      <c r="C299" s="674"/>
      <c r="D299" s="674"/>
      <c r="E299" s="674"/>
      <c r="F299" s="683"/>
      <c r="G299" s="674"/>
      <c r="H299" s="674"/>
      <c r="I299" s="674"/>
      <c r="J299" s="674"/>
      <c r="K299" s="674"/>
      <c r="L299" s="674"/>
      <c r="M299" s="674"/>
      <c r="N299" s="669"/>
      <c r="O299" s="670"/>
      <c r="P299" s="674"/>
      <c r="Q299" s="674"/>
    </row>
    <row r="300">
      <c r="A300" s="674"/>
      <c r="B300" s="674"/>
      <c r="C300" s="674"/>
      <c r="D300" s="674"/>
      <c r="E300" s="674"/>
      <c r="F300" s="683"/>
      <c r="G300" s="674"/>
      <c r="H300" s="674"/>
      <c r="I300" s="674"/>
      <c r="J300" s="674"/>
      <c r="K300" s="674"/>
      <c r="L300" s="674"/>
      <c r="M300" s="674"/>
      <c r="N300" s="669"/>
      <c r="O300" s="670"/>
      <c r="P300" s="674"/>
      <c r="Q300" s="674"/>
    </row>
    <row r="301">
      <c r="A301" s="674"/>
      <c r="B301" s="674"/>
      <c r="C301" s="674"/>
      <c r="D301" s="674"/>
      <c r="E301" s="674"/>
      <c r="F301" s="683"/>
      <c r="G301" s="674"/>
      <c r="H301" s="674"/>
      <c r="I301" s="674"/>
      <c r="J301" s="674"/>
      <c r="K301" s="674"/>
      <c r="L301" s="674"/>
      <c r="M301" s="674"/>
      <c r="N301" s="669"/>
      <c r="O301" s="670"/>
      <c r="P301" s="674"/>
      <c r="Q301" s="674"/>
    </row>
    <row r="302">
      <c r="A302" s="674"/>
      <c r="B302" s="674"/>
      <c r="C302" s="674"/>
      <c r="D302" s="674"/>
      <c r="E302" s="674"/>
      <c r="F302" s="683"/>
      <c r="G302" s="674"/>
      <c r="H302" s="674"/>
      <c r="I302" s="674"/>
      <c r="J302" s="674"/>
      <c r="K302" s="674"/>
      <c r="L302" s="674"/>
      <c r="M302" s="674"/>
      <c r="N302" s="669"/>
      <c r="O302" s="670"/>
      <c r="P302" s="674"/>
      <c r="Q302" s="674"/>
    </row>
    <row r="303">
      <c r="A303" s="674"/>
      <c r="B303" s="674"/>
      <c r="C303" s="674"/>
      <c r="D303" s="674"/>
      <c r="E303" s="674"/>
      <c r="F303" s="683"/>
      <c r="G303" s="674"/>
      <c r="H303" s="674"/>
      <c r="I303" s="674"/>
      <c r="J303" s="674"/>
      <c r="K303" s="674"/>
      <c r="L303" s="674"/>
      <c r="M303" s="674"/>
      <c r="N303" s="669"/>
      <c r="O303" s="670"/>
      <c r="P303" s="674"/>
      <c r="Q303" s="674"/>
    </row>
    <row r="304">
      <c r="A304" s="674"/>
      <c r="B304" s="674"/>
      <c r="C304" s="674"/>
      <c r="D304" s="674"/>
      <c r="E304" s="674"/>
      <c r="F304" s="683"/>
      <c r="G304" s="674"/>
      <c r="H304" s="674"/>
      <c r="I304" s="674"/>
      <c r="J304" s="674"/>
      <c r="K304" s="674"/>
      <c r="L304" s="674"/>
      <c r="M304" s="674"/>
      <c r="N304" s="669"/>
      <c r="O304" s="670"/>
      <c r="P304" s="674"/>
      <c r="Q304" s="674"/>
    </row>
    <row r="305">
      <c r="A305" s="674"/>
      <c r="B305" s="674"/>
      <c r="C305" s="674"/>
      <c r="D305" s="674"/>
      <c r="E305" s="674"/>
      <c r="F305" s="683"/>
      <c r="G305" s="674"/>
      <c r="H305" s="674"/>
      <c r="I305" s="674"/>
      <c r="J305" s="674"/>
      <c r="K305" s="674"/>
      <c r="L305" s="674"/>
      <c r="M305" s="674"/>
      <c r="N305" s="669"/>
      <c r="O305" s="670"/>
      <c r="P305" s="674"/>
      <c r="Q305" s="674"/>
    </row>
    <row r="306">
      <c r="A306" s="674"/>
      <c r="B306" s="674"/>
      <c r="C306" s="674"/>
      <c r="D306" s="674"/>
      <c r="E306" s="674"/>
      <c r="F306" s="683"/>
      <c r="G306" s="674"/>
      <c r="H306" s="674"/>
      <c r="I306" s="674"/>
      <c r="J306" s="674"/>
      <c r="K306" s="674"/>
      <c r="L306" s="674"/>
      <c r="M306" s="674"/>
      <c r="N306" s="669"/>
      <c r="O306" s="670"/>
      <c r="P306" s="674"/>
      <c r="Q306" s="674"/>
    </row>
    <row r="307">
      <c r="A307" s="674"/>
      <c r="B307" s="674"/>
      <c r="C307" s="674"/>
      <c r="D307" s="674"/>
      <c r="E307" s="674"/>
      <c r="F307" s="683"/>
      <c r="G307" s="674"/>
      <c r="H307" s="674"/>
      <c r="I307" s="674"/>
      <c r="J307" s="674"/>
      <c r="K307" s="674"/>
      <c r="L307" s="674"/>
      <c r="M307" s="674"/>
      <c r="N307" s="669"/>
      <c r="O307" s="670"/>
      <c r="P307" s="674"/>
      <c r="Q307" s="674"/>
    </row>
    <row r="308">
      <c r="A308" s="674"/>
      <c r="B308" s="674"/>
      <c r="C308" s="674"/>
      <c r="D308" s="674"/>
      <c r="E308" s="674"/>
      <c r="F308" s="683"/>
      <c r="G308" s="674"/>
      <c r="H308" s="674"/>
      <c r="I308" s="674"/>
      <c r="J308" s="674"/>
      <c r="K308" s="674"/>
      <c r="L308" s="674"/>
      <c r="M308" s="674"/>
      <c r="N308" s="669"/>
      <c r="O308" s="670"/>
      <c r="P308" s="674"/>
      <c r="Q308" s="674"/>
    </row>
    <row r="309">
      <c r="A309" s="674"/>
      <c r="B309" s="674"/>
      <c r="C309" s="674"/>
      <c r="D309" s="674"/>
      <c r="E309" s="674"/>
      <c r="F309" s="683"/>
      <c r="G309" s="674"/>
      <c r="H309" s="674"/>
      <c r="I309" s="674"/>
      <c r="J309" s="674"/>
      <c r="K309" s="674"/>
      <c r="L309" s="674"/>
      <c r="M309" s="674"/>
      <c r="N309" s="669"/>
      <c r="O309" s="670"/>
      <c r="P309" s="674"/>
      <c r="Q309" s="674"/>
    </row>
    <row r="310">
      <c r="A310" s="674"/>
      <c r="B310" s="674"/>
      <c r="C310" s="674"/>
      <c r="D310" s="674"/>
      <c r="E310" s="674"/>
      <c r="F310" s="683"/>
      <c r="G310" s="674"/>
      <c r="H310" s="674"/>
      <c r="I310" s="674"/>
      <c r="J310" s="674"/>
      <c r="K310" s="674"/>
      <c r="L310" s="674"/>
      <c r="M310" s="674"/>
      <c r="N310" s="669"/>
      <c r="O310" s="670"/>
      <c r="P310" s="674"/>
      <c r="Q310" s="674"/>
    </row>
    <row r="311">
      <c r="A311" s="674"/>
      <c r="B311" s="674"/>
      <c r="C311" s="674"/>
      <c r="D311" s="674"/>
      <c r="E311" s="674"/>
      <c r="F311" s="683"/>
      <c r="G311" s="674"/>
      <c r="H311" s="674"/>
      <c r="I311" s="674"/>
      <c r="J311" s="674"/>
      <c r="K311" s="674"/>
      <c r="L311" s="674"/>
      <c r="M311" s="674"/>
      <c r="N311" s="669"/>
      <c r="O311" s="670"/>
      <c r="P311" s="674"/>
      <c r="Q311" s="674"/>
    </row>
    <row r="312">
      <c r="A312" s="674"/>
      <c r="B312" s="674"/>
      <c r="C312" s="674"/>
      <c r="D312" s="674"/>
      <c r="E312" s="674"/>
      <c r="F312" s="683"/>
      <c r="G312" s="674"/>
      <c r="H312" s="674"/>
      <c r="I312" s="674"/>
      <c r="J312" s="674"/>
      <c r="K312" s="674"/>
      <c r="L312" s="674"/>
      <c r="M312" s="674"/>
      <c r="N312" s="669"/>
      <c r="O312" s="670"/>
      <c r="P312" s="674"/>
      <c r="Q312" s="674"/>
    </row>
    <row r="313">
      <c r="A313" s="674"/>
      <c r="B313" s="674"/>
      <c r="C313" s="674"/>
      <c r="D313" s="674"/>
      <c r="E313" s="674"/>
      <c r="F313" s="683"/>
      <c r="G313" s="674"/>
      <c r="H313" s="674"/>
      <c r="I313" s="674"/>
      <c r="J313" s="674"/>
      <c r="K313" s="674"/>
      <c r="L313" s="674"/>
      <c r="M313" s="674"/>
      <c r="N313" s="669"/>
      <c r="O313" s="670"/>
      <c r="P313" s="674"/>
      <c r="Q313" s="674"/>
    </row>
    <row r="314">
      <c r="A314" s="674"/>
      <c r="B314" s="674"/>
      <c r="C314" s="674"/>
      <c r="D314" s="674"/>
      <c r="E314" s="674"/>
      <c r="F314" s="683"/>
      <c r="G314" s="674"/>
      <c r="H314" s="674"/>
      <c r="I314" s="674"/>
      <c r="J314" s="674"/>
      <c r="K314" s="674"/>
      <c r="L314" s="674"/>
      <c r="M314" s="674"/>
      <c r="N314" s="669"/>
      <c r="O314" s="670"/>
      <c r="P314" s="674"/>
      <c r="Q314" s="674"/>
    </row>
    <row r="315">
      <c r="A315" s="674"/>
      <c r="B315" s="674"/>
      <c r="C315" s="674"/>
      <c r="D315" s="674"/>
      <c r="E315" s="674"/>
      <c r="F315" s="683"/>
      <c r="G315" s="674"/>
      <c r="H315" s="674"/>
      <c r="I315" s="674"/>
      <c r="J315" s="674"/>
      <c r="K315" s="674"/>
      <c r="L315" s="674"/>
      <c r="M315" s="674"/>
      <c r="N315" s="669"/>
      <c r="O315" s="670"/>
      <c r="P315" s="674"/>
      <c r="Q315" s="674"/>
    </row>
    <row r="316">
      <c r="A316" s="674"/>
      <c r="B316" s="674"/>
      <c r="C316" s="674"/>
      <c r="D316" s="674"/>
      <c r="E316" s="674"/>
      <c r="F316" s="683"/>
      <c r="G316" s="674"/>
      <c r="H316" s="674"/>
      <c r="I316" s="674"/>
      <c r="J316" s="674"/>
      <c r="K316" s="674"/>
      <c r="L316" s="674"/>
      <c r="M316" s="674"/>
      <c r="N316" s="669"/>
      <c r="O316" s="670"/>
      <c r="P316" s="674"/>
      <c r="Q316" s="674"/>
    </row>
    <row r="317">
      <c r="A317" s="674"/>
      <c r="B317" s="674"/>
      <c r="C317" s="674"/>
      <c r="D317" s="674"/>
      <c r="E317" s="674"/>
      <c r="F317" s="683"/>
      <c r="G317" s="674"/>
      <c r="H317" s="674"/>
      <c r="I317" s="674"/>
      <c r="J317" s="674"/>
      <c r="K317" s="674"/>
      <c r="L317" s="674"/>
      <c r="M317" s="674"/>
      <c r="N317" s="669"/>
      <c r="O317" s="670"/>
      <c r="P317" s="674"/>
      <c r="Q317" s="674"/>
    </row>
    <row r="318">
      <c r="A318" s="674"/>
      <c r="B318" s="674"/>
      <c r="C318" s="674"/>
      <c r="D318" s="674"/>
      <c r="E318" s="674"/>
      <c r="F318" s="683"/>
      <c r="G318" s="674"/>
      <c r="H318" s="674"/>
      <c r="I318" s="674"/>
      <c r="J318" s="674"/>
      <c r="K318" s="674"/>
      <c r="L318" s="674"/>
      <c r="M318" s="674"/>
      <c r="N318" s="669"/>
      <c r="O318" s="670"/>
      <c r="P318" s="674"/>
      <c r="Q318" s="674"/>
    </row>
    <row r="319">
      <c r="A319" s="674"/>
      <c r="B319" s="674"/>
      <c r="C319" s="674"/>
      <c r="D319" s="674"/>
      <c r="E319" s="674"/>
      <c r="F319" s="683"/>
      <c r="G319" s="674"/>
      <c r="H319" s="674"/>
      <c r="I319" s="674"/>
      <c r="J319" s="674"/>
      <c r="K319" s="674"/>
      <c r="L319" s="674"/>
      <c r="M319" s="674"/>
      <c r="N319" s="669"/>
      <c r="O319" s="670"/>
      <c r="P319" s="674"/>
      <c r="Q319" s="674"/>
    </row>
    <row r="320">
      <c r="A320" s="674"/>
      <c r="B320" s="674"/>
      <c r="C320" s="674"/>
      <c r="D320" s="674"/>
      <c r="E320" s="674"/>
      <c r="F320" s="683"/>
      <c r="G320" s="674"/>
      <c r="H320" s="674"/>
      <c r="I320" s="674"/>
      <c r="J320" s="674"/>
      <c r="K320" s="674"/>
      <c r="L320" s="674"/>
      <c r="M320" s="674"/>
      <c r="N320" s="669"/>
      <c r="O320" s="670"/>
      <c r="P320" s="674"/>
      <c r="Q320" s="674"/>
    </row>
    <row r="321">
      <c r="A321" s="674"/>
      <c r="B321" s="674"/>
      <c r="C321" s="674"/>
      <c r="D321" s="674"/>
      <c r="E321" s="674"/>
      <c r="F321" s="683"/>
      <c r="G321" s="674"/>
      <c r="H321" s="674"/>
      <c r="I321" s="674"/>
      <c r="J321" s="674"/>
      <c r="K321" s="674"/>
      <c r="L321" s="674"/>
      <c r="M321" s="674"/>
      <c r="N321" s="669"/>
      <c r="O321" s="670"/>
      <c r="P321" s="674"/>
      <c r="Q321" s="674"/>
    </row>
    <row r="322">
      <c r="A322" s="674"/>
      <c r="B322" s="674"/>
      <c r="C322" s="674"/>
      <c r="D322" s="674"/>
      <c r="E322" s="674"/>
      <c r="F322" s="683"/>
      <c r="G322" s="674"/>
      <c r="H322" s="674"/>
      <c r="I322" s="674"/>
      <c r="J322" s="674"/>
      <c r="K322" s="674"/>
      <c r="L322" s="674"/>
      <c r="M322" s="674"/>
      <c r="N322" s="669"/>
      <c r="O322" s="670"/>
      <c r="P322" s="674"/>
      <c r="Q322" s="674"/>
    </row>
    <row r="323">
      <c r="A323" s="674"/>
      <c r="B323" s="674"/>
      <c r="C323" s="674"/>
      <c r="D323" s="674"/>
      <c r="E323" s="674"/>
      <c r="F323" s="683"/>
      <c r="G323" s="674"/>
      <c r="H323" s="674"/>
      <c r="I323" s="674"/>
      <c r="J323" s="674"/>
      <c r="K323" s="674"/>
      <c r="L323" s="674"/>
      <c r="M323" s="674"/>
      <c r="N323" s="669"/>
      <c r="O323" s="670"/>
      <c r="P323" s="674"/>
      <c r="Q323" s="674"/>
    </row>
    <row r="324">
      <c r="A324" s="674"/>
      <c r="B324" s="674"/>
      <c r="C324" s="674"/>
      <c r="D324" s="674"/>
      <c r="E324" s="674"/>
      <c r="F324" s="683"/>
      <c r="G324" s="674"/>
      <c r="H324" s="674"/>
      <c r="I324" s="674"/>
      <c r="J324" s="674"/>
      <c r="K324" s="674"/>
      <c r="L324" s="674"/>
      <c r="M324" s="674"/>
      <c r="N324" s="669"/>
      <c r="O324" s="670"/>
      <c r="P324" s="674"/>
      <c r="Q324" s="674"/>
    </row>
    <row r="325">
      <c r="A325" s="674"/>
      <c r="B325" s="674"/>
      <c r="C325" s="674"/>
      <c r="D325" s="674"/>
      <c r="E325" s="674"/>
      <c r="F325" s="683"/>
      <c r="G325" s="674"/>
      <c r="H325" s="674"/>
      <c r="I325" s="674"/>
      <c r="J325" s="674"/>
      <c r="K325" s="674"/>
      <c r="L325" s="674"/>
      <c r="M325" s="674"/>
      <c r="N325" s="669"/>
      <c r="O325" s="670"/>
      <c r="P325" s="674"/>
      <c r="Q325" s="674"/>
    </row>
    <row r="326">
      <c r="A326" s="674"/>
      <c r="B326" s="674"/>
      <c r="C326" s="674"/>
      <c r="D326" s="674"/>
      <c r="E326" s="674"/>
      <c r="F326" s="683"/>
      <c r="G326" s="674"/>
      <c r="H326" s="674"/>
      <c r="I326" s="674"/>
      <c r="J326" s="674"/>
      <c r="K326" s="674"/>
      <c r="L326" s="674"/>
      <c r="M326" s="674"/>
      <c r="N326" s="669"/>
      <c r="O326" s="670"/>
      <c r="P326" s="674"/>
      <c r="Q326" s="674"/>
    </row>
    <row r="327">
      <c r="A327" s="674"/>
      <c r="B327" s="674"/>
      <c r="C327" s="674"/>
      <c r="D327" s="674"/>
      <c r="E327" s="674"/>
      <c r="F327" s="683"/>
      <c r="G327" s="674"/>
      <c r="H327" s="674"/>
      <c r="I327" s="674"/>
      <c r="J327" s="674"/>
      <c r="K327" s="674"/>
      <c r="L327" s="674"/>
      <c r="M327" s="674"/>
      <c r="N327" s="669"/>
      <c r="O327" s="670"/>
      <c r="P327" s="674"/>
      <c r="Q327" s="674"/>
    </row>
    <row r="328">
      <c r="A328" s="674"/>
      <c r="B328" s="674"/>
      <c r="C328" s="674"/>
      <c r="D328" s="674"/>
      <c r="E328" s="674"/>
      <c r="F328" s="683"/>
      <c r="G328" s="674"/>
      <c r="H328" s="674"/>
      <c r="I328" s="674"/>
      <c r="J328" s="674"/>
      <c r="K328" s="674"/>
      <c r="L328" s="674"/>
      <c r="M328" s="674"/>
      <c r="N328" s="669"/>
      <c r="O328" s="670"/>
      <c r="P328" s="674"/>
      <c r="Q328" s="674"/>
    </row>
    <row r="329">
      <c r="A329" s="674"/>
      <c r="B329" s="674"/>
      <c r="C329" s="674"/>
      <c r="D329" s="674"/>
      <c r="E329" s="674"/>
      <c r="F329" s="683"/>
      <c r="G329" s="674"/>
      <c r="H329" s="674"/>
      <c r="I329" s="674"/>
      <c r="J329" s="674"/>
      <c r="K329" s="674"/>
      <c r="L329" s="674"/>
      <c r="M329" s="674"/>
      <c r="N329" s="669"/>
      <c r="O329" s="670"/>
      <c r="P329" s="674"/>
      <c r="Q329" s="674"/>
    </row>
    <row r="330">
      <c r="A330" s="674"/>
      <c r="B330" s="674"/>
      <c r="C330" s="674"/>
      <c r="D330" s="674"/>
      <c r="E330" s="674"/>
      <c r="F330" s="683"/>
      <c r="G330" s="674"/>
      <c r="H330" s="674"/>
      <c r="I330" s="674"/>
      <c r="J330" s="674"/>
      <c r="K330" s="674"/>
      <c r="L330" s="674"/>
      <c r="M330" s="674"/>
      <c r="N330" s="669"/>
      <c r="O330" s="670"/>
      <c r="P330" s="674"/>
      <c r="Q330" s="674"/>
    </row>
    <row r="331">
      <c r="A331" s="674"/>
      <c r="B331" s="674"/>
      <c r="C331" s="674"/>
      <c r="D331" s="674"/>
      <c r="E331" s="674"/>
      <c r="F331" s="683"/>
      <c r="G331" s="674"/>
      <c r="H331" s="674"/>
      <c r="I331" s="674"/>
      <c r="J331" s="674"/>
      <c r="K331" s="674"/>
      <c r="L331" s="674"/>
      <c r="M331" s="674"/>
      <c r="N331" s="669"/>
      <c r="O331" s="670"/>
      <c r="P331" s="674"/>
      <c r="Q331" s="674"/>
    </row>
    <row r="332">
      <c r="A332" s="674"/>
      <c r="B332" s="674"/>
      <c r="C332" s="674"/>
      <c r="D332" s="674"/>
      <c r="E332" s="674"/>
      <c r="F332" s="683"/>
      <c r="G332" s="674"/>
      <c r="H332" s="674"/>
      <c r="I332" s="674"/>
      <c r="J332" s="674"/>
      <c r="K332" s="674"/>
      <c r="L332" s="674"/>
      <c r="M332" s="674"/>
      <c r="N332" s="669"/>
      <c r="O332" s="670"/>
      <c r="P332" s="674"/>
      <c r="Q332" s="674"/>
    </row>
    <row r="333">
      <c r="A333" s="674"/>
      <c r="B333" s="674"/>
      <c r="C333" s="674"/>
      <c r="D333" s="674"/>
      <c r="E333" s="674"/>
      <c r="F333" s="683"/>
      <c r="G333" s="674"/>
      <c r="H333" s="674"/>
      <c r="I333" s="674"/>
      <c r="J333" s="674"/>
      <c r="K333" s="674"/>
      <c r="L333" s="674"/>
      <c r="M333" s="674"/>
      <c r="N333" s="669"/>
      <c r="O333" s="670"/>
      <c r="P333" s="674"/>
      <c r="Q333" s="674"/>
    </row>
    <row r="334">
      <c r="A334" s="674"/>
      <c r="B334" s="674"/>
      <c r="C334" s="674"/>
      <c r="D334" s="674"/>
      <c r="E334" s="674"/>
      <c r="F334" s="683"/>
      <c r="G334" s="674"/>
      <c r="H334" s="674"/>
      <c r="I334" s="674"/>
      <c r="J334" s="674"/>
      <c r="K334" s="674"/>
      <c r="L334" s="674"/>
      <c r="M334" s="674"/>
      <c r="N334" s="669"/>
      <c r="O334" s="670"/>
      <c r="P334" s="674"/>
      <c r="Q334" s="674"/>
    </row>
    <row r="335">
      <c r="A335" s="674"/>
      <c r="B335" s="674"/>
      <c r="C335" s="674"/>
      <c r="D335" s="674"/>
      <c r="E335" s="674"/>
      <c r="F335" s="683"/>
      <c r="G335" s="674"/>
      <c r="H335" s="674"/>
      <c r="I335" s="674"/>
      <c r="J335" s="674"/>
      <c r="K335" s="674"/>
      <c r="L335" s="674"/>
      <c r="M335" s="674"/>
      <c r="N335" s="669"/>
      <c r="O335" s="670"/>
      <c r="P335" s="674"/>
      <c r="Q335" s="674"/>
    </row>
    <row r="336">
      <c r="A336" s="674"/>
      <c r="B336" s="674"/>
      <c r="C336" s="674"/>
      <c r="D336" s="674"/>
      <c r="E336" s="674"/>
      <c r="F336" s="683"/>
      <c r="G336" s="674"/>
      <c r="H336" s="674"/>
      <c r="I336" s="674"/>
      <c r="J336" s="674"/>
      <c r="K336" s="674"/>
      <c r="L336" s="674"/>
      <c r="M336" s="674"/>
      <c r="N336" s="669"/>
      <c r="O336" s="670"/>
      <c r="P336" s="674"/>
      <c r="Q336" s="674"/>
    </row>
    <row r="337">
      <c r="A337" s="674"/>
      <c r="B337" s="674"/>
      <c r="C337" s="674"/>
      <c r="D337" s="674"/>
      <c r="E337" s="674"/>
      <c r="F337" s="683"/>
      <c r="G337" s="674"/>
      <c r="H337" s="674"/>
      <c r="I337" s="674"/>
      <c r="J337" s="674"/>
      <c r="K337" s="674"/>
      <c r="L337" s="674"/>
      <c r="M337" s="674"/>
      <c r="N337" s="669"/>
      <c r="O337" s="670"/>
      <c r="P337" s="674"/>
      <c r="Q337" s="674"/>
    </row>
    <row r="338">
      <c r="A338" s="674"/>
      <c r="B338" s="674"/>
      <c r="C338" s="674"/>
      <c r="D338" s="674"/>
      <c r="E338" s="674"/>
      <c r="F338" s="683"/>
      <c r="G338" s="674"/>
      <c r="H338" s="674"/>
      <c r="I338" s="674"/>
      <c r="J338" s="674"/>
      <c r="K338" s="674"/>
      <c r="L338" s="674"/>
      <c r="M338" s="674"/>
      <c r="N338" s="669"/>
      <c r="O338" s="670"/>
      <c r="P338" s="674"/>
      <c r="Q338" s="674"/>
    </row>
    <row r="339">
      <c r="A339" s="674"/>
      <c r="B339" s="674"/>
      <c r="C339" s="674"/>
      <c r="D339" s="674"/>
      <c r="E339" s="674"/>
      <c r="F339" s="683"/>
      <c r="G339" s="674"/>
      <c r="H339" s="674"/>
      <c r="I339" s="674"/>
      <c r="J339" s="674"/>
      <c r="K339" s="674"/>
      <c r="L339" s="674"/>
      <c r="M339" s="674"/>
      <c r="N339" s="669"/>
      <c r="O339" s="670"/>
      <c r="P339" s="674"/>
      <c r="Q339" s="674"/>
    </row>
    <row r="340">
      <c r="A340" s="674"/>
      <c r="B340" s="674"/>
      <c r="C340" s="674"/>
      <c r="D340" s="674"/>
      <c r="E340" s="674"/>
      <c r="F340" s="683"/>
      <c r="G340" s="674"/>
      <c r="H340" s="674"/>
      <c r="I340" s="674"/>
      <c r="J340" s="674"/>
      <c r="K340" s="674"/>
      <c r="L340" s="674"/>
      <c r="M340" s="674"/>
      <c r="N340" s="669"/>
      <c r="O340" s="670"/>
      <c r="P340" s="674"/>
      <c r="Q340" s="674"/>
    </row>
    <row r="341">
      <c r="A341" s="674"/>
      <c r="B341" s="674"/>
      <c r="C341" s="674"/>
      <c r="D341" s="674"/>
      <c r="E341" s="674"/>
      <c r="F341" s="683"/>
      <c r="G341" s="674"/>
      <c r="H341" s="674"/>
      <c r="I341" s="674"/>
      <c r="J341" s="674"/>
      <c r="K341" s="674"/>
      <c r="L341" s="674"/>
      <c r="M341" s="674"/>
      <c r="N341" s="669"/>
      <c r="O341" s="670"/>
      <c r="P341" s="674"/>
      <c r="Q341" s="674"/>
    </row>
    <row r="342">
      <c r="A342" s="674"/>
      <c r="B342" s="674"/>
      <c r="C342" s="674"/>
      <c r="D342" s="674"/>
      <c r="E342" s="674"/>
      <c r="F342" s="683"/>
      <c r="G342" s="674"/>
      <c r="H342" s="674"/>
      <c r="I342" s="674"/>
      <c r="J342" s="674"/>
      <c r="K342" s="674"/>
      <c r="L342" s="674"/>
      <c r="M342" s="674"/>
      <c r="N342" s="669"/>
      <c r="O342" s="670"/>
      <c r="P342" s="674"/>
      <c r="Q342" s="674"/>
    </row>
    <row r="343">
      <c r="A343" s="674"/>
      <c r="B343" s="674"/>
      <c r="C343" s="674"/>
      <c r="D343" s="674"/>
      <c r="E343" s="674"/>
      <c r="F343" s="683"/>
      <c r="G343" s="674"/>
      <c r="H343" s="674"/>
      <c r="I343" s="674"/>
      <c r="J343" s="674"/>
      <c r="K343" s="674"/>
      <c r="L343" s="674"/>
      <c r="M343" s="674"/>
      <c r="N343" s="669"/>
      <c r="O343" s="670"/>
      <c r="P343" s="674"/>
      <c r="Q343" s="674"/>
    </row>
    <row r="344">
      <c r="A344" s="674"/>
      <c r="B344" s="674"/>
      <c r="C344" s="674"/>
      <c r="D344" s="674"/>
      <c r="E344" s="674"/>
      <c r="F344" s="683"/>
      <c r="G344" s="674"/>
      <c r="H344" s="674"/>
      <c r="I344" s="674"/>
      <c r="J344" s="674"/>
      <c r="K344" s="674"/>
      <c r="L344" s="674"/>
      <c r="M344" s="674"/>
      <c r="N344" s="669"/>
      <c r="O344" s="670"/>
      <c r="P344" s="674"/>
      <c r="Q344" s="674"/>
    </row>
    <row r="345">
      <c r="A345" s="674"/>
      <c r="B345" s="674"/>
      <c r="C345" s="674"/>
      <c r="D345" s="674"/>
      <c r="E345" s="674"/>
      <c r="F345" s="683"/>
      <c r="G345" s="674"/>
      <c r="H345" s="674"/>
      <c r="I345" s="674"/>
      <c r="J345" s="674"/>
      <c r="K345" s="674"/>
      <c r="L345" s="674"/>
      <c r="M345" s="674"/>
      <c r="N345" s="669"/>
      <c r="O345" s="670"/>
      <c r="P345" s="674"/>
      <c r="Q345" s="674"/>
    </row>
    <row r="346">
      <c r="A346" s="674"/>
      <c r="B346" s="674"/>
      <c r="C346" s="674"/>
      <c r="D346" s="674"/>
      <c r="E346" s="674"/>
      <c r="F346" s="683"/>
      <c r="G346" s="674"/>
      <c r="H346" s="674"/>
      <c r="I346" s="674"/>
      <c r="J346" s="674"/>
      <c r="K346" s="674"/>
      <c r="L346" s="674"/>
      <c r="M346" s="674"/>
      <c r="N346" s="669"/>
      <c r="O346" s="670"/>
      <c r="P346" s="674"/>
      <c r="Q346" s="674"/>
    </row>
    <row r="347">
      <c r="A347" s="674"/>
      <c r="B347" s="674"/>
      <c r="C347" s="674"/>
      <c r="D347" s="674"/>
      <c r="E347" s="674"/>
      <c r="F347" s="683"/>
      <c r="G347" s="674"/>
      <c r="H347" s="674"/>
      <c r="I347" s="674"/>
      <c r="J347" s="674"/>
      <c r="K347" s="674"/>
      <c r="L347" s="674"/>
      <c r="M347" s="674"/>
      <c r="N347" s="669"/>
      <c r="O347" s="670"/>
      <c r="P347" s="674"/>
      <c r="Q347" s="674"/>
    </row>
    <row r="348">
      <c r="A348" s="674"/>
      <c r="B348" s="674"/>
      <c r="C348" s="674"/>
      <c r="D348" s="674"/>
      <c r="E348" s="674"/>
      <c r="F348" s="683"/>
      <c r="G348" s="674"/>
      <c r="H348" s="674"/>
      <c r="I348" s="674"/>
      <c r="J348" s="674"/>
      <c r="K348" s="674"/>
      <c r="L348" s="674"/>
      <c r="M348" s="674"/>
      <c r="N348" s="669"/>
      <c r="O348" s="670"/>
      <c r="P348" s="674"/>
      <c r="Q348" s="674"/>
    </row>
    <row r="349">
      <c r="A349" s="674"/>
      <c r="B349" s="674"/>
      <c r="C349" s="674"/>
      <c r="D349" s="674"/>
      <c r="E349" s="674"/>
      <c r="F349" s="683"/>
      <c r="G349" s="674"/>
      <c r="H349" s="674"/>
      <c r="I349" s="674"/>
      <c r="J349" s="674"/>
      <c r="K349" s="674"/>
      <c r="L349" s="674"/>
      <c r="M349" s="674"/>
      <c r="N349" s="669"/>
      <c r="O349" s="670"/>
      <c r="P349" s="674"/>
      <c r="Q349" s="674"/>
    </row>
    <row r="350">
      <c r="A350" s="674"/>
      <c r="B350" s="674"/>
      <c r="C350" s="674"/>
      <c r="D350" s="674"/>
      <c r="E350" s="674"/>
      <c r="F350" s="683"/>
      <c r="G350" s="674"/>
      <c r="H350" s="674"/>
      <c r="I350" s="674"/>
      <c r="J350" s="674"/>
      <c r="K350" s="674"/>
      <c r="L350" s="674"/>
      <c r="M350" s="674"/>
      <c r="N350" s="669"/>
      <c r="O350" s="670"/>
      <c r="P350" s="674"/>
      <c r="Q350" s="674"/>
    </row>
    <row r="351">
      <c r="A351" s="674"/>
      <c r="B351" s="674"/>
      <c r="C351" s="674"/>
      <c r="D351" s="674"/>
      <c r="E351" s="674"/>
      <c r="F351" s="683"/>
      <c r="G351" s="674"/>
      <c r="H351" s="674"/>
      <c r="I351" s="674"/>
      <c r="J351" s="674"/>
      <c r="K351" s="674"/>
      <c r="L351" s="674"/>
      <c r="M351" s="674"/>
      <c r="N351" s="669"/>
      <c r="O351" s="670"/>
      <c r="P351" s="674"/>
      <c r="Q351" s="674"/>
    </row>
    <row r="352">
      <c r="A352" s="674"/>
      <c r="B352" s="674"/>
      <c r="C352" s="674"/>
      <c r="D352" s="674"/>
      <c r="E352" s="674"/>
      <c r="F352" s="683"/>
      <c r="G352" s="674"/>
      <c r="H352" s="674"/>
      <c r="I352" s="674"/>
      <c r="J352" s="674"/>
      <c r="K352" s="674"/>
      <c r="L352" s="674"/>
      <c r="M352" s="674"/>
      <c r="N352" s="669"/>
      <c r="O352" s="670"/>
      <c r="P352" s="674"/>
      <c r="Q352" s="674"/>
    </row>
    <row r="353">
      <c r="A353" s="674"/>
      <c r="B353" s="674"/>
      <c r="C353" s="674"/>
      <c r="D353" s="674"/>
      <c r="E353" s="674"/>
      <c r="F353" s="683"/>
      <c r="G353" s="674"/>
      <c r="H353" s="674"/>
      <c r="I353" s="674"/>
      <c r="J353" s="674"/>
      <c r="K353" s="674"/>
      <c r="L353" s="674"/>
      <c r="M353" s="674"/>
      <c r="N353" s="669"/>
      <c r="O353" s="670"/>
      <c r="P353" s="674"/>
      <c r="Q353" s="674"/>
    </row>
    <row r="354">
      <c r="A354" s="674"/>
      <c r="B354" s="674"/>
      <c r="C354" s="674"/>
      <c r="D354" s="674"/>
      <c r="E354" s="674"/>
      <c r="F354" s="683"/>
      <c r="G354" s="674"/>
      <c r="H354" s="674"/>
      <c r="I354" s="674"/>
      <c r="J354" s="674"/>
      <c r="K354" s="674"/>
      <c r="L354" s="674"/>
      <c r="M354" s="674"/>
      <c r="N354" s="669"/>
      <c r="O354" s="670"/>
      <c r="P354" s="674"/>
      <c r="Q354" s="674"/>
    </row>
    <row r="355">
      <c r="A355" s="674"/>
      <c r="B355" s="674"/>
      <c r="C355" s="674"/>
      <c r="D355" s="674"/>
      <c r="E355" s="674"/>
      <c r="F355" s="683"/>
      <c r="G355" s="674"/>
      <c r="H355" s="674"/>
      <c r="I355" s="674"/>
      <c r="J355" s="674"/>
      <c r="K355" s="674"/>
      <c r="L355" s="674"/>
      <c r="M355" s="674"/>
      <c r="N355" s="669"/>
      <c r="O355" s="670"/>
      <c r="P355" s="674"/>
      <c r="Q355" s="674"/>
    </row>
    <row r="356">
      <c r="A356" s="674"/>
      <c r="B356" s="674"/>
      <c r="C356" s="674"/>
      <c r="D356" s="674"/>
      <c r="E356" s="674"/>
      <c r="F356" s="683"/>
      <c r="G356" s="674"/>
      <c r="H356" s="674"/>
      <c r="I356" s="674"/>
      <c r="J356" s="674"/>
      <c r="K356" s="674"/>
      <c r="L356" s="674"/>
      <c r="M356" s="674"/>
      <c r="N356" s="669"/>
      <c r="O356" s="670"/>
      <c r="P356" s="674"/>
      <c r="Q356" s="674"/>
    </row>
    <row r="357">
      <c r="A357" s="674"/>
      <c r="B357" s="674"/>
      <c r="C357" s="674"/>
      <c r="D357" s="674"/>
      <c r="E357" s="674"/>
      <c r="F357" s="683"/>
      <c r="G357" s="674"/>
      <c r="H357" s="674"/>
      <c r="I357" s="674"/>
      <c r="J357" s="674"/>
      <c r="K357" s="674"/>
      <c r="L357" s="674"/>
      <c r="M357" s="674"/>
      <c r="N357" s="669"/>
      <c r="O357" s="670"/>
      <c r="P357" s="674"/>
      <c r="Q357" s="674"/>
    </row>
    <row r="358">
      <c r="A358" s="674"/>
      <c r="B358" s="674"/>
      <c r="C358" s="674"/>
      <c r="D358" s="674"/>
      <c r="E358" s="674"/>
      <c r="F358" s="683"/>
      <c r="G358" s="674"/>
      <c r="H358" s="674"/>
      <c r="I358" s="674"/>
      <c r="J358" s="674"/>
      <c r="K358" s="674"/>
      <c r="L358" s="674"/>
      <c r="M358" s="674"/>
      <c r="N358" s="669"/>
      <c r="O358" s="670"/>
      <c r="P358" s="674"/>
      <c r="Q358" s="674"/>
    </row>
    <row r="359">
      <c r="A359" s="674"/>
      <c r="B359" s="674"/>
      <c r="C359" s="674"/>
      <c r="D359" s="674"/>
      <c r="E359" s="674"/>
      <c r="F359" s="683"/>
      <c r="G359" s="674"/>
      <c r="H359" s="674"/>
      <c r="I359" s="674"/>
      <c r="J359" s="674"/>
      <c r="K359" s="674"/>
      <c r="L359" s="674"/>
      <c r="M359" s="674"/>
      <c r="N359" s="669"/>
      <c r="O359" s="670"/>
      <c r="P359" s="674"/>
      <c r="Q359" s="674"/>
    </row>
    <row r="360">
      <c r="A360" s="674"/>
      <c r="B360" s="674"/>
      <c r="C360" s="674"/>
      <c r="D360" s="674"/>
      <c r="E360" s="674"/>
      <c r="F360" s="683"/>
      <c r="G360" s="674"/>
      <c r="H360" s="674"/>
      <c r="I360" s="674"/>
      <c r="J360" s="674"/>
      <c r="K360" s="674"/>
      <c r="L360" s="674"/>
      <c r="M360" s="674"/>
      <c r="N360" s="669"/>
      <c r="O360" s="670"/>
      <c r="P360" s="674"/>
      <c r="Q360" s="674"/>
    </row>
    <row r="361">
      <c r="A361" s="674"/>
      <c r="B361" s="674"/>
      <c r="C361" s="674"/>
      <c r="D361" s="674"/>
      <c r="E361" s="674"/>
      <c r="F361" s="683"/>
      <c r="G361" s="674"/>
      <c r="H361" s="674"/>
      <c r="I361" s="674"/>
      <c r="J361" s="674"/>
      <c r="K361" s="674"/>
      <c r="L361" s="674"/>
      <c r="M361" s="674"/>
      <c r="N361" s="669"/>
      <c r="O361" s="670"/>
      <c r="P361" s="674"/>
      <c r="Q361" s="674"/>
    </row>
    <row r="362">
      <c r="A362" s="674"/>
      <c r="B362" s="674"/>
      <c r="C362" s="674"/>
      <c r="D362" s="674"/>
      <c r="E362" s="674"/>
      <c r="F362" s="683"/>
      <c r="G362" s="674"/>
      <c r="H362" s="674"/>
      <c r="I362" s="674"/>
      <c r="J362" s="674"/>
      <c r="K362" s="674"/>
      <c r="L362" s="674"/>
      <c r="M362" s="674"/>
      <c r="N362" s="669"/>
      <c r="O362" s="670"/>
      <c r="P362" s="674"/>
      <c r="Q362" s="674"/>
    </row>
    <row r="363">
      <c r="A363" s="674"/>
      <c r="B363" s="674"/>
      <c r="C363" s="674"/>
      <c r="D363" s="674"/>
      <c r="E363" s="674"/>
      <c r="F363" s="683"/>
      <c r="G363" s="674"/>
      <c r="H363" s="674"/>
      <c r="I363" s="674"/>
      <c r="J363" s="674"/>
      <c r="K363" s="674"/>
      <c r="L363" s="674"/>
      <c r="M363" s="674"/>
      <c r="N363" s="669"/>
      <c r="O363" s="670"/>
      <c r="P363" s="674"/>
      <c r="Q363" s="674"/>
    </row>
    <row r="364">
      <c r="A364" s="674"/>
      <c r="B364" s="674"/>
      <c r="C364" s="674"/>
      <c r="D364" s="674"/>
      <c r="E364" s="674"/>
      <c r="F364" s="683"/>
      <c r="G364" s="674"/>
      <c r="H364" s="674"/>
      <c r="I364" s="674"/>
      <c r="J364" s="674"/>
      <c r="K364" s="674"/>
      <c r="L364" s="674"/>
      <c r="M364" s="674"/>
      <c r="N364" s="669"/>
      <c r="O364" s="670"/>
      <c r="P364" s="674"/>
      <c r="Q364" s="674"/>
    </row>
    <row r="365">
      <c r="A365" s="674"/>
      <c r="B365" s="674"/>
      <c r="C365" s="674"/>
      <c r="D365" s="674"/>
      <c r="E365" s="674"/>
      <c r="F365" s="683"/>
      <c r="G365" s="674"/>
      <c r="H365" s="674"/>
      <c r="I365" s="674"/>
      <c r="J365" s="674"/>
      <c r="K365" s="674"/>
      <c r="L365" s="674"/>
      <c r="M365" s="674"/>
      <c r="N365" s="669"/>
      <c r="O365" s="670"/>
      <c r="P365" s="674"/>
      <c r="Q365" s="674"/>
    </row>
    <row r="366">
      <c r="A366" s="674"/>
      <c r="B366" s="674"/>
      <c r="C366" s="674"/>
      <c r="D366" s="674"/>
      <c r="E366" s="674"/>
      <c r="F366" s="683"/>
      <c r="G366" s="674"/>
      <c r="H366" s="674"/>
      <c r="I366" s="674"/>
      <c r="J366" s="674"/>
      <c r="K366" s="674"/>
      <c r="L366" s="674"/>
      <c r="M366" s="674"/>
      <c r="N366" s="669"/>
      <c r="O366" s="670"/>
      <c r="P366" s="674"/>
      <c r="Q366" s="674"/>
    </row>
    <row r="367">
      <c r="A367" s="674"/>
      <c r="B367" s="674"/>
      <c r="C367" s="674"/>
      <c r="D367" s="674"/>
      <c r="E367" s="674"/>
      <c r="F367" s="683"/>
      <c r="G367" s="674"/>
      <c r="H367" s="674"/>
      <c r="I367" s="674"/>
      <c r="J367" s="674"/>
      <c r="K367" s="674"/>
      <c r="L367" s="674"/>
      <c r="M367" s="674"/>
      <c r="N367" s="669"/>
      <c r="O367" s="670"/>
      <c r="P367" s="674"/>
      <c r="Q367" s="674"/>
    </row>
    <row r="368">
      <c r="A368" s="674"/>
      <c r="B368" s="674"/>
      <c r="C368" s="674"/>
      <c r="D368" s="674"/>
      <c r="E368" s="674"/>
      <c r="F368" s="683"/>
      <c r="G368" s="674"/>
      <c r="H368" s="674"/>
      <c r="I368" s="674"/>
      <c r="J368" s="674"/>
      <c r="K368" s="674"/>
      <c r="L368" s="674"/>
      <c r="M368" s="674"/>
      <c r="N368" s="669"/>
      <c r="O368" s="670"/>
      <c r="P368" s="674"/>
      <c r="Q368" s="674"/>
    </row>
    <row r="369">
      <c r="A369" s="674"/>
      <c r="B369" s="674"/>
      <c r="C369" s="674"/>
      <c r="D369" s="674"/>
      <c r="E369" s="674"/>
      <c r="F369" s="683"/>
      <c r="G369" s="674"/>
      <c r="H369" s="674"/>
      <c r="I369" s="674"/>
      <c r="J369" s="674"/>
      <c r="K369" s="674"/>
      <c r="L369" s="674"/>
      <c r="M369" s="674"/>
      <c r="N369" s="669"/>
      <c r="O369" s="670"/>
      <c r="P369" s="674"/>
      <c r="Q369" s="674"/>
    </row>
    <row r="370">
      <c r="A370" s="674"/>
      <c r="B370" s="674"/>
      <c r="C370" s="674"/>
      <c r="D370" s="674"/>
      <c r="E370" s="674"/>
      <c r="F370" s="683"/>
      <c r="G370" s="674"/>
      <c r="H370" s="674"/>
      <c r="I370" s="674"/>
      <c r="J370" s="674"/>
      <c r="K370" s="674"/>
      <c r="L370" s="674"/>
      <c r="M370" s="674"/>
      <c r="N370" s="669"/>
      <c r="O370" s="670"/>
      <c r="P370" s="674"/>
      <c r="Q370" s="674"/>
    </row>
    <row r="371">
      <c r="A371" s="674"/>
      <c r="B371" s="674"/>
      <c r="C371" s="674"/>
      <c r="D371" s="674"/>
      <c r="E371" s="674"/>
      <c r="F371" s="683"/>
      <c r="G371" s="674"/>
      <c r="H371" s="674"/>
      <c r="I371" s="674"/>
      <c r="J371" s="674"/>
      <c r="K371" s="674"/>
      <c r="L371" s="674"/>
      <c r="M371" s="674"/>
      <c r="N371" s="669"/>
      <c r="O371" s="670"/>
      <c r="P371" s="674"/>
      <c r="Q371" s="674"/>
    </row>
    <row r="372">
      <c r="A372" s="674"/>
      <c r="B372" s="674"/>
      <c r="C372" s="674"/>
      <c r="D372" s="674"/>
      <c r="E372" s="674"/>
      <c r="F372" s="683"/>
      <c r="G372" s="674"/>
      <c r="H372" s="674"/>
      <c r="I372" s="674"/>
      <c r="J372" s="674"/>
      <c r="K372" s="674"/>
      <c r="L372" s="674"/>
      <c r="M372" s="674"/>
      <c r="N372" s="669"/>
      <c r="O372" s="670"/>
      <c r="P372" s="674"/>
      <c r="Q372" s="674"/>
    </row>
    <row r="373">
      <c r="A373" s="674"/>
      <c r="B373" s="674"/>
      <c r="C373" s="674"/>
      <c r="D373" s="674"/>
      <c r="E373" s="674"/>
      <c r="F373" s="683"/>
      <c r="G373" s="674"/>
      <c r="H373" s="674"/>
      <c r="I373" s="674"/>
      <c r="J373" s="674"/>
      <c r="K373" s="674"/>
      <c r="L373" s="674"/>
      <c r="M373" s="674"/>
      <c r="N373" s="669"/>
      <c r="O373" s="670"/>
      <c r="P373" s="674"/>
      <c r="Q373" s="674"/>
    </row>
    <row r="374">
      <c r="A374" s="674"/>
      <c r="B374" s="674"/>
      <c r="C374" s="674"/>
      <c r="D374" s="674"/>
      <c r="E374" s="674"/>
      <c r="F374" s="683"/>
      <c r="G374" s="674"/>
      <c r="H374" s="674"/>
      <c r="I374" s="674"/>
      <c r="J374" s="674"/>
      <c r="K374" s="674"/>
      <c r="L374" s="674"/>
      <c r="M374" s="674"/>
      <c r="N374" s="669"/>
      <c r="O374" s="670"/>
      <c r="P374" s="674"/>
      <c r="Q374" s="674"/>
    </row>
    <row r="375">
      <c r="A375" s="674"/>
      <c r="B375" s="674"/>
      <c r="C375" s="674"/>
      <c r="D375" s="674"/>
      <c r="E375" s="674"/>
      <c r="F375" s="683"/>
      <c r="G375" s="674"/>
      <c r="H375" s="674"/>
      <c r="I375" s="674"/>
      <c r="J375" s="674"/>
      <c r="K375" s="674"/>
      <c r="L375" s="674"/>
      <c r="M375" s="674"/>
      <c r="N375" s="669"/>
      <c r="O375" s="670"/>
      <c r="P375" s="674"/>
      <c r="Q375" s="674"/>
    </row>
    <row r="376">
      <c r="A376" s="674"/>
      <c r="B376" s="674"/>
      <c r="C376" s="674"/>
      <c r="D376" s="674"/>
      <c r="E376" s="674"/>
      <c r="F376" s="683"/>
      <c r="G376" s="674"/>
      <c r="H376" s="674"/>
      <c r="I376" s="674"/>
      <c r="J376" s="674"/>
      <c r="K376" s="674"/>
      <c r="L376" s="674"/>
      <c r="M376" s="674"/>
      <c r="N376" s="669"/>
      <c r="O376" s="670"/>
      <c r="P376" s="674"/>
      <c r="Q376" s="674"/>
    </row>
    <row r="377">
      <c r="A377" s="674"/>
      <c r="B377" s="674"/>
      <c r="C377" s="674"/>
      <c r="D377" s="674"/>
      <c r="E377" s="674"/>
      <c r="F377" s="683"/>
      <c r="G377" s="674"/>
      <c r="H377" s="674"/>
      <c r="I377" s="674"/>
      <c r="J377" s="674"/>
      <c r="K377" s="674"/>
      <c r="L377" s="674"/>
      <c r="M377" s="674"/>
      <c r="N377" s="669"/>
      <c r="O377" s="670"/>
      <c r="P377" s="674"/>
      <c r="Q377" s="674"/>
    </row>
    <row r="378">
      <c r="A378" s="674"/>
      <c r="B378" s="674"/>
      <c r="C378" s="674"/>
      <c r="D378" s="674"/>
      <c r="E378" s="674"/>
      <c r="F378" s="683"/>
      <c r="G378" s="674"/>
      <c r="H378" s="674"/>
      <c r="I378" s="674"/>
      <c r="J378" s="674"/>
      <c r="K378" s="674"/>
      <c r="L378" s="674"/>
      <c r="M378" s="674"/>
      <c r="N378" s="669"/>
      <c r="O378" s="670"/>
      <c r="P378" s="674"/>
      <c r="Q378" s="674"/>
    </row>
    <row r="379">
      <c r="A379" s="674"/>
      <c r="B379" s="674"/>
      <c r="C379" s="674"/>
      <c r="D379" s="674"/>
      <c r="E379" s="674"/>
      <c r="F379" s="683"/>
      <c r="G379" s="674"/>
      <c r="H379" s="674"/>
      <c r="I379" s="674"/>
      <c r="J379" s="674"/>
      <c r="K379" s="674"/>
      <c r="L379" s="674"/>
      <c r="M379" s="674"/>
      <c r="N379" s="669"/>
      <c r="O379" s="670"/>
      <c r="P379" s="674"/>
      <c r="Q379" s="674"/>
    </row>
    <row r="380">
      <c r="A380" s="674"/>
      <c r="B380" s="674"/>
      <c r="C380" s="674"/>
      <c r="D380" s="674"/>
      <c r="E380" s="674"/>
      <c r="F380" s="683"/>
      <c r="G380" s="674"/>
      <c r="H380" s="674"/>
      <c r="I380" s="674"/>
      <c r="J380" s="674"/>
      <c r="K380" s="674"/>
      <c r="L380" s="674"/>
      <c r="M380" s="674"/>
      <c r="N380" s="669"/>
      <c r="O380" s="670"/>
      <c r="P380" s="674"/>
      <c r="Q380" s="674"/>
    </row>
    <row r="381">
      <c r="A381" s="674"/>
      <c r="B381" s="674"/>
      <c r="C381" s="674"/>
      <c r="D381" s="674"/>
      <c r="E381" s="674"/>
      <c r="F381" s="683"/>
      <c r="G381" s="674"/>
      <c r="H381" s="674"/>
      <c r="I381" s="674"/>
      <c r="J381" s="674"/>
      <c r="K381" s="674"/>
      <c r="L381" s="674"/>
      <c r="M381" s="674"/>
      <c r="N381" s="669"/>
      <c r="O381" s="670"/>
      <c r="P381" s="674"/>
      <c r="Q381" s="674"/>
    </row>
    <row r="382">
      <c r="A382" s="674"/>
      <c r="B382" s="674"/>
      <c r="C382" s="674"/>
      <c r="D382" s="674"/>
      <c r="E382" s="674"/>
      <c r="F382" s="683"/>
      <c r="G382" s="674"/>
      <c r="H382" s="674"/>
      <c r="I382" s="674"/>
      <c r="J382" s="674"/>
      <c r="K382" s="674"/>
      <c r="L382" s="674"/>
      <c r="M382" s="674"/>
      <c r="N382" s="669"/>
      <c r="O382" s="670"/>
      <c r="P382" s="674"/>
      <c r="Q382" s="674"/>
    </row>
    <row r="383">
      <c r="A383" s="674"/>
      <c r="B383" s="674"/>
      <c r="C383" s="674"/>
      <c r="D383" s="674"/>
      <c r="E383" s="674"/>
      <c r="F383" s="683"/>
      <c r="G383" s="674"/>
      <c r="H383" s="674"/>
      <c r="I383" s="674"/>
      <c r="J383" s="674"/>
      <c r="K383" s="674"/>
      <c r="L383" s="674"/>
      <c r="M383" s="674"/>
      <c r="N383" s="669"/>
      <c r="O383" s="670"/>
      <c r="P383" s="674"/>
      <c r="Q383" s="674"/>
    </row>
    <row r="384">
      <c r="A384" s="674"/>
      <c r="B384" s="674"/>
      <c r="C384" s="674"/>
      <c r="D384" s="674"/>
      <c r="E384" s="674"/>
      <c r="F384" s="683"/>
      <c r="G384" s="674"/>
      <c r="H384" s="674"/>
      <c r="I384" s="674"/>
      <c r="J384" s="674"/>
      <c r="K384" s="674"/>
      <c r="L384" s="674"/>
      <c r="M384" s="674"/>
      <c r="N384" s="669"/>
      <c r="O384" s="670"/>
      <c r="P384" s="674"/>
      <c r="Q384" s="674"/>
    </row>
    <row r="385">
      <c r="A385" s="674"/>
      <c r="B385" s="674"/>
      <c r="C385" s="674"/>
      <c r="D385" s="674"/>
      <c r="E385" s="674"/>
      <c r="F385" s="683"/>
      <c r="G385" s="674"/>
      <c r="H385" s="674"/>
      <c r="I385" s="674"/>
      <c r="J385" s="674"/>
      <c r="K385" s="674"/>
      <c r="L385" s="674"/>
      <c r="M385" s="674"/>
      <c r="N385" s="669"/>
      <c r="O385" s="670"/>
      <c r="P385" s="674"/>
      <c r="Q385" s="674"/>
    </row>
    <row r="386">
      <c r="A386" s="674"/>
      <c r="B386" s="674"/>
      <c r="C386" s="674"/>
      <c r="D386" s="674"/>
      <c r="E386" s="674"/>
      <c r="F386" s="683"/>
      <c r="G386" s="674"/>
      <c r="H386" s="674"/>
      <c r="I386" s="674"/>
      <c r="J386" s="674"/>
      <c r="K386" s="674"/>
      <c r="L386" s="674"/>
      <c r="M386" s="674"/>
      <c r="N386" s="669"/>
      <c r="O386" s="670"/>
      <c r="P386" s="674"/>
      <c r="Q386" s="674"/>
    </row>
    <row r="387">
      <c r="A387" s="674"/>
      <c r="B387" s="674"/>
      <c r="C387" s="674"/>
      <c r="D387" s="674"/>
      <c r="E387" s="674"/>
      <c r="F387" s="683"/>
      <c r="G387" s="674"/>
      <c r="H387" s="674"/>
      <c r="I387" s="674"/>
      <c r="J387" s="674"/>
      <c r="K387" s="674"/>
      <c r="L387" s="674"/>
      <c r="M387" s="674"/>
      <c r="N387" s="669"/>
      <c r="O387" s="670"/>
      <c r="P387" s="674"/>
      <c r="Q387" s="674"/>
    </row>
    <row r="388">
      <c r="A388" s="674"/>
      <c r="B388" s="674"/>
      <c r="C388" s="674"/>
      <c r="D388" s="674"/>
      <c r="E388" s="674"/>
      <c r="F388" s="683"/>
      <c r="G388" s="674"/>
      <c r="H388" s="674"/>
      <c r="I388" s="674"/>
      <c r="J388" s="674"/>
      <c r="K388" s="674"/>
      <c r="L388" s="674"/>
      <c r="M388" s="674"/>
      <c r="N388" s="669"/>
      <c r="O388" s="670"/>
      <c r="P388" s="674"/>
      <c r="Q388" s="674"/>
    </row>
    <row r="389">
      <c r="A389" s="674"/>
      <c r="B389" s="674"/>
      <c r="C389" s="674"/>
      <c r="D389" s="674"/>
      <c r="E389" s="674"/>
      <c r="F389" s="683"/>
      <c r="G389" s="674"/>
      <c r="H389" s="674"/>
      <c r="I389" s="674"/>
      <c r="J389" s="674"/>
      <c r="K389" s="674"/>
      <c r="L389" s="674"/>
      <c r="M389" s="674"/>
      <c r="N389" s="669"/>
      <c r="O389" s="670"/>
      <c r="P389" s="674"/>
      <c r="Q389" s="674"/>
    </row>
    <row r="390">
      <c r="A390" s="674"/>
      <c r="B390" s="674"/>
      <c r="C390" s="674"/>
      <c r="D390" s="674"/>
      <c r="E390" s="674"/>
      <c r="F390" s="683"/>
      <c r="G390" s="674"/>
      <c r="H390" s="674"/>
      <c r="I390" s="674"/>
      <c r="J390" s="674"/>
      <c r="K390" s="674"/>
      <c r="L390" s="674"/>
      <c r="M390" s="674"/>
      <c r="N390" s="669"/>
      <c r="O390" s="670"/>
      <c r="P390" s="674"/>
      <c r="Q390" s="674"/>
    </row>
    <row r="391">
      <c r="A391" s="674"/>
      <c r="B391" s="674"/>
      <c r="C391" s="674"/>
      <c r="D391" s="674"/>
      <c r="E391" s="674"/>
      <c r="F391" s="683"/>
      <c r="G391" s="674"/>
      <c r="H391" s="674"/>
      <c r="I391" s="674"/>
      <c r="J391" s="674"/>
      <c r="K391" s="674"/>
      <c r="L391" s="674"/>
      <c r="M391" s="674"/>
      <c r="N391" s="669"/>
      <c r="O391" s="670"/>
      <c r="P391" s="674"/>
      <c r="Q391" s="674"/>
    </row>
    <row r="392">
      <c r="A392" s="674"/>
      <c r="B392" s="674"/>
      <c r="C392" s="674"/>
      <c r="D392" s="674"/>
      <c r="E392" s="674"/>
      <c r="F392" s="683"/>
      <c r="G392" s="674"/>
      <c r="H392" s="674"/>
      <c r="I392" s="674"/>
      <c r="J392" s="674"/>
      <c r="K392" s="674"/>
      <c r="L392" s="674"/>
      <c r="M392" s="674"/>
      <c r="N392" s="669"/>
      <c r="O392" s="670"/>
      <c r="P392" s="674"/>
      <c r="Q392" s="674"/>
    </row>
    <row r="393">
      <c r="A393" s="674"/>
      <c r="B393" s="674"/>
      <c r="C393" s="674"/>
      <c r="D393" s="674"/>
      <c r="E393" s="674"/>
      <c r="F393" s="683"/>
      <c r="G393" s="674"/>
      <c r="H393" s="674"/>
      <c r="I393" s="674"/>
      <c r="J393" s="674"/>
      <c r="K393" s="674"/>
      <c r="L393" s="674"/>
      <c r="M393" s="674"/>
      <c r="N393" s="669"/>
      <c r="O393" s="670"/>
      <c r="P393" s="674"/>
      <c r="Q393" s="674"/>
    </row>
    <row r="394">
      <c r="A394" s="674"/>
      <c r="B394" s="674"/>
      <c r="C394" s="674"/>
      <c r="D394" s="674"/>
      <c r="E394" s="674"/>
      <c r="F394" s="683"/>
      <c r="G394" s="674"/>
      <c r="H394" s="674"/>
      <c r="I394" s="674"/>
      <c r="J394" s="674"/>
      <c r="K394" s="674"/>
      <c r="L394" s="674"/>
      <c r="M394" s="674"/>
      <c r="N394" s="669"/>
      <c r="O394" s="670"/>
      <c r="P394" s="674"/>
      <c r="Q394" s="674"/>
    </row>
    <row r="395">
      <c r="A395" s="674"/>
      <c r="B395" s="674"/>
      <c r="C395" s="674"/>
      <c r="D395" s="674"/>
      <c r="E395" s="674"/>
      <c r="F395" s="683"/>
      <c r="G395" s="674"/>
      <c r="H395" s="674"/>
      <c r="I395" s="674"/>
      <c r="J395" s="674"/>
      <c r="K395" s="674"/>
      <c r="L395" s="674"/>
      <c r="M395" s="674"/>
      <c r="N395" s="669"/>
      <c r="O395" s="670"/>
      <c r="P395" s="674"/>
      <c r="Q395" s="674"/>
    </row>
    <row r="396">
      <c r="A396" s="674"/>
      <c r="B396" s="674"/>
      <c r="C396" s="674"/>
      <c r="D396" s="674"/>
      <c r="E396" s="674"/>
      <c r="F396" s="683"/>
      <c r="G396" s="674"/>
      <c r="H396" s="674"/>
      <c r="I396" s="674"/>
      <c r="J396" s="674"/>
      <c r="K396" s="674"/>
      <c r="L396" s="674"/>
      <c r="M396" s="674"/>
      <c r="N396" s="669"/>
      <c r="O396" s="670"/>
      <c r="P396" s="674"/>
      <c r="Q396" s="674"/>
    </row>
    <row r="397">
      <c r="A397" s="674"/>
      <c r="B397" s="674"/>
      <c r="C397" s="674"/>
      <c r="D397" s="674"/>
      <c r="E397" s="674"/>
      <c r="F397" s="683"/>
      <c r="G397" s="674"/>
      <c r="H397" s="674"/>
      <c r="I397" s="674"/>
      <c r="J397" s="674"/>
      <c r="K397" s="674"/>
      <c r="L397" s="674"/>
      <c r="M397" s="674"/>
      <c r="N397" s="669"/>
      <c r="O397" s="670"/>
      <c r="P397" s="674"/>
      <c r="Q397" s="674"/>
    </row>
    <row r="398">
      <c r="A398" s="674"/>
      <c r="B398" s="674"/>
      <c r="C398" s="674"/>
      <c r="D398" s="674"/>
      <c r="E398" s="674"/>
      <c r="F398" s="683"/>
      <c r="G398" s="674"/>
      <c r="H398" s="674"/>
      <c r="I398" s="674"/>
      <c r="J398" s="674"/>
      <c r="K398" s="674"/>
      <c r="L398" s="674"/>
      <c r="M398" s="674"/>
      <c r="N398" s="669"/>
      <c r="O398" s="670"/>
      <c r="P398" s="674"/>
      <c r="Q398" s="674"/>
    </row>
    <row r="399">
      <c r="A399" s="674"/>
      <c r="B399" s="674"/>
      <c r="C399" s="674"/>
      <c r="D399" s="674"/>
      <c r="E399" s="674"/>
      <c r="F399" s="683"/>
      <c r="G399" s="674"/>
      <c r="H399" s="674"/>
      <c r="I399" s="674"/>
      <c r="J399" s="674"/>
      <c r="K399" s="674"/>
      <c r="L399" s="674"/>
      <c r="M399" s="674"/>
      <c r="N399" s="669"/>
      <c r="O399" s="670"/>
      <c r="P399" s="674"/>
      <c r="Q399" s="674"/>
    </row>
    <row r="400">
      <c r="A400" s="674"/>
      <c r="B400" s="674"/>
      <c r="C400" s="674"/>
      <c r="D400" s="674"/>
      <c r="E400" s="674"/>
      <c r="F400" s="683"/>
      <c r="G400" s="674"/>
      <c r="H400" s="674"/>
      <c r="I400" s="674"/>
      <c r="J400" s="674"/>
      <c r="K400" s="674"/>
      <c r="L400" s="674"/>
      <c r="M400" s="674"/>
      <c r="N400" s="669"/>
      <c r="O400" s="670"/>
      <c r="P400" s="674"/>
      <c r="Q400" s="674"/>
    </row>
    <row r="401">
      <c r="A401" s="674"/>
      <c r="B401" s="674"/>
      <c r="C401" s="674"/>
      <c r="D401" s="674"/>
      <c r="E401" s="674"/>
      <c r="F401" s="683"/>
      <c r="G401" s="674"/>
      <c r="H401" s="674"/>
      <c r="I401" s="674"/>
      <c r="J401" s="674"/>
      <c r="K401" s="674"/>
      <c r="L401" s="674"/>
      <c r="M401" s="674"/>
      <c r="N401" s="669"/>
      <c r="O401" s="670"/>
      <c r="P401" s="674"/>
      <c r="Q401" s="674"/>
    </row>
    <row r="402">
      <c r="A402" s="674"/>
      <c r="B402" s="674"/>
      <c r="C402" s="674"/>
      <c r="D402" s="674"/>
      <c r="E402" s="674"/>
      <c r="F402" s="683"/>
      <c r="G402" s="674"/>
      <c r="H402" s="674"/>
      <c r="I402" s="674"/>
      <c r="J402" s="674"/>
      <c r="K402" s="674"/>
      <c r="L402" s="674"/>
      <c r="M402" s="674"/>
      <c r="N402" s="669"/>
      <c r="O402" s="670"/>
      <c r="P402" s="674"/>
      <c r="Q402" s="674"/>
    </row>
    <row r="403">
      <c r="A403" s="674"/>
      <c r="B403" s="674"/>
      <c r="C403" s="674"/>
      <c r="D403" s="674"/>
      <c r="E403" s="674"/>
      <c r="F403" s="683"/>
      <c r="G403" s="674"/>
      <c r="H403" s="674"/>
      <c r="I403" s="674"/>
      <c r="J403" s="674"/>
      <c r="K403" s="674"/>
      <c r="L403" s="674"/>
      <c r="M403" s="674"/>
      <c r="N403" s="669"/>
      <c r="O403" s="670"/>
      <c r="P403" s="674"/>
      <c r="Q403" s="674"/>
    </row>
    <row r="404">
      <c r="A404" s="674"/>
      <c r="B404" s="674"/>
      <c r="C404" s="674"/>
      <c r="D404" s="674"/>
      <c r="E404" s="674"/>
      <c r="F404" s="683"/>
      <c r="G404" s="674"/>
      <c r="H404" s="674"/>
      <c r="I404" s="674"/>
      <c r="J404" s="674"/>
      <c r="K404" s="674"/>
      <c r="L404" s="674"/>
      <c r="M404" s="674"/>
      <c r="N404" s="669"/>
      <c r="O404" s="670"/>
      <c r="P404" s="674"/>
      <c r="Q404" s="674"/>
    </row>
    <row r="405">
      <c r="A405" s="674"/>
      <c r="B405" s="674"/>
      <c r="C405" s="674"/>
      <c r="D405" s="674"/>
      <c r="E405" s="674"/>
      <c r="F405" s="683"/>
      <c r="G405" s="674"/>
      <c r="H405" s="674"/>
      <c r="I405" s="674"/>
      <c r="J405" s="674"/>
      <c r="K405" s="674"/>
      <c r="L405" s="674"/>
      <c r="M405" s="674"/>
      <c r="N405" s="669"/>
      <c r="O405" s="670"/>
      <c r="P405" s="674"/>
      <c r="Q405" s="674"/>
    </row>
    <row r="406">
      <c r="A406" s="674"/>
      <c r="B406" s="674"/>
      <c r="C406" s="674"/>
      <c r="D406" s="674"/>
      <c r="E406" s="674"/>
      <c r="F406" s="683"/>
      <c r="G406" s="674"/>
      <c r="H406" s="674"/>
      <c r="I406" s="674"/>
      <c r="J406" s="674"/>
      <c r="K406" s="674"/>
      <c r="L406" s="674"/>
      <c r="M406" s="674"/>
      <c r="N406" s="669"/>
      <c r="O406" s="670"/>
      <c r="P406" s="674"/>
      <c r="Q406" s="674"/>
    </row>
    <row r="407">
      <c r="A407" s="674"/>
      <c r="B407" s="674"/>
      <c r="C407" s="674"/>
      <c r="D407" s="674"/>
      <c r="E407" s="674"/>
      <c r="F407" s="683"/>
      <c r="G407" s="674"/>
      <c r="H407" s="674"/>
      <c r="I407" s="674"/>
      <c r="J407" s="674"/>
      <c r="K407" s="674"/>
      <c r="L407" s="674"/>
      <c r="M407" s="674"/>
      <c r="N407" s="669"/>
      <c r="O407" s="670"/>
      <c r="P407" s="674"/>
      <c r="Q407" s="674"/>
    </row>
    <row r="408">
      <c r="A408" s="674"/>
      <c r="B408" s="674"/>
      <c r="C408" s="674"/>
      <c r="D408" s="674"/>
      <c r="E408" s="674"/>
      <c r="F408" s="683"/>
      <c r="G408" s="674"/>
      <c r="H408" s="674"/>
      <c r="I408" s="674"/>
      <c r="J408" s="674"/>
      <c r="K408" s="674"/>
      <c r="L408" s="674"/>
      <c r="M408" s="674"/>
      <c r="N408" s="669"/>
      <c r="O408" s="670"/>
      <c r="P408" s="674"/>
      <c r="Q408" s="674"/>
    </row>
    <row r="409">
      <c r="A409" s="674"/>
      <c r="B409" s="674"/>
      <c r="C409" s="674"/>
      <c r="D409" s="674"/>
      <c r="E409" s="674"/>
      <c r="F409" s="683"/>
      <c r="G409" s="674"/>
      <c r="H409" s="674"/>
      <c r="I409" s="674"/>
      <c r="J409" s="674"/>
      <c r="K409" s="674"/>
      <c r="L409" s="674"/>
      <c r="M409" s="674"/>
      <c r="N409" s="669"/>
      <c r="O409" s="670"/>
      <c r="P409" s="674"/>
      <c r="Q409" s="674"/>
    </row>
    <row r="410">
      <c r="A410" s="674"/>
      <c r="B410" s="674"/>
      <c r="C410" s="674"/>
      <c r="D410" s="674"/>
      <c r="E410" s="674"/>
      <c r="F410" s="683"/>
      <c r="G410" s="674"/>
      <c r="H410" s="674"/>
      <c r="I410" s="674"/>
      <c r="J410" s="674"/>
      <c r="K410" s="674"/>
      <c r="L410" s="674"/>
      <c r="M410" s="674"/>
      <c r="N410" s="669"/>
      <c r="O410" s="670"/>
      <c r="P410" s="674"/>
      <c r="Q410" s="674"/>
    </row>
    <row r="411">
      <c r="A411" s="674"/>
      <c r="B411" s="674"/>
      <c r="C411" s="674"/>
      <c r="D411" s="674"/>
      <c r="E411" s="674"/>
      <c r="F411" s="683"/>
      <c r="G411" s="674"/>
      <c r="H411" s="674"/>
      <c r="I411" s="674"/>
      <c r="J411" s="674"/>
      <c r="K411" s="674"/>
      <c r="L411" s="674"/>
      <c r="M411" s="674"/>
      <c r="N411" s="669"/>
      <c r="O411" s="670"/>
      <c r="P411" s="674"/>
      <c r="Q411" s="674"/>
    </row>
    <row r="412">
      <c r="A412" s="674"/>
      <c r="B412" s="674"/>
      <c r="C412" s="674"/>
      <c r="D412" s="674"/>
      <c r="E412" s="674"/>
      <c r="F412" s="683"/>
      <c r="G412" s="674"/>
      <c r="H412" s="674"/>
      <c r="I412" s="674"/>
      <c r="J412" s="674"/>
      <c r="K412" s="674"/>
      <c r="L412" s="674"/>
      <c r="M412" s="674"/>
      <c r="N412" s="669"/>
      <c r="O412" s="670"/>
      <c r="P412" s="674"/>
      <c r="Q412" s="674"/>
    </row>
    <row r="413">
      <c r="A413" s="674"/>
      <c r="B413" s="674"/>
      <c r="C413" s="674"/>
      <c r="D413" s="674"/>
      <c r="E413" s="674"/>
      <c r="F413" s="683"/>
      <c r="G413" s="674"/>
      <c r="H413" s="674"/>
      <c r="I413" s="674"/>
      <c r="J413" s="674"/>
      <c r="K413" s="674"/>
      <c r="L413" s="674"/>
      <c r="M413" s="674"/>
      <c r="N413" s="669"/>
      <c r="O413" s="670"/>
      <c r="P413" s="674"/>
      <c r="Q413" s="674"/>
    </row>
    <row r="414">
      <c r="A414" s="674"/>
      <c r="B414" s="674"/>
      <c r="C414" s="674"/>
      <c r="D414" s="674"/>
      <c r="E414" s="674"/>
      <c r="F414" s="683"/>
      <c r="G414" s="674"/>
      <c r="H414" s="674"/>
      <c r="I414" s="674"/>
      <c r="J414" s="674"/>
      <c r="K414" s="674"/>
      <c r="L414" s="674"/>
      <c r="M414" s="674"/>
      <c r="N414" s="669"/>
      <c r="O414" s="670"/>
      <c r="P414" s="674"/>
      <c r="Q414" s="674"/>
    </row>
    <row r="415">
      <c r="A415" s="674"/>
      <c r="B415" s="674"/>
      <c r="C415" s="674"/>
      <c r="D415" s="674"/>
      <c r="E415" s="674"/>
      <c r="F415" s="683"/>
      <c r="G415" s="674"/>
      <c r="H415" s="674"/>
      <c r="I415" s="674"/>
      <c r="J415" s="674"/>
      <c r="K415" s="674"/>
      <c r="L415" s="674"/>
      <c r="M415" s="674"/>
      <c r="N415" s="669"/>
      <c r="O415" s="670"/>
      <c r="P415" s="674"/>
      <c r="Q415" s="674"/>
    </row>
    <row r="416">
      <c r="A416" s="674"/>
      <c r="B416" s="674"/>
      <c r="C416" s="674"/>
      <c r="D416" s="674"/>
      <c r="E416" s="674"/>
      <c r="F416" s="683"/>
      <c r="G416" s="674"/>
      <c r="H416" s="674"/>
      <c r="I416" s="674"/>
      <c r="J416" s="674"/>
      <c r="K416" s="674"/>
      <c r="L416" s="674"/>
      <c r="M416" s="674"/>
      <c r="N416" s="669"/>
      <c r="O416" s="670"/>
      <c r="P416" s="674"/>
      <c r="Q416" s="674"/>
    </row>
    <row r="417">
      <c r="A417" s="674"/>
      <c r="B417" s="674"/>
      <c r="C417" s="674"/>
      <c r="D417" s="674"/>
      <c r="E417" s="674"/>
      <c r="F417" s="683"/>
      <c r="G417" s="674"/>
      <c r="H417" s="674"/>
      <c r="I417" s="674"/>
      <c r="J417" s="674"/>
      <c r="K417" s="674"/>
      <c r="L417" s="674"/>
      <c r="M417" s="674"/>
      <c r="N417" s="669"/>
      <c r="O417" s="670"/>
      <c r="P417" s="674"/>
      <c r="Q417" s="674"/>
    </row>
    <row r="418">
      <c r="A418" s="674"/>
      <c r="B418" s="674"/>
      <c r="C418" s="674"/>
      <c r="D418" s="674"/>
      <c r="E418" s="674"/>
      <c r="F418" s="683"/>
      <c r="G418" s="674"/>
      <c r="H418" s="674"/>
      <c r="I418" s="674"/>
      <c r="J418" s="674"/>
      <c r="K418" s="674"/>
      <c r="L418" s="674"/>
      <c r="M418" s="674"/>
      <c r="N418" s="669"/>
      <c r="O418" s="670"/>
      <c r="P418" s="674"/>
      <c r="Q418" s="674"/>
    </row>
    <row r="419">
      <c r="A419" s="674"/>
      <c r="B419" s="674"/>
      <c r="C419" s="674"/>
      <c r="D419" s="674"/>
      <c r="E419" s="674"/>
      <c r="F419" s="683"/>
      <c r="G419" s="674"/>
      <c r="H419" s="674"/>
      <c r="I419" s="674"/>
      <c r="J419" s="674"/>
      <c r="K419" s="674"/>
      <c r="L419" s="674"/>
      <c r="M419" s="674"/>
      <c r="N419" s="669"/>
      <c r="O419" s="670"/>
      <c r="P419" s="674"/>
      <c r="Q419" s="674"/>
    </row>
    <row r="420">
      <c r="A420" s="674"/>
      <c r="B420" s="674"/>
      <c r="C420" s="674"/>
      <c r="D420" s="674"/>
      <c r="E420" s="674"/>
      <c r="F420" s="683"/>
      <c r="G420" s="674"/>
      <c r="H420" s="674"/>
      <c r="I420" s="674"/>
      <c r="J420" s="674"/>
      <c r="K420" s="674"/>
      <c r="L420" s="674"/>
      <c r="M420" s="674"/>
      <c r="N420" s="669"/>
      <c r="O420" s="670"/>
      <c r="P420" s="674"/>
      <c r="Q420" s="674"/>
    </row>
    <row r="421">
      <c r="A421" s="674"/>
      <c r="B421" s="674"/>
      <c r="C421" s="674"/>
      <c r="D421" s="674"/>
      <c r="E421" s="674"/>
      <c r="F421" s="683"/>
      <c r="G421" s="674"/>
      <c r="H421" s="674"/>
      <c r="I421" s="674"/>
      <c r="J421" s="674"/>
      <c r="K421" s="674"/>
      <c r="L421" s="674"/>
      <c r="M421" s="674"/>
      <c r="N421" s="669"/>
      <c r="O421" s="670"/>
      <c r="P421" s="674"/>
      <c r="Q421" s="674"/>
    </row>
    <row r="422">
      <c r="A422" s="674"/>
      <c r="B422" s="674"/>
      <c r="C422" s="674"/>
      <c r="D422" s="674"/>
      <c r="E422" s="674"/>
      <c r="F422" s="683"/>
      <c r="G422" s="674"/>
      <c r="H422" s="674"/>
      <c r="I422" s="674"/>
      <c r="J422" s="674"/>
      <c r="K422" s="674"/>
      <c r="L422" s="674"/>
      <c r="M422" s="674"/>
      <c r="N422" s="669"/>
      <c r="O422" s="670"/>
      <c r="P422" s="674"/>
      <c r="Q422" s="674"/>
    </row>
    <row r="423">
      <c r="A423" s="674"/>
      <c r="B423" s="674"/>
      <c r="C423" s="674"/>
      <c r="D423" s="674"/>
      <c r="E423" s="674"/>
      <c r="F423" s="683"/>
      <c r="G423" s="674"/>
      <c r="H423" s="674"/>
      <c r="I423" s="674"/>
      <c r="J423" s="674"/>
      <c r="K423" s="674"/>
      <c r="L423" s="674"/>
      <c r="M423" s="674"/>
      <c r="N423" s="669"/>
      <c r="O423" s="670"/>
      <c r="P423" s="674"/>
      <c r="Q423" s="674"/>
    </row>
    <row r="424">
      <c r="A424" s="674"/>
      <c r="B424" s="674"/>
      <c r="C424" s="674"/>
      <c r="D424" s="674"/>
      <c r="E424" s="674"/>
      <c r="F424" s="683"/>
      <c r="G424" s="674"/>
      <c r="H424" s="674"/>
      <c r="I424" s="674"/>
      <c r="J424" s="674"/>
      <c r="K424" s="674"/>
      <c r="L424" s="674"/>
      <c r="M424" s="674"/>
      <c r="N424" s="669"/>
      <c r="O424" s="670"/>
      <c r="P424" s="674"/>
      <c r="Q424" s="674"/>
    </row>
    <row r="425">
      <c r="A425" s="674"/>
      <c r="B425" s="674"/>
      <c r="C425" s="674"/>
      <c r="D425" s="674"/>
      <c r="E425" s="674"/>
      <c r="F425" s="683"/>
      <c r="G425" s="674"/>
      <c r="H425" s="674"/>
      <c r="I425" s="674"/>
      <c r="J425" s="674"/>
      <c r="K425" s="674"/>
      <c r="L425" s="674"/>
      <c r="M425" s="674"/>
      <c r="N425" s="669"/>
      <c r="O425" s="670"/>
      <c r="P425" s="674"/>
      <c r="Q425" s="674"/>
    </row>
    <row r="426">
      <c r="A426" s="674"/>
      <c r="B426" s="674"/>
      <c r="C426" s="674"/>
      <c r="D426" s="674"/>
      <c r="E426" s="674"/>
      <c r="F426" s="683"/>
      <c r="G426" s="674"/>
      <c r="H426" s="674"/>
      <c r="I426" s="674"/>
      <c r="J426" s="674"/>
      <c r="K426" s="674"/>
      <c r="L426" s="674"/>
      <c r="M426" s="674"/>
      <c r="N426" s="669"/>
      <c r="O426" s="670"/>
      <c r="P426" s="674"/>
      <c r="Q426" s="674"/>
    </row>
    <row r="427">
      <c r="A427" s="674"/>
      <c r="B427" s="674"/>
      <c r="C427" s="674"/>
      <c r="D427" s="674"/>
      <c r="E427" s="674"/>
      <c r="F427" s="683"/>
      <c r="G427" s="674"/>
      <c r="H427" s="674"/>
      <c r="I427" s="674"/>
      <c r="J427" s="674"/>
      <c r="K427" s="674"/>
      <c r="L427" s="674"/>
      <c r="M427" s="674"/>
      <c r="N427" s="669"/>
      <c r="O427" s="670"/>
      <c r="P427" s="674"/>
      <c r="Q427" s="674"/>
    </row>
    <row r="428">
      <c r="A428" s="674"/>
      <c r="B428" s="674"/>
      <c r="C428" s="674"/>
      <c r="D428" s="674"/>
      <c r="E428" s="674"/>
      <c r="F428" s="683"/>
      <c r="G428" s="674"/>
      <c r="H428" s="674"/>
      <c r="I428" s="674"/>
      <c r="J428" s="674"/>
      <c r="K428" s="674"/>
      <c r="L428" s="674"/>
      <c r="M428" s="674"/>
      <c r="N428" s="669"/>
      <c r="O428" s="670"/>
      <c r="P428" s="674"/>
      <c r="Q428" s="674"/>
    </row>
    <row r="429">
      <c r="A429" s="674"/>
      <c r="B429" s="674"/>
      <c r="C429" s="674"/>
      <c r="D429" s="674"/>
      <c r="E429" s="674"/>
      <c r="F429" s="683"/>
      <c r="G429" s="674"/>
      <c r="H429" s="674"/>
      <c r="I429" s="674"/>
      <c r="J429" s="674"/>
      <c r="K429" s="674"/>
      <c r="L429" s="674"/>
      <c r="M429" s="674"/>
      <c r="N429" s="669"/>
      <c r="O429" s="670"/>
      <c r="P429" s="674"/>
      <c r="Q429" s="674"/>
    </row>
    <row r="430">
      <c r="A430" s="674"/>
      <c r="B430" s="674"/>
      <c r="C430" s="674"/>
      <c r="D430" s="674"/>
      <c r="E430" s="674"/>
      <c r="F430" s="683"/>
      <c r="G430" s="674"/>
      <c r="H430" s="674"/>
      <c r="I430" s="674"/>
      <c r="J430" s="674"/>
      <c r="K430" s="674"/>
      <c r="L430" s="674"/>
      <c r="M430" s="674"/>
      <c r="N430" s="669"/>
      <c r="O430" s="670"/>
      <c r="P430" s="674"/>
      <c r="Q430" s="674"/>
    </row>
    <row r="431">
      <c r="A431" s="674"/>
      <c r="B431" s="674"/>
      <c r="C431" s="674"/>
      <c r="D431" s="674"/>
      <c r="E431" s="674"/>
      <c r="F431" s="683"/>
      <c r="G431" s="674"/>
      <c r="H431" s="674"/>
      <c r="I431" s="674"/>
      <c r="J431" s="674"/>
      <c r="K431" s="674"/>
      <c r="L431" s="674"/>
      <c r="M431" s="674"/>
      <c r="N431" s="669"/>
      <c r="O431" s="670"/>
      <c r="P431" s="674"/>
      <c r="Q431" s="674"/>
    </row>
    <row r="432">
      <c r="A432" s="674"/>
      <c r="B432" s="674"/>
      <c r="C432" s="674"/>
      <c r="D432" s="674"/>
      <c r="E432" s="674"/>
      <c r="F432" s="683"/>
      <c r="G432" s="674"/>
      <c r="H432" s="674"/>
      <c r="I432" s="674"/>
      <c r="J432" s="674"/>
      <c r="K432" s="674"/>
      <c r="L432" s="674"/>
      <c r="M432" s="674"/>
      <c r="N432" s="669"/>
      <c r="O432" s="670"/>
      <c r="P432" s="674"/>
      <c r="Q432" s="674"/>
    </row>
    <row r="433">
      <c r="A433" s="674"/>
      <c r="B433" s="674"/>
      <c r="C433" s="674"/>
      <c r="D433" s="674"/>
      <c r="E433" s="674"/>
      <c r="F433" s="683"/>
      <c r="G433" s="674"/>
      <c r="H433" s="674"/>
      <c r="I433" s="674"/>
      <c r="J433" s="674"/>
      <c r="K433" s="674"/>
      <c r="L433" s="674"/>
      <c r="M433" s="674"/>
      <c r="N433" s="669"/>
      <c r="O433" s="670"/>
      <c r="P433" s="674"/>
      <c r="Q433" s="674"/>
    </row>
    <row r="434">
      <c r="A434" s="674"/>
      <c r="B434" s="674"/>
      <c r="C434" s="674"/>
      <c r="D434" s="674"/>
      <c r="E434" s="674"/>
      <c r="F434" s="683"/>
      <c r="G434" s="674"/>
      <c r="H434" s="674"/>
      <c r="I434" s="674"/>
      <c r="J434" s="674"/>
      <c r="K434" s="674"/>
      <c r="L434" s="674"/>
      <c r="M434" s="674"/>
      <c r="N434" s="669"/>
      <c r="O434" s="670"/>
      <c r="P434" s="674"/>
      <c r="Q434" s="674"/>
    </row>
    <row r="435">
      <c r="A435" s="674"/>
      <c r="B435" s="674"/>
      <c r="C435" s="674"/>
      <c r="D435" s="674"/>
      <c r="E435" s="674"/>
      <c r="F435" s="683"/>
      <c r="G435" s="674"/>
      <c r="H435" s="674"/>
      <c r="I435" s="674"/>
      <c r="J435" s="674"/>
      <c r="K435" s="674"/>
      <c r="L435" s="674"/>
      <c r="M435" s="674"/>
      <c r="N435" s="669"/>
      <c r="O435" s="670"/>
      <c r="P435" s="674"/>
      <c r="Q435" s="674"/>
    </row>
    <row r="436">
      <c r="A436" s="674"/>
      <c r="B436" s="674"/>
      <c r="C436" s="674"/>
      <c r="D436" s="674"/>
      <c r="E436" s="674"/>
      <c r="F436" s="683"/>
      <c r="G436" s="674"/>
      <c r="H436" s="674"/>
      <c r="I436" s="674"/>
      <c r="J436" s="674"/>
      <c r="K436" s="674"/>
      <c r="L436" s="674"/>
      <c r="M436" s="674"/>
      <c r="N436" s="669"/>
      <c r="O436" s="670"/>
      <c r="P436" s="674"/>
      <c r="Q436" s="674"/>
    </row>
    <row r="437">
      <c r="A437" s="674"/>
      <c r="B437" s="674"/>
      <c r="C437" s="674"/>
      <c r="D437" s="674"/>
      <c r="E437" s="674"/>
      <c r="F437" s="683"/>
      <c r="G437" s="674"/>
      <c r="H437" s="674"/>
      <c r="I437" s="674"/>
      <c r="J437" s="674"/>
      <c r="K437" s="674"/>
      <c r="L437" s="674"/>
      <c r="M437" s="674"/>
      <c r="N437" s="669"/>
      <c r="O437" s="670"/>
      <c r="P437" s="674"/>
      <c r="Q437" s="674"/>
    </row>
    <row r="438">
      <c r="A438" s="674"/>
      <c r="B438" s="674"/>
      <c r="C438" s="674"/>
      <c r="D438" s="674"/>
      <c r="E438" s="674"/>
      <c r="F438" s="683"/>
      <c r="G438" s="674"/>
      <c r="H438" s="674"/>
      <c r="I438" s="674"/>
      <c r="J438" s="674"/>
      <c r="K438" s="674"/>
      <c r="L438" s="674"/>
      <c r="M438" s="674"/>
      <c r="N438" s="669"/>
      <c r="O438" s="670"/>
      <c r="P438" s="674"/>
      <c r="Q438" s="674"/>
    </row>
    <row r="439">
      <c r="A439" s="674"/>
      <c r="B439" s="674"/>
      <c r="C439" s="674"/>
      <c r="D439" s="674"/>
      <c r="E439" s="674"/>
      <c r="F439" s="683"/>
      <c r="G439" s="674"/>
      <c r="H439" s="674"/>
      <c r="I439" s="674"/>
      <c r="J439" s="674"/>
      <c r="K439" s="674"/>
      <c r="L439" s="674"/>
      <c r="M439" s="674"/>
      <c r="N439" s="669"/>
      <c r="O439" s="670"/>
      <c r="P439" s="674"/>
      <c r="Q439" s="674"/>
    </row>
    <row r="440">
      <c r="A440" s="674"/>
      <c r="B440" s="674"/>
      <c r="C440" s="674"/>
      <c r="D440" s="674"/>
      <c r="E440" s="674"/>
      <c r="F440" s="683"/>
      <c r="G440" s="674"/>
      <c r="H440" s="674"/>
      <c r="I440" s="674"/>
      <c r="J440" s="674"/>
      <c r="K440" s="674"/>
      <c r="L440" s="674"/>
      <c r="M440" s="674"/>
      <c r="N440" s="669"/>
      <c r="O440" s="670"/>
      <c r="P440" s="674"/>
      <c r="Q440" s="674"/>
    </row>
    <row r="441">
      <c r="A441" s="674"/>
      <c r="B441" s="674"/>
      <c r="C441" s="674"/>
      <c r="D441" s="674"/>
      <c r="E441" s="674"/>
      <c r="F441" s="683"/>
      <c r="G441" s="674"/>
      <c r="H441" s="674"/>
      <c r="I441" s="674"/>
      <c r="J441" s="674"/>
      <c r="K441" s="674"/>
      <c r="L441" s="674"/>
      <c r="M441" s="674"/>
      <c r="N441" s="669"/>
      <c r="O441" s="670"/>
      <c r="P441" s="674"/>
      <c r="Q441" s="674"/>
    </row>
    <row r="442">
      <c r="A442" s="674"/>
      <c r="B442" s="674"/>
      <c r="C442" s="674"/>
      <c r="D442" s="674"/>
      <c r="E442" s="674"/>
      <c r="F442" s="683"/>
      <c r="G442" s="674"/>
      <c r="H442" s="674"/>
      <c r="I442" s="674"/>
      <c r="J442" s="674"/>
      <c r="K442" s="674"/>
      <c r="L442" s="674"/>
      <c r="M442" s="674"/>
      <c r="N442" s="669"/>
      <c r="O442" s="670"/>
      <c r="P442" s="674"/>
      <c r="Q442" s="674"/>
    </row>
    <row r="443">
      <c r="A443" s="674"/>
      <c r="B443" s="674"/>
      <c r="C443" s="674"/>
      <c r="D443" s="674"/>
      <c r="E443" s="674"/>
      <c r="F443" s="683"/>
      <c r="G443" s="674"/>
      <c r="H443" s="674"/>
      <c r="I443" s="674"/>
      <c r="J443" s="674"/>
      <c r="K443" s="674"/>
      <c r="L443" s="674"/>
      <c r="M443" s="674"/>
      <c r="N443" s="669"/>
      <c r="O443" s="670"/>
      <c r="P443" s="674"/>
      <c r="Q443" s="674"/>
    </row>
    <row r="444">
      <c r="A444" s="674"/>
      <c r="B444" s="674"/>
      <c r="C444" s="674"/>
      <c r="D444" s="674"/>
      <c r="E444" s="674"/>
      <c r="F444" s="683"/>
      <c r="G444" s="674"/>
      <c r="H444" s="674"/>
      <c r="I444" s="674"/>
      <c r="J444" s="674"/>
      <c r="K444" s="674"/>
      <c r="L444" s="674"/>
      <c r="M444" s="674"/>
      <c r="N444" s="669"/>
      <c r="O444" s="670"/>
      <c r="P444" s="674"/>
      <c r="Q444" s="674"/>
    </row>
    <row r="445">
      <c r="A445" s="674"/>
      <c r="B445" s="674"/>
      <c r="C445" s="674"/>
      <c r="D445" s="674"/>
      <c r="E445" s="674"/>
      <c r="F445" s="683"/>
      <c r="G445" s="674"/>
      <c r="H445" s="674"/>
      <c r="I445" s="674"/>
      <c r="J445" s="674"/>
      <c r="K445" s="674"/>
      <c r="L445" s="674"/>
      <c r="M445" s="674"/>
      <c r="N445" s="669"/>
      <c r="O445" s="670"/>
      <c r="P445" s="674"/>
      <c r="Q445" s="674"/>
    </row>
    <row r="446">
      <c r="A446" s="674"/>
      <c r="B446" s="674"/>
      <c r="C446" s="674"/>
      <c r="D446" s="674"/>
      <c r="E446" s="674"/>
      <c r="F446" s="683"/>
      <c r="G446" s="674"/>
      <c r="H446" s="674"/>
      <c r="I446" s="674"/>
      <c r="J446" s="674"/>
      <c r="K446" s="674"/>
      <c r="L446" s="674"/>
      <c r="M446" s="674"/>
      <c r="N446" s="669"/>
      <c r="O446" s="670"/>
      <c r="P446" s="674"/>
      <c r="Q446" s="674"/>
    </row>
    <row r="447">
      <c r="A447" s="674"/>
      <c r="B447" s="674"/>
      <c r="C447" s="674"/>
      <c r="D447" s="674"/>
      <c r="E447" s="674"/>
      <c r="F447" s="683"/>
      <c r="G447" s="674"/>
      <c r="H447" s="674"/>
      <c r="I447" s="674"/>
      <c r="J447" s="674"/>
      <c r="K447" s="674"/>
      <c r="L447" s="674"/>
      <c r="M447" s="674"/>
      <c r="N447" s="669"/>
      <c r="O447" s="670"/>
      <c r="P447" s="674"/>
      <c r="Q447" s="674"/>
    </row>
    <row r="448">
      <c r="A448" s="674"/>
      <c r="B448" s="674"/>
      <c r="C448" s="674"/>
      <c r="D448" s="674"/>
      <c r="E448" s="674"/>
      <c r="F448" s="683"/>
      <c r="G448" s="674"/>
      <c r="H448" s="674"/>
      <c r="I448" s="674"/>
      <c r="J448" s="674"/>
      <c r="K448" s="674"/>
      <c r="L448" s="674"/>
      <c r="M448" s="674"/>
      <c r="N448" s="669"/>
      <c r="O448" s="670"/>
      <c r="P448" s="674"/>
      <c r="Q448" s="674"/>
    </row>
    <row r="449">
      <c r="A449" s="674"/>
      <c r="B449" s="674"/>
      <c r="C449" s="674"/>
      <c r="D449" s="674"/>
      <c r="E449" s="674"/>
      <c r="F449" s="683"/>
      <c r="G449" s="674"/>
      <c r="H449" s="674"/>
      <c r="I449" s="674"/>
      <c r="J449" s="674"/>
      <c r="K449" s="674"/>
      <c r="L449" s="674"/>
      <c r="M449" s="674"/>
      <c r="N449" s="669"/>
      <c r="O449" s="670"/>
      <c r="P449" s="674"/>
      <c r="Q449" s="674"/>
    </row>
    <row r="450">
      <c r="A450" s="674"/>
      <c r="B450" s="674"/>
      <c r="C450" s="674"/>
      <c r="D450" s="674"/>
      <c r="E450" s="674"/>
      <c r="F450" s="683"/>
      <c r="G450" s="674"/>
      <c r="H450" s="674"/>
      <c r="I450" s="674"/>
      <c r="J450" s="674"/>
      <c r="K450" s="674"/>
      <c r="L450" s="674"/>
      <c r="M450" s="674"/>
      <c r="N450" s="669"/>
      <c r="O450" s="670"/>
      <c r="P450" s="674"/>
      <c r="Q450" s="674"/>
    </row>
    <row r="451">
      <c r="A451" s="674"/>
      <c r="B451" s="674"/>
      <c r="C451" s="674"/>
      <c r="D451" s="674"/>
      <c r="E451" s="674"/>
      <c r="F451" s="683"/>
      <c r="G451" s="674"/>
      <c r="H451" s="674"/>
      <c r="I451" s="674"/>
      <c r="J451" s="674"/>
      <c r="K451" s="674"/>
      <c r="L451" s="674"/>
      <c r="M451" s="674"/>
      <c r="N451" s="669"/>
      <c r="O451" s="670"/>
      <c r="P451" s="674"/>
      <c r="Q451" s="674"/>
    </row>
    <row r="452">
      <c r="A452" s="674"/>
      <c r="B452" s="674"/>
      <c r="C452" s="674"/>
      <c r="D452" s="674"/>
      <c r="E452" s="674"/>
      <c r="F452" s="683"/>
      <c r="G452" s="674"/>
      <c r="H452" s="674"/>
      <c r="I452" s="674"/>
      <c r="J452" s="674"/>
      <c r="K452" s="674"/>
      <c r="L452" s="674"/>
      <c r="M452" s="674"/>
      <c r="N452" s="669"/>
      <c r="O452" s="670"/>
      <c r="P452" s="674"/>
      <c r="Q452" s="674"/>
    </row>
    <row r="453">
      <c r="A453" s="674"/>
      <c r="B453" s="674"/>
      <c r="C453" s="674"/>
      <c r="D453" s="674"/>
      <c r="E453" s="674"/>
      <c r="F453" s="683"/>
      <c r="G453" s="674"/>
      <c r="H453" s="674"/>
      <c r="I453" s="674"/>
      <c r="J453" s="674"/>
      <c r="K453" s="674"/>
      <c r="L453" s="674"/>
      <c r="M453" s="674"/>
      <c r="N453" s="669"/>
      <c r="O453" s="670"/>
      <c r="P453" s="674"/>
      <c r="Q453" s="674"/>
    </row>
    <row r="454">
      <c r="A454" s="674"/>
      <c r="B454" s="674"/>
      <c r="C454" s="674"/>
      <c r="D454" s="674"/>
      <c r="E454" s="674"/>
      <c r="F454" s="683"/>
      <c r="G454" s="674"/>
      <c r="H454" s="674"/>
      <c r="I454" s="674"/>
      <c r="J454" s="674"/>
      <c r="K454" s="674"/>
      <c r="L454" s="674"/>
      <c r="M454" s="674"/>
      <c r="N454" s="669"/>
      <c r="O454" s="670"/>
      <c r="P454" s="674"/>
      <c r="Q454" s="674"/>
    </row>
    <row r="455">
      <c r="A455" s="674"/>
      <c r="B455" s="674"/>
      <c r="C455" s="674"/>
      <c r="D455" s="674"/>
      <c r="E455" s="674"/>
      <c r="F455" s="683"/>
      <c r="G455" s="674"/>
      <c r="H455" s="674"/>
      <c r="I455" s="674"/>
      <c r="J455" s="674"/>
      <c r="K455" s="674"/>
      <c r="L455" s="674"/>
      <c r="M455" s="674"/>
      <c r="N455" s="669"/>
      <c r="O455" s="670"/>
      <c r="P455" s="674"/>
      <c r="Q455" s="674"/>
    </row>
    <row r="456">
      <c r="A456" s="674"/>
      <c r="B456" s="674"/>
      <c r="C456" s="674"/>
      <c r="D456" s="674"/>
      <c r="E456" s="674"/>
      <c r="F456" s="683"/>
      <c r="G456" s="674"/>
      <c r="H456" s="674"/>
      <c r="I456" s="674"/>
      <c r="J456" s="674"/>
      <c r="K456" s="674"/>
      <c r="L456" s="674"/>
      <c r="M456" s="674"/>
      <c r="N456" s="669"/>
      <c r="O456" s="670"/>
      <c r="P456" s="674"/>
      <c r="Q456" s="674"/>
    </row>
    <row r="457">
      <c r="A457" s="674"/>
      <c r="B457" s="674"/>
      <c r="C457" s="674"/>
      <c r="D457" s="674"/>
      <c r="E457" s="674"/>
      <c r="F457" s="683"/>
      <c r="G457" s="674"/>
      <c r="H457" s="674"/>
      <c r="I457" s="674"/>
      <c r="J457" s="674"/>
      <c r="K457" s="674"/>
      <c r="L457" s="674"/>
      <c r="M457" s="674"/>
      <c r="N457" s="669"/>
      <c r="O457" s="670"/>
      <c r="P457" s="674"/>
      <c r="Q457" s="674"/>
    </row>
    <row r="458">
      <c r="A458" s="674"/>
      <c r="B458" s="674"/>
      <c r="C458" s="674"/>
      <c r="D458" s="674"/>
      <c r="E458" s="674"/>
      <c r="F458" s="683"/>
      <c r="G458" s="674"/>
      <c r="H458" s="674"/>
      <c r="I458" s="674"/>
      <c r="J458" s="674"/>
      <c r="K458" s="674"/>
      <c r="L458" s="674"/>
      <c r="M458" s="674"/>
      <c r="N458" s="669"/>
      <c r="O458" s="670"/>
      <c r="P458" s="674"/>
      <c r="Q458" s="674"/>
    </row>
    <row r="459">
      <c r="A459" s="674"/>
      <c r="B459" s="674"/>
      <c r="C459" s="674"/>
      <c r="D459" s="674"/>
      <c r="E459" s="674"/>
      <c r="F459" s="683"/>
      <c r="G459" s="674"/>
      <c r="H459" s="674"/>
      <c r="I459" s="674"/>
      <c r="J459" s="674"/>
      <c r="K459" s="674"/>
      <c r="L459" s="674"/>
      <c r="M459" s="674"/>
      <c r="N459" s="669"/>
      <c r="O459" s="670"/>
      <c r="P459" s="674"/>
      <c r="Q459" s="674"/>
    </row>
    <row r="460">
      <c r="A460" s="674"/>
      <c r="B460" s="674"/>
      <c r="C460" s="674"/>
      <c r="D460" s="674"/>
      <c r="E460" s="674"/>
      <c r="F460" s="683"/>
      <c r="G460" s="674"/>
      <c r="H460" s="674"/>
      <c r="I460" s="674"/>
      <c r="J460" s="674"/>
      <c r="K460" s="674"/>
      <c r="L460" s="674"/>
      <c r="M460" s="674"/>
      <c r="N460" s="669"/>
      <c r="O460" s="670"/>
      <c r="P460" s="674"/>
      <c r="Q460" s="674"/>
    </row>
    <row r="461">
      <c r="A461" s="674"/>
      <c r="B461" s="674"/>
      <c r="C461" s="674"/>
      <c r="D461" s="674"/>
      <c r="E461" s="674"/>
      <c r="F461" s="683"/>
      <c r="G461" s="674"/>
      <c r="H461" s="674"/>
      <c r="I461" s="674"/>
      <c r="J461" s="674"/>
      <c r="K461" s="674"/>
      <c r="L461" s="674"/>
      <c r="M461" s="674"/>
      <c r="N461" s="669"/>
      <c r="O461" s="670"/>
      <c r="P461" s="674"/>
      <c r="Q461" s="674"/>
    </row>
    <row r="462">
      <c r="A462" s="674"/>
      <c r="B462" s="674"/>
      <c r="C462" s="674"/>
      <c r="D462" s="674"/>
      <c r="E462" s="674"/>
      <c r="F462" s="683"/>
      <c r="G462" s="674"/>
      <c r="H462" s="674"/>
      <c r="I462" s="674"/>
      <c r="J462" s="674"/>
      <c r="K462" s="674"/>
      <c r="L462" s="674"/>
      <c r="M462" s="674"/>
      <c r="N462" s="669"/>
      <c r="O462" s="670"/>
      <c r="P462" s="674"/>
      <c r="Q462" s="674"/>
    </row>
    <row r="463">
      <c r="A463" s="674"/>
      <c r="B463" s="674"/>
      <c r="C463" s="674"/>
      <c r="D463" s="674"/>
      <c r="E463" s="674"/>
      <c r="F463" s="683"/>
      <c r="G463" s="674"/>
      <c r="H463" s="674"/>
      <c r="I463" s="674"/>
      <c r="J463" s="674"/>
      <c r="K463" s="674"/>
      <c r="L463" s="674"/>
      <c r="M463" s="674"/>
      <c r="N463" s="669"/>
      <c r="O463" s="670"/>
      <c r="P463" s="674"/>
      <c r="Q463" s="674"/>
    </row>
    <row r="464">
      <c r="A464" s="674"/>
      <c r="B464" s="674"/>
      <c r="C464" s="674"/>
      <c r="D464" s="674"/>
      <c r="E464" s="674"/>
      <c r="F464" s="683"/>
      <c r="G464" s="674"/>
      <c r="H464" s="674"/>
      <c r="I464" s="674"/>
      <c r="J464" s="674"/>
      <c r="K464" s="674"/>
      <c r="L464" s="674"/>
      <c r="M464" s="674"/>
      <c r="N464" s="669"/>
      <c r="O464" s="670"/>
      <c r="P464" s="674"/>
      <c r="Q464" s="674"/>
    </row>
    <row r="465">
      <c r="A465" s="674"/>
      <c r="B465" s="674"/>
      <c r="C465" s="674"/>
      <c r="D465" s="674"/>
      <c r="E465" s="674"/>
      <c r="F465" s="683"/>
      <c r="G465" s="674"/>
      <c r="H465" s="674"/>
      <c r="I465" s="674"/>
      <c r="J465" s="674"/>
      <c r="K465" s="674"/>
      <c r="L465" s="674"/>
      <c r="M465" s="674"/>
      <c r="N465" s="669"/>
      <c r="O465" s="670"/>
      <c r="P465" s="674"/>
      <c r="Q465" s="674"/>
    </row>
    <row r="466">
      <c r="A466" s="674"/>
      <c r="B466" s="674"/>
      <c r="C466" s="674"/>
      <c r="D466" s="674"/>
      <c r="E466" s="674"/>
      <c r="F466" s="683"/>
      <c r="G466" s="674"/>
      <c r="H466" s="674"/>
      <c r="I466" s="674"/>
      <c r="J466" s="674"/>
      <c r="K466" s="674"/>
      <c r="L466" s="674"/>
      <c r="M466" s="674"/>
      <c r="N466" s="669"/>
      <c r="O466" s="670"/>
      <c r="P466" s="674"/>
      <c r="Q466" s="674"/>
    </row>
    <row r="467">
      <c r="A467" s="674"/>
      <c r="B467" s="674"/>
      <c r="C467" s="674"/>
      <c r="D467" s="674"/>
      <c r="E467" s="674"/>
      <c r="F467" s="683"/>
      <c r="G467" s="674"/>
      <c r="H467" s="674"/>
      <c r="I467" s="674"/>
      <c r="J467" s="674"/>
      <c r="K467" s="674"/>
      <c r="L467" s="674"/>
      <c r="M467" s="674"/>
      <c r="N467" s="669"/>
      <c r="O467" s="670"/>
      <c r="P467" s="674"/>
      <c r="Q467" s="674"/>
    </row>
    <row r="468">
      <c r="A468" s="674"/>
      <c r="B468" s="674"/>
      <c r="C468" s="674"/>
      <c r="D468" s="674"/>
      <c r="E468" s="674"/>
      <c r="F468" s="683"/>
      <c r="G468" s="674"/>
      <c r="H468" s="674"/>
      <c r="I468" s="674"/>
      <c r="J468" s="674"/>
      <c r="K468" s="674"/>
      <c r="L468" s="674"/>
      <c r="M468" s="674"/>
      <c r="N468" s="669"/>
      <c r="O468" s="670"/>
      <c r="P468" s="674"/>
      <c r="Q468" s="674"/>
    </row>
    <row r="469">
      <c r="A469" s="674"/>
      <c r="B469" s="674"/>
      <c r="C469" s="674"/>
      <c r="D469" s="674"/>
      <c r="E469" s="674"/>
      <c r="F469" s="683"/>
      <c r="G469" s="674"/>
      <c r="H469" s="674"/>
      <c r="I469" s="674"/>
      <c r="J469" s="674"/>
      <c r="K469" s="674"/>
      <c r="L469" s="674"/>
      <c r="M469" s="674"/>
      <c r="N469" s="669"/>
      <c r="O469" s="670"/>
      <c r="P469" s="674"/>
      <c r="Q469" s="674"/>
    </row>
    <row r="470">
      <c r="A470" s="674"/>
      <c r="B470" s="674"/>
      <c r="C470" s="674"/>
      <c r="D470" s="674"/>
      <c r="E470" s="674"/>
      <c r="F470" s="683"/>
      <c r="G470" s="674"/>
      <c r="H470" s="674"/>
      <c r="I470" s="674"/>
      <c r="J470" s="674"/>
      <c r="K470" s="674"/>
      <c r="L470" s="674"/>
      <c r="M470" s="674"/>
      <c r="N470" s="669"/>
      <c r="O470" s="670"/>
      <c r="P470" s="674"/>
      <c r="Q470" s="674"/>
    </row>
    <row r="471">
      <c r="A471" s="674"/>
      <c r="B471" s="674"/>
      <c r="C471" s="674"/>
      <c r="D471" s="674"/>
      <c r="E471" s="674"/>
      <c r="F471" s="683"/>
      <c r="G471" s="674"/>
      <c r="H471" s="674"/>
      <c r="I471" s="674"/>
      <c r="J471" s="674"/>
      <c r="K471" s="674"/>
      <c r="L471" s="674"/>
      <c r="M471" s="674"/>
      <c r="N471" s="669"/>
      <c r="O471" s="670"/>
      <c r="P471" s="674"/>
      <c r="Q471" s="674"/>
    </row>
    <row r="472">
      <c r="A472" s="674"/>
      <c r="B472" s="674"/>
      <c r="C472" s="674"/>
      <c r="D472" s="674"/>
      <c r="E472" s="674"/>
      <c r="F472" s="683"/>
      <c r="G472" s="674"/>
      <c r="H472" s="674"/>
      <c r="I472" s="674"/>
      <c r="J472" s="674"/>
      <c r="K472" s="674"/>
      <c r="L472" s="674"/>
      <c r="M472" s="674"/>
      <c r="N472" s="669"/>
      <c r="O472" s="670"/>
      <c r="P472" s="674"/>
      <c r="Q472" s="674"/>
    </row>
    <row r="473">
      <c r="A473" s="674"/>
      <c r="B473" s="674"/>
      <c r="C473" s="674"/>
      <c r="D473" s="674"/>
      <c r="E473" s="674"/>
      <c r="F473" s="683"/>
      <c r="G473" s="674"/>
      <c r="H473" s="674"/>
      <c r="I473" s="674"/>
      <c r="J473" s="674"/>
      <c r="K473" s="674"/>
      <c r="L473" s="674"/>
      <c r="M473" s="674"/>
      <c r="N473" s="669"/>
      <c r="O473" s="670"/>
      <c r="P473" s="674"/>
      <c r="Q473" s="674"/>
    </row>
    <row r="474">
      <c r="A474" s="674"/>
      <c r="B474" s="674"/>
      <c r="C474" s="674"/>
      <c r="D474" s="674"/>
      <c r="E474" s="674"/>
      <c r="F474" s="683"/>
      <c r="G474" s="674"/>
      <c r="H474" s="674"/>
      <c r="I474" s="674"/>
      <c r="J474" s="674"/>
      <c r="K474" s="674"/>
      <c r="L474" s="674"/>
      <c r="M474" s="674"/>
      <c r="N474" s="669"/>
      <c r="O474" s="670"/>
      <c r="P474" s="674"/>
      <c r="Q474" s="674"/>
    </row>
    <row r="475">
      <c r="A475" s="674"/>
      <c r="B475" s="674"/>
      <c r="C475" s="674"/>
      <c r="D475" s="674"/>
      <c r="E475" s="674"/>
      <c r="F475" s="683"/>
      <c r="G475" s="674"/>
      <c r="H475" s="674"/>
      <c r="I475" s="674"/>
      <c r="J475" s="674"/>
      <c r="K475" s="674"/>
      <c r="L475" s="674"/>
      <c r="M475" s="674"/>
      <c r="N475" s="669"/>
      <c r="O475" s="670"/>
      <c r="P475" s="674"/>
      <c r="Q475" s="674"/>
    </row>
    <row r="476">
      <c r="A476" s="674"/>
      <c r="B476" s="674"/>
      <c r="C476" s="674"/>
      <c r="D476" s="674"/>
      <c r="E476" s="674"/>
      <c r="F476" s="683"/>
      <c r="G476" s="674"/>
      <c r="H476" s="674"/>
      <c r="I476" s="674"/>
      <c r="J476" s="674"/>
      <c r="K476" s="674"/>
      <c r="L476" s="674"/>
      <c r="M476" s="674"/>
      <c r="N476" s="669"/>
      <c r="O476" s="670"/>
      <c r="P476" s="674"/>
      <c r="Q476" s="674"/>
    </row>
    <row r="477">
      <c r="A477" s="674"/>
      <c r="B477" s="674"/>
      <c r="C477" s="674"/>
      <c r="D477" s="674"/>
      <c r="E477" s="674"/>
      <c r="F477" s="683"/>
      <c r="G477" s="674"/>
      <c r="H477" s="674"/>
      <c r="I477" s="674"/>
      <c r="J477" s="674"/>
      <c r="K477" s="674"/>
      <c r="L477" s="674"/>
      <c r="M477" s="674"/>
      <c r="N477" s="669"/>
      <c r="O477" s="670"/>
      <c r="P477" s="674"/>
      <c r="Q477" s="674"/>
    </row>
    <row r="478">
      <c r="A478" s="674"/>
      <c r="B478" s="674"/>
      <c r="C478" s="674"/>
      <c r="D478" s="674"/>
      <c r="E478" s="674"/>
      <c r="F478" s="683"/>
      <c r="G478" s="674"/>
      <c r="H478" s="674"/>
      <c r="I478" s="674"/>
      <c r="J478" s="674"/>
      <c r="K478" s="674"/>
      <c r="L478" s="674"/>
      <c r="M478" s="674"/>
      <c r="N478" s="669"/>
      <c r="O478" s="670"/>
      <c r="P478" s="674"/>
      <c r="Q478" s="674"/>
    </row>
    <row r="479">
      <c r="A479" s="674"/>
      <c r="B479" s="674"/>
      <c r="C479" s="674"/>
      <c r="D479" s="674"/>
      <c r="E479" s="674"/>
      <c r="F479" s="683"/>
      <c r="G479" s="674"/>
      <c r="H479" s="674"/>
      <c r="I479" s="674"/>
      <c r="J479" s="674"/>
      <c r="K479" s="674"/>
      <c r="L479" s="674"/>
      <c r="M479" s="674"/>
      <c r="N479" s="669"/>
      <c r="O479" s="670"/>
      <c r="P479" s="674"/>
      <c r="Q479" s="674"/>
    </row>
    <row r="480">
      <c r="A480" s="674"/>
      <c r="B480" s="674"/>
      <c r="C480" s="674"/>
      <c r="D480" s="674"/>
      <c r="E480" s="674"/>
      <c r="F480" s="683"/>
      <c r="G480" s="674"/>
      <c r="H480" s="674"/>
      <c r="I480" s="674"/>
      <c r="J480" s="674"/>
      <c r="K480" s="674"/>
      <c r="L480" s="674"/>
      <c r="M480" s="674"/>
      <c r="N480" s="669"/>
      <c r="O480" s="670"/>
      <c r="P480" s="674"/>
      <c r="Q480" s="674"/>
    </row>
    <row r="481">
      <c r="A481" s="674"/>
      <c r="B481" s="674"/>
      <c r="C481" s="674"/>
      <c r="D481" s="674"/>
      <c r="E481" s="674"/>
      <c r="F481" s="683"/>
      <c r="G481" s="674"/>
      <c r="H481" s="674"/>
      <c r="I481" s="674"/>
      <c r="J481" s="674"/>
      <c r="K481" s="674"/>
      <c r="L481" s="674"/>
      <c r="M481" s="674"/>
      <c r="N481" s="669"/>
      <c r="O481" s="670"/>
      <c r="P481" s="674"/>
      <c r="Q481" s="674"/>
    </row>
    <row r="482">
      <c r="A482" s="674"/>
      <c r="B482" s="674"/>
      <c r="C482" s="674"/>
      <c r="D482" s="674"/>
      <c r="E482" s="674"/>
      <c r="F482" s="683"/>
      <c r="G482" s="674"/>
      <c r="H482" s="674"/>
      <c r="I482" s="674"/>
      <c r="J482" s="674"/>
      <c r="K482" s="674"/>
      <c r="L482" s="674"/>
      <c r="M482" s="674"/>
      <c r="N482" s="669"/>
      <c r="O482" s="670"/>
      <c r="P482" s="674"/>
      <c r="Q482" s="674"/>
    </row>
    <row r="483">
      <c r="A483" s="674"/>
      <c r="B483" s="674"/>
      <c r="C483" s="674"/>
      <c r="D483" s="674"/>
      <c r="E483" s="674"/>
      <c r="F483" s="683"/>
      <c r="G483" s="674"/>
      <c r="H483" s="674"/>
      <c r="I483" s="674"/>
      <c r="J483" s="674"/>
      <c r="K483" s="674"/>
      <c r="L483" s="674"/>
      <c r="M483" s="674"/>
      <c r="N483" s="669"/>
      <c r="O483" s="670"/>
      <c r="P483" s="674"/>
      <c r="Q483" s="674"/>
    </row>
    <row r="484">
      <c r="A484" s="674"/>
      <c r="B484" s="674"/>
      <c r="C484" s="674"/>
      <c r="D484" s="674"/>
      <c r="E484" s="674"/>
      <c r="F484" s="683"/>
      <c r="G484" s="674"/>
      <c r="H484" s="674"/>
      <c r="I484" s="674"/>
      <c r="J484" s="674"/>
      <c r="K484" s="674"/>
      <c r="L484" s="674"/>
      <c r="M484" s="674"/>
      <c r="N484" s="669"/>
      <c r="O484" s="670"/>
      <c r="P484" s="674"/>
      <c r="Q484" s="674"/>
    </row>
    <row r="485">
      <c r="A485" s="674"/>
      <c r="B485" s="674"/>
      <c r="C485" s="674"/>
      <c r="D485" s="674"/>
      <c r="E485" s="674"/>
      <c r="F485" s="683"/>
      <c r="G485" s="674"/>
      <c r="H485" s="674"/>
      <c r="I485" s="674"/>
      <c r="J485" s="674"/>
      <c r="K485" s="674"/>
      <c r="L485" s="674"/>
      <c r="M485" s="674"/>
      <c r="N485" s="669"/>
      <c r="O485" s="670"/>
      <c r="P485" s="674"/>
      <c r="Q485" s="674"/>
    </row>
    <row r="486">
      <c r="A486" s="674"/>
      <c r="B486" s="674"/>
      <c r="C486" s="674"/>
      <c r="D486" s="674"/>
      <c r="E486" s="674"/>
      <c r="F486" s="683"/>
      <c r="G486" s="674"/>
      <c r="H486" s="674"/>
      <c r="I486" s="674"/>
      <c r="J486" s="674"/>
      <c r="K486" s="674"/>
      <c r="L486" s="674"/>
      <c r="M486" s="674"/>
      <c r="N486" s="669"/>
      <c r="O486" s="670"/>
      <c r="P486" s="674"/>
      <c r="Q486" s="674"/>
    </row>
    <row r="487">
      <c r="A487" s="674"/>
      <c r="B487" s="674"/>
      <c r="C487" s="674"/>
      <c r="D487" s="674"/>
      <c r="E487" s="674"/>
      <c r="F487" s="683"/>
      <c r="G487" s="674"/>
      <c r="H487" s="674"/>
      <c r="I487" s="674"/>
      <c r="J487" s="674"/>
      <c r="K487" s="674"/>
      <c r="L487" s="674"/>
      <c r="M487" s="674"/>
      <c r="N487" s="669"/>
      <c r="O487" s="670"/>
      <c r="P487" s="674"/>
      <c r="Q487" s="674"/>
    </row>
    <row r="488">
      <c r="A488" s="674"/>
      <c r="B488" s="674"/>
      <c r="C488" s="674"/>
      <c r="D488" s="674"/>
      <c r="E488" s="674"/>
      <c r="F488" s="683"/>
      <c r="G488" s="674"/>
      <c r="H488" s="674"/>
      <c r="I488" s="674"/>
      <c r="J488" s="674"/>
      <c r="K488" s="674"/>
      <c r="L488" s="674"/>
      <c r="M488" s="674"/>
      <c r="N488" s="669"/>
      <c r="O488" s="670"/>
      <c r="P488" s="674"/>
      <c r="Q488" s="674"/>
    </row>
    <row r="489">
      <c r="A489" s="674"/>
      <c r="B489" s="674"/>
      <c r="C489" s="674"/>
      <c r="D489" s="674"/>
      <c r="E489" s="674"/>
      <c r="F489" s="683"/>
      <c r="G489" s="674"/>
      <c r="H489" s="674"/>
      <c r="I489" s="674"/>
      <c r="J489" s="674"/>
      <c r="K489" s="674"/>
      <c r="L489" s="674"/>
      <c r="M489" s="674"/>
      <c r="N489" s="669"/>
      <c r="O489" s="670"/>
      <c r="P489" s="674"/>
      <c r="Q489" s="674"/>
    </row>
    <row r="490">
      <c r="A490" s="674"/>
      <c r="B490" s="674"/>
      <c r="C490" s="674"/>
      <c r="D490" s="674"/>
      <c r="E490" s="674"/>
      <c r="F490" s="683"/>
      <c r="G490" s="674"/>
      <c r="H490" s="674"/>
      <c r="I490" s="674"/>
      <c r="J490" s="674"/>
      <c r="K490" s="674"/>
      <c r="L490" s="674"/>
      <c r="M490" s="674"/>
      <c r="N490" s="669"/>
      <c r="O490" s="670"/>
      <c r="P490" s="674"/>
      <c r="Q490" s="674"/>
    </row>
    <row r="491">
      <c r="A491" s="674"/>
      <c r="B491" s="674"/>
      <c r="C491" s="674"/>
      <c r="D491" s="674"/>
      <c r="E491" s="674"/>
      <c r="F491" s="683"/>
      <c r="G491" s="674"/>
      <c r="H491" s="674"/>
      <c r="I491" s="674"/>
      <c r="J491" s="674"/>
      <c r="K491" s="674"/>
      <c r="L491" s="674"/>
      <c r="M491" s="674"/>
      <c r="N491" s="669"/>
      <c r="O491" s="670"/>
      <c r="P491" s="674"/>
      <c r="Q491" s="674"/>
    </row>
    <row r="492">
      <c r="A492" s="674"/>
      <c r="B492" s="674"/>
      <c r="C492" s="674"/>
      <c r="D492" s="674"/>
      <c r="E492" s="674"/>
      <c r="F492" s="683"/>
      <c r="G492" s="674"/>
      <c r="H492" s="674"/>
      <c r="I492" s="674"/>
      <c r="J492" s="674"/>
      <c r="K492" s="674"/>
      <c r="L492" s="674"/>
      <c r="M492" s="674"/>
      <c r="N492" s="669"/>
      <c r="O492" s="670"/>
      <c r="P492" s="674"/>
      <c r="Q492" s="674"/>
    </row>
    <row r="493">
      <c r="A493" s="674"/>
      <c r="B493" s="674"/>
      <c r="C493" s="674"/>
      <c r="D493" s="674"/>
      <c r="E493" s="674"/>
      <c r="F493" s="683"/>
      <c r="G493" s="674"/>
      <c r="H493" s="674"/>
      <c r="I493" s="674"/>
      <c r="J493" s="674"/>
      <c r="K493" s="674"/>
      <c r="L493" s="674"/>
      <c r="M493" s="674"/>
      <c r="N493" s="669"/>
      <c r="O493" s="670"/>
      <c r="P493" s="674"/>
      <c r="Q493" s="674"/>
    </row>
    <row r="494">
      <c r="A494" s="674"/>
      <c r="B494" s="674"/>
      <c r="C494" s="674"/>
      <c r="D494" s="674"/>
      <c r="E494" s="674"/>
      <c r="F494" s="683"/>
      <c r="G494" s="674"/>
      <c r="H494" s="674"/>
      <c r="I494" s="674"/>
      <c r="J494" s="674"/>
      <c r="K494" s="674"/>
      <c r="L494" s="674"/>
      <c r="M494" s="674"/>
      <c r="N494" s="669"/>
      <c r="O494" s="670"/>
      <c r="P494" s="674"/>
      <c r="Q494" s="674"/>
    </row>
    <row r="495">
      <c r="A495" s="674"/>
      <c r="B495" s="674"/>
      <c r="C495" s="674"/>
      <c r="D495" s="674"/>
      <c r="E495" s="674"/>
      <c r="F495" s="683"/>
      <c r="G495" s="674"/>
      <c r="H495" s="674"/>
      <c r="I495" s="674"/>
      <c r="J495" s="674"/>
      <c r="K495" s="674"/>
      <c r="L495" s="674"/>
      <c r="M495" s="674"/>
      <c r="N495" s="669"/>
      <c r="O495" s="670"/>
      <c r="P495" s="674"/>
      <c r="Q495" s="674"/>
    </row>
    <row r="496">
      <c r="A496" s="674"/>
      <c r="B496" s="674"/>
      <c r="C496" s="674"/>
      <c r="D496" s="674"/>
      <c r="E496" s="674"/>
      <c r="F496" s="683"/>
      <c r="G496" s="674"/>
      <c r="H496" s="674"/>
      <c r="I496" s="674"/>
      <c r="J496" s="674"/>
      <c r="K496" s="674"/>
      <c r="L496" s="674"/>
      <c r="M496" s="674"/>
      <c r="N496" s="669"/>
      <c r="O496" s="670"/>
      <c r="P496" s="674"/>
      <c r="Q496" s="674"/>
    </row>
    <row r="497">
      <c r="A497" s="674"/>
      <c r="B497" s="674"/>
      <c r="C497" s="674"/>
      <c r="D497" s="674"/>
      <c r="E497" s="674"/>
      <c r="F497" s="683"/>
      <c r="G497" s="674"/>
      <c r="H497" s="674"/>
      <c r="I497" s="674"/>
      <c r="J497" s="674"/>
      <c r="K497" s="674"/>
      <c r="L497" s="674"/>
      <c r="M497" s="674"/>
      <c r="N497" s="669"/>
      <c r="O497" s="670"/>
      <c r="P497" s="674"/>
      <c r="Q497" s="674"/>
    </row>
    <row r="498">
      <c r="A498" s="674"/>
      <c r="B498" s="674"/>
      <c r="C498" s="674"/>
      <c r="D498" s="674"/>
      <c r="E498" s="674"/>
      <c r="F498" s="683"/>
      <c r="G498" s="674"/>
      <c r="H498" s="674"/>
      <c r="I498" s="674"/>
      <c r="J498" s="674"/>
      <c r="K498" s="674"/>
      <c r="L498" s="674"/>
      <c r="M498" s="674"/>
      <c r="N498" s="669"/>
      <c r="O498" s="670"/>
      <c r="P498" s="674"/>
      <c r="Q498" s="674"/>
    </row>
    <row r="499">
      <c r="A499" s="674"/>
      <c r="B499" s="674"/>
      <c r="C499" s="674"/>
      <c r="D499" s="674"/>
      <c r="E499" s="674"/>
      <c r="F499" s="683"/>
      <c r="G499" s="674"/>
      <c r="H499" s="674"/>
      <c r="I499" s="674"/>
      <c r="J499" s="674"/>
      <c r="K499" s="674"/>
      <c r="L499" s="674"/>
      <c r="M499" s="674"/>
      <c r="N499" s="669"/>
      <c r="O499" s="670"/>
      <c r="P499" s="674"/>
      <c r="Q499" s="674"/>
    </row>
    <row r="500">
      <c r="A500" s="674"/>
      <c r="B500" s="674"/>
      <c r="C500" s="674"/>
      <c r="D500" s="674"/>
      <c r="E500" s="674"/>
      <c r="F500" s="683"/>
      <c r="G500" s="674"/>
      <c r="H500" s="674"/>
      <c r="I500" s="674"/>
      <c r="J500" s="674"/>
      <c r="K500" s="674"/>
      <c r="L500" s="674"/>
      <c r="M500" s="674"/>
      <c r="N500" s="669"/>
      <c r="O500" s="670"/>
      <c r="P500" s="674"/>
      <c r="Q500" s="674"/>
    </row>
    <row r="501">
      <c r="A501" s="674"/>
      <c r="B501" s="674"/>
      <c r="C501" s="674"/>
      <c r="D501" s="674"/>
      <c r="E501" s="674"/>
      <c r="F501" s="683"/>
      <c r="G501" s="674"/>
      <c r="H501" s="674"/>
      <c r="I501" s="674"/>
      <c r="J501" s="674"/>
      <c r="K501" s="674"/>
      <c r="L501" s="674"/>
      <c r="M501" s="674"/>
      <c r="N501" s="669"/>
      <c r="O501" s="670"/>
      <c r="P501" s="674"/>
      <c r="Q501" s="674"/>
    </row>
    <row r="502">
      <c r="A502" s="674"/>
      <c r="B502" s="674"/>
      <c r="C502" s="674"/>
      <c r="D502" s="674"/>
      <c r="E502" s="674"/>
      <c r="F502" s="683"/>
      <c r="G502" s="674"/>
      <c r="H502" s="674"/>
      <c r="I502" s="674"/>
      <c r="J502" s="674"/>
      <c r="K502" s="674"/>
      <c r="L502" s="674"/>
      <c r="M502" s="674"/>
      <c r="N502" s="669"/>
      <c r="O502" s="670"/>
      <c r="P502" s="674"/>
      <c r="Q502" s="674"/>
    </row>
    <row r="503">
      <c r="A503" s="674"/>
      <c r="B503" s="674"/>
      <c r="C503" s="674"/>
      <c r="D503" s="674"/>
      <c r="E503" s="674"/>
      <c r="F503" s="683"/>
      <c r="G503" s="674"/>
      <c r="H503" s="674"/>
      <c r="I503" s="674"/>
      <c r="J503" s="674"/>
      <c r="K503" s="674"/>
      <c r="L503" s="674"/>
      <c r="M503" s="674"/>
      <c r="N503" s="669"/>
      <c r="O503" s="670"/>
      <c r="P503" s="674"/>
      <c r="Q503" s="674"/>
    </row>
    <row r="504">
      <c r="A504" s="674"/>
      <c r="B504" s="674"/>
      <c r="C504" s="674"/>
      <c r="D504" s="674"/>
      <c r="E504" s="674"/>
      <c r="F504" s="683"/>
      <c r="G504" s="674"/>
      <c r="H504" s="674"/>
      <c r="I504" s="674"/>
      <c r="J504" s="674"/>
      <c r="K504" s="674"/>
      <c r="L504" s="674"/>
      <c r="M504" s="674"/>
      <c r="N504" s="669"/>
      <c r="O504" s="670"/>
      <c r="P504" s="674"/>
      <c r="Q504" s="674"/>
    </row>
    <row r="505">
      <c r="A505" s="674"/>
      <c r="B505" s="674"/>
      <c r="C505" s="674"/>
      <c r="D505" s="674"/>
      <c r="E505" s="674"/>
      <c r="F505" s="683"/>
      <c r="G505" s="674"/>
      <c r="H505" s="674"/>
      <c r="I505" s="674"/>
      <c r="J505" s="674"/>
      <c r="K505" s="674"/>
      <c r="L505" s="674"/>
      <c r="M505" s="674"/>
      <c r="N505" s="669"/>
      <c r="O505" s="670"/>
      <c r="P505" s="674"/>
      <c r="Q505" s="674"/>
    </row>
    <row r="506">
      <c r="A506" s="674"/>
      <c r="B506" s="674"/>
      <c r="C506" s="674"/>
      <c r="D506" s="674"/>
      <c r="E506" s="674"/>
      <c r="F506" s="683"/>
      <c r="G506" s="674"/>
      <c r="H506" s="674"/>
      <c r="I506" s="674"/>
      <c r="J506" s="674"/>
      <c r="K506" s="674"/>
      <c r="L506" s="674"/>
      <c r="M506" s="674"/>
      <c r="N506" s="669"/>
      <c r="O506" s="670"/>
      <c r="P506" s="674"/>
      <c r="Q506" s="674"/>
    </row>
    <row r="507">
      <c r="A507" s="674"/>
      <c r="B507" s="674"/>
      <c r="C507" s="674"/>
      <c r="D507" s="674"/>
      <c r="E507" s="674"/>
      <c r="F507" s="683"/>
      <c r="G507" s="674"/>
      <c r="H507" s="674"/>
      <c r="I507" s="674"/>
      <c r="J507" s="674"/>
      <c r="K507" s="674"/>
      <c r="L507" s="674"/>
      <c r="M507" s="674"/>
      <c r="N507" s="669"/>
      <c r="O507" s="670"/>
      <c r="P507" s="674"/>
      <c r="Q507" s="674"/>
    </row>
    <row r="508">
      <c r="A508" s="674"/>
      <c r="B508" s="674"/>
      <c r="C508" s="674"/>
      <c r="D508" s="674"/>
      <c r="E508" s="674"/>
      <c r="F508" s="683"/>
      <c r="G508" s="674"/>
      <c r="H508" s="674"/>
      <c r="I508" s="674"/>
      <c r="J508" s="674"/>
      <c r="K508" s="674"/>
      <c r="L508" s="674"/>
      <c r="M508" s="674"/>
      <c r="N508" s="669"/>
      <c r="O508" s="670"/>
      <c r="P508" s="674"/>
      <c r="Q508" s="674"/>
    </row>
    <row r="509">
      <c r="A509" s="674"/>
      <c r="B509" s="674"/>
      <c r="C509" s="674"/>
      <c r="D509" s="674"/>
      <c r="E509" s="674"/>
      <c r="F509" s="683"/>
      <c r="G509" s="674"/>
      <c r="H509" s="674"/>
      <c r="I509" s="674"/>
      <c r="J509" s="674"/>
      <c r="K509" s="674"/>
      <c r="L509" s="674"/>
      <c r="M509" s="674"/>
      <c r="N509" s="669"/>
      <c r="O509" s="670"/>
      <c r="P509" s="674"/>
      <c r="Q509" s="674"/>
    </row>
    <row r="510">
      <c r="A510" s="674"/>
      <c r="B510" s="674"/>
      <c r="C510" s="674"/>
      <c r="D510" s="674"/>
      <c r="E510" s="674"/>
      <c r="F510" s="683"/>
      <c r="G510" s="674"/>
      <c r="H510" s="674"/>
      <c r="I510" s="674"/>
      <c r="J510" s="674"/>
      <c r="K510" s="674"/>
      <c r="L510" s="674"/>
      <c r="M510" s="674"/>
      <c r="N510" s="669"/>
      <c r="O510" s="670"/>
      <c r="P510" s="674"/>
      <c r="Q510" s="674"/>
    </row>
    <row r="511">
      <c r="A511" s="674"/>
      <c r="B511" s="674"/>
      <c r="C511" s="674"/>
      <c r="D511" s="674"/>
      <c r="E511" s="674"/>
      <c r="F511" s="683"/>
      <c r="G511" s="674"/>
      <c r="H511" s="674"/>
      <c r="I511" s="674"/>
      <c r="J511" s="674"/>
      <c r="K511" s="674"/>
      <c r="L511" s="674"/>
      <c r="M511" s="674"/>
      <c r="N511" s="669"/>
      <c r="O511" s="670"/>
      <c r="P511" s="674"/>
      <c r="Q511" s="674"/>
    </row>
    <row r="512">
      <c r="A512" s="674"/>
      <c r="B512" s="674"/>
      <c r="C512" s="674"/>
      <c r="D512" s="674"/>
      <c r="E512" s="674"/>
      <c r="F512" s="683"/>
      <c r="G512" s="674"/>
      <c r="H512" s="674"/>
      <c r="I512" s="674"/>
      <c r="J512" s="674"/>
      <c r="K512" s="674"/>
      <c r="L512" s="674"/>
      <c r="M512" s="674"/>
      <c r="N512" s="669"/>
      <c r="O512" s="670"/>
      <c r="P512" s="674"/>
      <c r="Q512" s="674"/>
    </row>
    <row r="513">
      <c r="A513" s="674"/>
      <c r="B513" s="674"/>
      <c r="C513" s="674"/>
      <c r="D513" s="674"/>
      <c r="E513" s="674"/>
      <c r="F513" s="683"/>
      <c r="G513" s="674"/>
      <c r="H513" s="674"/>
      <c r="I513" s="674"/>
      <c r="J513" s="674"/>
      <c r="K513" s="674"/>
      <c r="L513" s="674"/>
      <c r="M513" s="674"/>
      <c r="N513" s="669"/>
      <c r="O513" s="670"/>
      <c r="P513" s="674"/>
      <c r="Q513" s="674"/>
    </row>
    <row r="514">
      <c r="A514" s="674"/>
      <c r="B514" s="674"/>
      <c r="C514" s="674"/>
      <c r="D514" s="674"/>
      <c r="E514" s="674"/>
      <c r="F514" s="683"/>
      <c r="G514" s="674"/>
      <c r="H514" s="674"/>
      <c r="I514" s="674"/>
      <c r="J514" s="674"/>
      <c r="K514" s="674"/>
      <c r="L514" s="674"/>
      <c r="M514" s="674"/>
      <c r="N514" s="669"/>
      <c r="O514" s="670"/>
      <c r="P514" s="674"/>
      <c r="Q514" s="674"/>
    </row>
    <row r="515">
      <c r="A515" s="674"/>
      <c r="B515" s="674"/>
      <c r="C515" s="674"/>
      <c r="D515" s="674"/>
      <c r="E515" s="674"/>
      <c r="F515" s="683"/>
      <c r="G515" s="674"/>
      <c r="H515" s="674"/>
      <c r="I515" s="674"/>
      <c r="J515" s="674"/>
      <c r="K515" s="674"/>
      <c r="L515" s="674"/>
      <c r="M515" s="674"/>
      <c r="N515" s="669"/>
      <c r="O515" s="670"/>
      <c r="P515" s="674"/>
      <c r="Q515" s="674"/>
    </row>
    <row r="516">
      <c r="A516" s="674"/>
      <c r="B516" s="674"/>
      <c r="C516" s="674"/>
      <c r="D516" s="674"/>
      <c r="E516" s="674"/>
      <c r="F516" s="683"/>
      <c r="G516" s="674"/>
      <c r="H516" s="674"/>
      <c r="I516" s="674"/>
      <c r="J516" s="674"/>
      <c r="K516" s="674"/>
      <c r="L516" s="674"/>
      <c r="M516" s="674"/>
      <c r="N516" s="669"/>
      <c r="O516" s="670"/>
      <c r="P516" s="674"/>
      <c r="Q516" s="674"/>
    </row>
    <row r="517">
      <c r="A517" s="674"/>
      <c r="B517" s="674"/>
      <c r="C517" s="674"/>
      <c r="D517" s="674"/>
      <c r="E517" s="674"/>
      <c r="F517" s="683"/>
      <c r="G517" s="674"/>
      <c r="H517" s="674"/>
      <c r="I517" s="674"/>
      <c r="J517" s="674"/>
      <c r="K517" s="674"/>
      <c r="L517" s="674"/>
      <c r="M517" s="674"/>
      <c r="N517" s="669"/>
      <c r="O517" s="670"/>
      <c r="P517" s="674"/>
      <c r="Q517" s="674"/>
    </row>
    <row r="518">
      <c r="A518" s="674"/>
      <c r="B518" s="674"/>
      <c r="C518" s="674"/>
      <c r="D518" s="674"/>
      <c r="E518" s="674"/>
      <c r="F518" s="683"/>
      <c r="G518" s="674"/>
      <c r="H518" s="674"/>
      <c r="I518" s="674"/>
      <c r="J518" s="674"/>
      <c r="K518" s="674"/>
      <c r="L518" s="674"/>
      <c r="M518" s="674"/>
      <c r="N518" s="669"/>
      <c r="O518" s="670"/>
      <c r="P518" s="674"/>
      <c r="Q518" s="674"/>
    </row>
    <row r="519">
      <c r="A519" s="674"/>
      <c r="B519" s="674"/>
      <c r="C519" s="674"/>
      <c r="D519" s="674"/>
      <c r="E519" s="674"/>
      <c r="F519" s="683"/>
      <c r="G519" s="674"/>
      <c r="H519" s="674"/>
      <c r="I519" s="674"/>
      <c r="J519" s="674"/>
      <c r="K519" s="674"/>
      <c r="L519" s="674"/>
      <c r="M519" s="674"/>
      <c r="N519" s="669"/>
      <c r="O519" s="670"/>
      <c r="P519" s="674"/>
      <c r="Q519" s="674"/>
    </row>
    <row r="520">
      <c r="A520" s="674"/>
      <c r="B520" s="674"/>
      <c r="C520" s="674"/>
      <c r="D520" s="674"/>
      <c r="E520" s="674"/>
      <c r="F520" s="683"/>
      <c r="G520" s="674"/>
      <c r="H520" s="674"/>
      <c r="I520" s="674"/>
      <c r="J520" s="674"/>
      <c r="K520" s="674"/>
      <c r="L520" s="674"/>
      <c r="M520" s="674"/>
      <c r="N520" s="669"/>
      <c r="O520" s="670"/>
      <c r="P520" s="674"/>
      <c r="Q520" s="674"/>
    </row>
    <row r="521">
      <c r="A521" s="674"/>
      <c r="B521" s="674"/>
      <c r="C521" s="674"/>
      <c r="D521" s="674"/>
      <c r="E521" s="674"/>
      <c r="F521" s="683"/>
      <c r="G521" s="674"/>
      <c r="H521" s="674"/>
      <c r="I521" s="674"/>
      <c r="J521" s="674"/>
      <c r="K521" s="674"/>
      <c r="L521" s="674"/>
      <c r="M521" s="674"/>
      <c r="N521" s="669"/>
      <c r="O521" s="670"/>
      <c r="P521" s="674"/>
      <c r="Q521" s="674"/>
    </row>
    <row r="522">
      <c r="A522" s="674"/>
      <c r="B522" s="674"/>
      <c r="C522" s="674"/>
      <c r="D522" s="674"/>
      <c r="E522" s="674"/>
      <c r="F522" s="683"/>
      <c r="G522" s="674"/>
      <c r="H522" s="674"/>
      <c r="I522" s="674"/>
      <c r="J522" s="674"/>
      <c r="K522" s="674"/>
      <c r="L522" s="674"/>
      <c r="M522" s="674"/>
      <c r="N522" s="669"/>
      <c r="O522" s="670"/>
      <c r="P522" s="674"/>
      <c r="Q522" s="674"/>
    </row>
    <row r="523">
      <c r="A523" s="674"/>
      <c r="B523" s="674"/>
      <c r="C523" s="674"/>
      <c r="D523" s="674"/>
      <c r="E523" s="674"/>
      <c r="F523" s="683"/>
      <c r="G523" s="674"/>
      <c r="H523" s="674"/>
      <c r="I523" s="674"/>
      <c r="J523" s="674"/>
      <c r="K523" s="674"/>
      <c r="L523" s="674"/>
      <c r="M523" s="674"/>
      <c r="N523" s="669"/>
      <c r="O523" s="670"/>
      <c r="P523" s="674"/>
      <c r="Q523" s="674"/>
    </row>
    <row r="524">
      <c r="A524" s="674"/>
      <c r="B524" s="674"/>
      <c r="C524" s="674"/>
      <c r="D524" s="674"/>
      <c r="E524" s="674"/>
      <c r="F524" s="683"/>
      <c r="G524" s="674"/>
      <c r="H524" s="674"/>
      <c r="I524" s="674"/>
      <c r="J524" s="674"/>
      <c r="K524" s="674"/>
      <c r="L524" s="674"/>
      <c r="M524" s="674"/>
      <c r="N524" s="669"/>
      <c r="O524" s="670"/>
      <c r="P524" s="674"/>
      <c r="Q524" s="674"/>
    </row>
    <row r="525">
      <c r="A525" s="674"/>
      <c r="B525" s="674"/>
      <c r="C525" s="674"/>
      <c r="D525" s="674"/>
      <c r="E525" s="674"/>
      <c r="F525" s="683"/>
      <c r="G525" s="674"/>
      <c r="H525" s="674"/>
      <c r="I525" s="674"/>
      <c r="J525" s="674"/>
      <c r="K525" s="674"/>
      <c r="L525" s="674"/>
      <c r="M525" s="674"/>
      <c r="N525" s="669"/>
      <c r="O525" s="670"/>
      <c r="P525" s="674"/>
      <c r="Q525" s="674"/>
    </row>
    <row r="526">
      <c r="A526" s="674"/>
      <c r="B526" s="674"/>
      <c r="C526" s="674"/>
      <c r="D526" s="674"/>
      <c r="E526" s="674"/>
      <c r="F526" s="683"/>
      <c r="G526" s="674"/>
      <c r="H526" s="674"/>
      <c r="I526" s="674"/>
      <c r="J526" s="674"/>
      <c r="K526" s="674"/>
      <c r="L526" s="674"/>
      <c r="M526" s="674"/>
      <c r="N526" s="669"/>
      <c r="O526" s="670"/>
      <c r="P526" s="674"/>
      <c r="Q526" s="674"/>
    </row>
    <row r="527">
      <c r="A527" s="674"/>
      <c r="B527" s="674"/>
      <c r="C527" s="674"/>
      <c r="D527" s="674"/>
      <c r="E527" s="674"/>
      <c r="F527" s="683"/>
      <c r="G527" s="674"/>
      <c r="H527" s="674"/>
      <c r="I527" s="674"/>
      <c r="J527" s="674"/>
      <c r="K527" s="674"/>
      <c r="L527" s="674"/>
      <c r="M527" s="674"/>
      <c r="N527" s="669"/>
      <c r="O527" s="670"/>
      <c r="P527" s="674"/>
      <c r="Q527" s="674"/>
    </row>
    <row r="528">
      <c r="A528" s="674"/>
      <c r="B528" s="674"/>
      <c r="C528" s="674"/>
      <c r="D528" s="674"/>
      <c r="E528" s="674"/>
      <c r="F528" s="683"/>
      <c r="G528" s="674"/>
      <c r="H528" s="674"/>
      <c r="I528" s="674"/>
      <c r="J528" s="674"/>
      <c r="K528" s="674"/>
      <c r="L528" s="674"/>
      <c r="M528" s="674"/>
      <c r="N528" s="669"/>
      <c r="O528" s="670"/>
      <c r="P528" s="674"/>
      <c r="Q528" s="674"/>
    </row>
    <row r="529">
      <c r="A529" s="674"/>
      <c r="B529" s="674"/>
      <c r="C529" s="674"/>
      <c r="D529" s="674"/>
      <c r="E529" s="674"/>
      <c r="F529" s="683"/>
      <c r="G529" s="674"/>
      <c r="H529" s="674"/>
      <c r="I529" s="674"/>
      <c r="J529" s="674"/>
      <c r="K529" s="674"/>
      <c r="L529" s="674"/>
      <c r="M529" s="674"/>
      <c r="N529" s="669"/>
      <c r="O529" s="670"/>
      <c r="P529" s="674"/>
      <c r="Q529" s="674"/>
    </row>
    <row r="530">
      <c r="A530" s="674"/>
      <c r="B530" s="674"/>
      <c r="C530" s="674"/>
      <c r="D530" s="674"/>
      <c r="E530" s="674"/>
      <c r="F530" s="683"/>
      <c r="G530" s="674"/>
      <c r="H530" s="674"/>
      <c r="I530" s="674"/>
      <c r="J530" s="674"/>
      <c r="K530" s="674"/>
      <c r="L530" s="674"/>
      <c r="M530" s="674"/>
      <c r="N530" s="669"/>
      <c r="O530" s="670"/>
      <c r="P530" s="674"/>
      <c r="Q530" s="674"/>
    </row>
    <row r="531">
      <c r="A531" s="674"/>
      <c r="B531" s="674"/>
      <c r="C531" s="674"/>
      <c r="D531" s="674"/>
      <c r="E531" s="674"/>
      <c r="F531" s="683"/>
      <c r="G531" s="674"/>
      <c r="H531" s="674"/>
      <c r="I531" s="674"/>
      <c r="J531" s="674"/>
      <c r="K531" s="674"/>
      <c r="L531" s="674"/>
      <c r="M531" s="674"/>
      <c r="N531" s="669"/>
      <c r="O531" s="670"/>
      <c r="P531" s="674"/>
      <c r="Q531" s="674"/>
    </row>
    <row r="532">
      <c r="A532" s="674"/>
      <c r="B532" s="674"/>
      <c r="C532" s="674"/>
      <c r="D532" s="674"/>
      <c r="E532" s="674"/>
      <c r="F532" s="683"/>
      <c r="G532" s="674"/>
      <c r="H532" s="674"/>
      <c r="I532" s="674"/>
      <c r="J532" s="674"/>
      <c r="K532" s="674"/>
      <c r="L532" s="674"/>
      <c r="M532" s="674"/>
      <c r="N532" s="669"/>
      <c r="O532" s="670"/>
      <c r="P532" s="674"/>
      <c r="Q532" s="674"/>
    </row>
    <row r="533">
      <c r="A533" s="674"/>
      <c r="B533" s="674"/>
      <c r="C533" s="674"/>
      <c r="D533" s="674"/>
      <c r="E533" s="674"/>
      <c r="F533" s="683"/>
      <c r="G533" s="674"/>
      <c r="H533" s="674"/>
      <c r="I533" s="674"/>
      <c r="J533" s="674"/>
      <c r="K533" s="674"/>
      <c r="L533" s="674"/>
      <c r="M533" s="674"/>
      <c r="N533" s="669"/>
      <c r="O533" s="670"/>
      <c r="P533" s="674"/>
      <c r="Q533" s="674"/>
    </row>
    <row r="534">
      <c r="A534" s="674"/>
      <c r="B534" s="674"/>
      <c r="C534" s="674"/>
      <c r="D534" s="674"/>
      <c r="E534" s="674"/>
      <c r="F534" s="683"/>
      <c r="G534" s="674"/>
      <c r="H534" s="674"/>
      <c r="I534" s="674"/>
      <c r="J534" s="674"/>
      <c r="K534" s="674"/>
      <c r="L534" s="674"/>
      <c r="M534" s="674"/>
      <c r="N534" s="669"/>
      <c r="O534" s="670"/>
      <c r="P534" s="674"/>
      <c r="Q534" s="674"/>
    </row>
    <row r="535">
      <c r="A535" s="674"/>
      <c r="B535" s="674"/>
      <c r="C535" s="674"/>
      <c r="D535" s="674"/>
      <c r="E535" s="674"/>
      <c r="F535" s="683"/>
      <c r="G535" s="674"/>
      <c r="H535" s="674"/>
      <c r="I535" s="674"/>
      <c r="J535" s="674"/>
      <c r="K535" s="674"/>
      <c r="L535" s="674"/>
      <c r="M535" s="674"/>
      <c r="N535" s="669"/>
      <c r="O535" s="670"/>
      <c r="P535" s="674"/>
      <c r="Q535" s="674"/>
    </row>
    <row r="536">
      <c r="A536" s="674"/>
      <c r="B536" s="674"/>
      <c r="C536" s="674"/>
      <c r="D536" s="674"/>
      <c r="E536" s="674"/>
      <c r="F536" s="683"/>
      <c r="G536" s="674"/>
      <c r="H536" s="674"/>
      <c r="I536" s="674"/>
      <c r="J536" s="674"/>
      <c r="K536" s="674"/>
      <c r="L536" s="674"/>
      <c r="M536" s="674"/>
      <c r="N536" s="669"/>
      <c r="O536" s="670"/>
      <c r="P536" s="674"/>
      <c r="Q536" s="674"/>
    </row>
    <row r="537">
      <c r="A537" s="674"/>
      <c r="B537" s="674"/>
      <c r="C537" s="674"/>
      <c r="D537" s="674"/>
      <c r="E537" s="674"/>
      <c r="F537" s="683"/>
      <c r="G537" s="674"/>
      <c r="H537" s="674"/>
      <c r="I537" s="674"/>
      <c r="J537" s="674"/>
      <c r="K537" s="674"/>
      <c r="L537" s="674"/>
      <c r="M537" s="674"/>
      <c r="N537" s="669"/>
      <c r="O537" s="670"/>
      <c r="P537" s="674"/>
      <c r="Q537" s="674"/>
    </row>
    <row r="538">
      <c r="A538" s="674"/>
      <c r="B538" s="674"/>
      <c r="C538" s="674"/>
      <c r="D538" s="674"/>
      <c r="E538" s="674"/>
      <c r="F538" s="683"/>
      <c r="G538" s="674"/>
      <c r="H538" s="674"/>
      <c r="I538" s="674"/>
      <c r="J538" s="674"/>
      <c r="K538" s="674"/>
      <c r="L538" s="674"/>
      <c r="M538" s="674"/>
      <c r="N538" s="669"/>
      <c r="O538" s="670"/>
      <c r="P538" s="674"/>
      <c r="Q538" s="674"/>
    </row>
    <row r="539">
      <c r="A539" s="674"/>
      <c r="B539" s="674"/>
      <c r="C539" s="674"/>
      <c r="D539" s="674"/>
      <c r="E539" s="674"/>
      <c r="F539" s="683"/>
      <c r="G539" s="674"/>
      <c r="H539" s="674"/>
      <c r="I539" s="674"/>
      <c r="J539" s="674"/>
      <c r="K539" s="674"/>
      <c r="L539" s="674"/>
      <c r="M539" s="674"/>
      <c r="N539" s="669"/>
      <c r="O539" s="670"/>
      <c r="P539" s="674"/>
      <c r="Q539" s="674"/>
    </row>
    <row r="540">
      <c r="A540" s="674"/>
      <c r="B540" s="674"/>
      <c r="C540" s="674"/>
      <c r="D540" s="674"/>
      <c r="E540" s="674"/>
      <c r="F540" s="683"/>
      <c r="G540" s="674"/>
      <c r="H540" s="674"/>
      <c r="I540" s="674"/>
      <c r="J540" s="674"/>
      <c r="K540" s="674"/>
      <c r="L540" s="674"/>
      <c r="M540" s="674"/>
      <c r="N540" s="669"/>
      <c r="O540" s="670"/>
      <c r="P540" s="674"/>
      <c r="Q540" s="674"/>
    </row>
    <row r="541">
      <c r="A541" s="674"/>
      <c r="B541" s="674"/>
      <c r="C541" s="674"/>
      <c r="D541" s="674"/>
      <c r="E541" s="674"/>
      <c r="F541" s="683"/>
      <c r="G541" s="674"/>
      <c r="H541" s="674"/>
      <c r="I541" s="674"/>
      <c r="J541" s="674"/>
      <c r="K541" s="674"/>
      <c r="L541" s="674"/>
      <c r="M541" s="674"/>
      <c r="N541" s="669"/>
      <c r="O541" s="670"/>
      <c r="P541" s="674"/>
      <c r="Q541" s="674"/>
    </row>
    <row r="542">
      <c r="A542" s="674"/>
      <c r="B542" s="674"/>
      <c r="C542" s="674"/>
      <c r="D542" s="674"/>
      <c r="E542" s="674"/>
      <c r="F542" s="683"/>
      <c r="G542" s="674"/>
      <c r="H542" s="674"/>
      <c r="I542" s="674"/>
      <c r="J542" s="674"/>
      <c r="K542" s="674"/>
      <c r="L542" s="674"/>
      <c r="M542" s="674"/>
      <c r="N542" s="669"/>
      <c r="O542" s="670"/>
      <c r="P542" s="674"/>
      <c r="Q542" s="674"/>
    </row>
    <row r="543">
      <c r="A543" s="674"/>
      <c r="B543" s="674"/>
      <c r="C543" s="674"/>
      <c r="D543" s="674"/>
      <c r="E543" s="674"/>
      <c r="F543" s="683"/>
      <c r="G543" s="674"/>
      <c r="H543" s="674"/>
      <c r="I543" s="674"/>
      <c r="J543" s="674"/>
      <c r="K543" s="674"/>
      <c r="L543" s="674"/>
      <c r="M543" s="674"/>
      <c r="N543" s="669"/>
      <c r="O543" s="670"/>
      <c r="P543" s="674"/>
      <c r="Q543" s="674"/>
    </row>
    <row r="544">
      <c r="A544" s="674"/>
      <c r="B544" s="674"/>
      <c r="C544" s="674"/>
      <c r="D544" s="674"/>
      <c r="E544" s="674"/>
      <c r="F544" s="683"/>
      <c r="G544" s="674"/>
      <c r="H544" s="674"/>
      <c r="I544" s="674"/>
      <c r="J544" s="674"/>
      <c r="K544" s="674"/>
      <c r="L544" s="674"/>
      <c r="M544" s="674"/>
      <c r="N544" s="669"/>
      <c r="O544" s="670"/>
      <c r="P544" s="674"/>
      <c r="Q544" s="674"/>
    </row>
    <row r="545">
      <c r="A545" s="674"/>
      <c r="B545" s="674"/>
      <c r="C545" s="674"/>
      <c r="D545" s="674"/>
      <c r="E545" s="674"/>
      <c r="F545" s="683"/>
      <c r="G545" s="674"/>
      <c r="H545" s="674"/>
      <c r="I545" s="674"/>
      <c r="J545" s="674"/>
      <c r="K545" s="674"/>
      <c r="L545" s="674"/>
      <c r="M545" s="674"/>
      <c r="N545" s="669"/>
      <c r="O545" s="670"/>
      <c r="P545" s="674"/>
      <c r="Q545" s="674"/>
    </row>
    <row r="546">
      <c r="A546" s="674"/>
      <c r="B546" s="674"/>
      <c r="C546" s="674"/>
      <c r="D546" s="674"/>
      <c r="E546" s="674"/>
      <c r="F546" s="683"/>
      <c r="G546" s="674"/>
      <c r="H546" s="674"/>
      <c r="I546" s="674"/>
      <c r="J546" s="674"/>
      <c r="K546" s="674"/>
      <c r="L546" s="674"/>
      <c r="M546" s="674"/>
      <c r="N546" s="669"/>
      <c r="O546" s="670"/>
      <c r="P546" s="674"/>
      <c r="Q546" s="674"/>
    </row>
    <row r="547">
      <c r="A547" s="674"/>
      <c r="B547" s="674"/>
      <c r="C547" s="674"/>
      <c r="D547" s="674"/>
      <c r="E547" s="674"/>
      <c r="F547" s="683"/>
      <c r="G547" s="674"/>
      <c r="H547" s="674"/>
      <c r="I547" s="674"/>
      <c r="J547" s="674"/>
      <c r="K547" s="674"/>
      <c r="L547" s="674"/>
      <c r="M547" s="674"/>
      <c r="N547" s="669"/>
      <c r="O547" s="670"/>
      <c r="P547" s="674"/>
      <c r="Q547" s="674"/>
    </row>
    <row r="548">
      <c r="A548" s="674"/>
      <c r="B548" s="674"/>
      <c r="C548" s="674"/>
      <c r="D548" s="674"/>
      <c r="E548" s="674"/>
      <c r="F548" s="683"/>
      <c r="G548" s="674"/>
      <c r="H548" s="674"/>
      <c r="I548" s="674"/>
      <c r="J548" s="674"/>
      <c r="K548" s="674"/>
      <c r="L548" s="674"/>
      <c r="M548" s="674"/>
      <c r="N548" s="669"/>
      <c r="O548" s="670"/>
      <c r="P548" s="674"/>
      <c r="Q548" s="674"/>
    </row>
    <row r="549">
      <c r="A549" s="674"/>
      <c r="B549" s="674"/>
      <c r="C549" s="674"/>
      <c r="D549" s="674"/>
      <c r="E549" s="674"/>
      <c r="F549" s="683"/>
      <c r="G549" s="674"/>
      <c r="H549" s="674"/>
      <c r="I549" s="674"/>
      <c r="J549" s="674"/>
      <c r="K549" s="674"/>
      <c r="L549" s="674"/>
      <c r="M549" s="674"/>
      <c r="N549" s="669"/>
      <c r="O549" s="670"/>
      <c r="P549" s="674"/>
      <c r="Q549" s="674"/>
    </row>
    <row r="550">
      <c r="A550" s="674"/>
      <c r="B550" s="674"/>
      <c r="C550" s="674"/>
      <c r="D550" s="674"/>
      <c r="E550" s="674"/>
      <c r="F550" s="683"/>
      <c r="G550" s="674"/>
      <c r="H550" s="674"/>
      <c r="I550" s="674"/>
      <c r="J550" s="674"/>
      <c r="K550" s="674"/>
      <c r="L550" s="674"/>
      <c r="M550" s="674"/>
      <c r="N550" s="669"/>
      <c r="O550" s="670"/>
      <c r="P550" s="674"/>
      <c r="Q550" s="674"/>
    </row>
    <row r="551">
      <c r="A551" s="674"/>
      <c r="B551" s="674"/>
      <c r="C551" s="674"/>
      <c r="D551" s="674"/>
      <c r="E551" s="674"/>
      <c r="F551" s="683"/>
      <c r="G551" s="674"/>
      <c r="H551" s="674"/>
      <c r="I551" s="674"/>
      <c r="J551" s="674"/>
      <c r="K551" s="674"/>
      <c r="L551" s="674"/>
      <c r="M551" s="674"/>
      <c r="N551" s="669"/>
      <c r="O551" s="670"/>
      <c r="P551" s="674"/>
      <c r="Q551" s="674"/>
    </row>
    <row r="552">
      <c r="A552" s="674"/>
      <c r="B552" s="674"/>
      <c r="C552" s="674"/>
      <c r="D552" s="674"/>
      <c r="E552" s="674"/>
      <c r="F552" s="683"/>
      <c r="G552" s="674"/>
      <c r="H552" s="674"/>
      <c r="I552" s="674"/>
      <c r="J552" s="674"/>
      <c r="K552" s="674"/>
      <c r="L552" s="674"/>
      <c r="M552" s="674"/>
      <c r="N552" s="669"/>
      <c r="O552" s="670"/>
      <c r="P552" s="674"/>
      <c r="Q552" s="674"/>
    </row>
    <row r="553">
      <c r="A553" s="674"/>
      <c r="B553" s="674"/>
      <c r="C553" s="674"/>
      <c r="D553" s="674"/>
      <c r="E553" s="674"/>
      <c r="F553" s="683"/>
      <c r="G553" s="674"/>
      <c r="H553" s="674"/>
      <c r="I553" s="674"/>
      <c r="J553" s="674"/>
      <c r="K553" s="674"/>
      <c r="L553" s="674"/>
      <c r="M553" s="674"/>
      <c r="N553" s="669"/>
      <c r="O553" s="670"/>
      <c r="P553" s="674"/>
      <c r="Q553" s="674"/>
    </row>
    <row r="554">
      <c r="A554" s="674"/>
      <c r="B554" s="674"/>
      <c r="C554" s="674"/>
      <c r="D554" s="674"/>
      <c r="E554" s="674"/>
      <c r="F554" s="683"/>
      <c r="G554" s="674"/>
      <c r="H554" s="674"/>
      <c r="I554" s="674"/>
      <c r="J554" s="674"/>
      <c r="K554" s="674"/>
      <c r="L554" s="674"/>
      <c r="M554" s="674"/>
      <c r="N554" s="669"/>
      <c r="O554" s="670"/>
      <c r="P554" s="674"/>
      <c r="Q554" s="674"/>
    </row>
    <row r="555">
      <c r="A555" s="674"/>
      <c r="B555" s="674"/>
      <c r="C555" s="674"/>
      <c r="D555" s="674"/>
      <c r="E555" s="674"/>
      <c r="F555" s="683"/>
      <c r="G555" s="674"/>
      <c r="H555" s="674"/>
      <c r="I555" s="674"/>
      <c r="J555" s="674"/>
      <c r="K555" s="674"/>
      <c r="L555" s="674"/>
      <c r="M555" s="674"/>
      <c r="N555" s="669"/>
      <c r="O555" s="670"/>
      <c r="P555" s="674"/>
      <c r="Q555" s="674"/>
    </row>
    <row r="556">
      <c r="A556" s="674"/>
      <c r="B556" s="674"/>
      <c r="C556" s="674"/>
      <c r="D556" s="674"/>
      <c r="E556" s="674"/>
      <c r="F556" s="683"/>
      <c r="G556" s="674"/>
      <c r="H556" s="674"/>
      <c r="I556" s="674"/>
      <c r="J556" s="674"/>
      <c r="K556" s="674"/>
      <c r="L556" s="674"/>
      <c r="M556" s="674"/>
      <c r="N556" s="669"/>
      <c r="O556" s="670"/>
      <c r="P556" s="674"/>
      <c r="Q556" s="674"/>
    </row>
    <row r="557">
      <c r="A557" s="674"/>
      <c r="B557" s="674"/>
      <c r="C557" s="674"/>
      <c r="D557" s="674"/>
      <c r="E557" s="674"/>
      <c r="F557" s="683"/>
      <c r="G557" s="674"/>
      <c r="H557" s="674"/>
      <c r="I557" s="674"/>
      <c r="J557" s="674"/>
      <c r="K557" s="674"/>
      <c r="L557" s="674"/>
      <c r="M557" s="674"/>
      <c r="N557" s="669"/>
      <c r="O557" s="670"/>
      <c r="P557" s="674"/>
      <c r="Q557" s="674"/>
    </row>
    <row r="558">
      <c r="A558" s="674"/>
      <c r="B558" s="674"/>
      <c r="C558" s="674"/>
      <c r="D558" s="674"/>
      <c r="E558" s="674"/>
      <c r="F558" s="683"/>
      <c r="G558" s="674"/>
      <c r="H558" s="674"/>
      <c r="I558" s="674"/>
      <c r="J558" s="674"/>
      <c r="K558" s="674"/>
      <c r="L558" s="674"/>
      <c r="M558" s="674"/>
      <c r="N558" s="669"/>
      <c r="O558" s="670"/>
      <c r="P558" s="674"/>
      <c r="Q558" s="674"/>
    </row>
    <row r="559">
      <c r="A559" s="674"/>
      <c r="B559" s="674"/>
      <c r="C559" s="674"/>
      <c r="D559" s="674"/>
      <c r="E559" s="674"/>
      <c r="F559" s="683"/>
      <c r="G559" s="674"/>
      <c r="H559" s="674"/>
      <c r="I559" s="674"/>
      <c r="J559" s="674"/>
      <c r="K559" s="674"/>
      <c r="L559" s="674"/>
      <c r="M559" s="674"/>
      <c r="N559" s="669"/>
      <c r="O559" s="670"/>
      <c r="P559" s="674"/>
      <c r="Q559" s="674"/>
    </row>
    <row r="560">
      <c r="A560" s="674"/>
      <c r="B560" s="674"/>
      <c r="C560" s="674"/>
      <c r="D560" s="674"/>
      <c r="E560" s="674"/>
      <c r="F560" s="683"/>
      <c r="G560" s="674"/>
      <c r="H560" s="674"/>
      <c r="I560" s="674"/>
      <c r="J560" s="674"/>
      <c r="K560" s="674"/>
      <c r="L560" s="674"/>
      <c r="M560" s="674"/>
      <c r="N560" s="669"/>
      <c r="O560" s="670"/>
      <c r="P560" s="674"/>
      <c r="Q560" s="674"/>
    </row>
    <row r="561">
      <c r="A561" s="674"/>
      <c r="B561" s="674"/>
      <c r="C561" s="674"/>
      <c r="D561" s="674"/>
      <c r="E561" s="674"/>
      <c r="F561" s="683"/>
      <c r="G561" s="674"/>
      <c r="H561" s="674"/>
      <c r="I561" s="674"/>
      <c r="J561" s="674"/>
      <c r="K561" s="674"/>
      <c r="L561" s="674"/>
      <c r="M561" s="674"/>
      <c r="N561" s="669"/>
      <c r="O561" s="670"/>
      <c r="P561" s="674"/>
      <c r="Q561" s="674"/>
    </row>
    <row r="562">
      <c r="A562" s="674"/>
      <c r="B562" s="674"/>
      <c r="C562" s="674"/>
      <c r="D562" s="674"/>
      <c r="E562" s="674"/>
      <c r="F562" s="683"/>
      <c r="G562" s="674"/>
      <c r="H562" s="674"/>
      <c r="I562" s="674"/>
      <c r="J562" s="674"/>
      <c r="K562" s="674"/>
      <c r="L562" s="674"/>
      <c r="M562" s="674"/>
      <c r="N562" s="669"/>
      <c r="O562" s="670"/>
      <c r="P562" s="674"/>
      <c r="Q562" s="674"/>
    </row>
    <row r="563">
      <c r="A563" s="674"/>
      <c r="B563" s="674"/>
      <c r="C563" s="674"/>
      <c r="D563" s="674"/>
      <c r="E563" s="674"/>
      <c r="F563" s="683"/>
      <c r="G563" s="674"/>
      <c r="H563" s="674"/>
      <c r="I563" s="674"/>
      <c r="J563" s="674"/>
      <c r="K563" s="674"/>
      <c r="L563" s="674"/>
      <c r="M563" s="674"/>
      <c r="N563" s="669"/>
      <c r="O563" s="670"/>
      <c r="P563" s="674"/>
      <c r="Q563" s="674"/>
    </row>
    <row r="564">
      <c r="A564" s="674"/>
      <c r="B564" s="674"/>
      <c r="C564" s="674"/>
      <c r="D564" s="674"/>
      <c r="E564" s="674"/>
      <c r="F564" s="683"/>
      <c r="G564" s="674"/>
      <c r="H564" s="674"/>
      <c r="I564" s="674"/>
      <c r="J564" s="674"/>
      <c r="K564" s="674"/>
      <c r="L564" s="674"/>
      <c r="M564" s="674"/>
      <c r="N564" s="669"/>
      <c r="O564" s="670"/>
      <c r="P564" s="674"/>
      <c r="Q564" s="674"/>
    </row>
    <row r="565">
      <c r="A565" s="674"/>
      <c r="B565" s="674"/>
      <c r="C565" s="674"/>
      <c r="D565" s="674"/>
      <c r="E565" s="674"/>
      <c r="F565" s="683"/>
      <c r="G565" s="674"/>
      <c r="H565" s="674"/>
      <c r="I565" s="674"/>
      <c r="J565" s="674"/>
      <c r="K565" s="674"/>
      <c r="L565" s="674"/>
      <c r="M565" s="674"/>
      <c r="N565" s="669"/>
      <c r="O565" s="670"/>
      <c r="P565" s="674"/>
      <c r="Q565" s="674"/>
    </row>
    <row r="566">
      <c r="A566" s="674"/>
      <c r="B566" s="674"/>
      <c r="C566" s="674"/>
      <c r="D566" s="674"/>
      <c r="E566" s="674"/>
      <c r="F566" s="683"/>
      <c r="G566" s="674"/>
      <c r="H566" s="674"/>
      <c r="I566" s="674"/>
      <c r="J566" s="674"/>
      <c r="K566" s="674"/>
      <c r="L566" s="674"/>
      <c r="M566" s="674"/>
      <c r="N566" s="669"/>
      <c r="O566" s="670"/>
      <c r="P566" s="674"/>
      <c r="Q566" s="674"/>
    </row>
    <row r="567">
      <c r="A567" s="674"/>
      <c r="B567" s="674"/>
      <c r="C567" s="674"/>
      <c r="D567" s="674"/>
      <c r="E567" s="674"/>
      <c r="F567" s="683"/>
      <c r="G567" s="674"/>
      <c r="H567" s="674"/>
      <c r="I567" s="674"/>
      <c r="J567" s="674"/>
      <c r="K567" s="674"/>
      <c r="L567" s="674"/>
      <c r="M567" s="674"/>
      <c r="N567" s="669"/>
      <c r="O567" s="670"/>
      <c r="P567" s="674"/>
      <c r="Q567" s="674"/>
    </row>
    <row r="568">
      <c r="A568" s="674"/>
      <c r="B568" s="674"/>
      <c r="C568" s="674"/>
      <c r="D568" s="674"/>
      <c r="E568" s="674"/>
      <c r="F568" s="683"/>
      <c r="G568" s="674"/>
      <c r="H568" s="674"/>
      <c r="I568" s="674"/>
      <c r="J568" s="674"/>
      <c r="K568" s="674"/>
      <c r="L568" s="674"/>
      <c r="M568" s="674"/>
      <c r="N568" s="669"/>
      <c r="O568" s="670"/>
      <c r="P568" s="674"/>
      <c r="Q568" s="674"/>
    </row>
    <row r="569">
      <c r="A569" s="674"/>
      <c r="B569" s="674"/>
      <c r="C569" s="674"/>
      <c r="D569" s="674"/>
      <c r="E569" s="674"/>
      <c r="F569" s="683"/>
      <c r="G569" s="674"/>
      <c r="H569" s="674"/>
      <c r="I569" s="674"/>
      <c r="J569" s="674"/>
      <c r="K569" s="674"/>
      <c r="L569" s="674"/>
      <c r="M569" s="674"/>
      <c r="N569" s="669"/>
      <c r="O569" s="670"/>
      <c r="P569" s="674"/>
      <c r="Q569" s="674"/>
    </row>
    <row r="570">
      <c r="A570" s="674"/>
      <c r="B570" s="674"/>
      <c r="C570" s="674"/>
      <c r="D570" s="674"/>
      <c r="E570" s="674"/>
      <c r="F570" s="683"/>
      <c r="G570" s="674"/>
      <c r="H570" s="674"/>
      <c r="I570" s="674"/>
      <c r="J570" s="674"/>
      <c r="K570" s="674"/>
      <c r="L570" s="674"/>
      <c r="M570" s="674"/>
      <c r="N570" s="669"/>
      <c r="O570" s="670"/>
      <c r="P570" s="674"/>
      <c r="Q570" s="674"/>
    </row>
    <row r="571">
      <c r="A571" s="674"/>
      <c r="B571" s="674"/>
      <c r="C571" s="674"/>
      <c r="D571" s="674"/>
      <c r="E571" s="674"/>
      <c r="F571" s="683"/>
      <c r="G571" s="674"/>
      <c r="H571" s="674"/>
      <c r="I571" s="674"/>
      <c r="J571" s="674"/>
      <c r="K571" s="674"/>
      <c r="L571" s="674"/>
      <c r="M571" s="674"/>
      <c r="N571" s="669"/>
      <c r="O571" s="670"/>
      <c r="P571" s="674"/>
      <c r="Q571" s="674"/>
    </row>
    <row r="572">
      <c r="A572" s="674"/>
      <c r="B572" s="674"/>
      <c r="C572" s="674"/>
      <c r="D572" s="674"/>
      <c r="E572" s="674"/>
      <c r="F572" s="683"/>
      <c r="G572" s="674"/>
      <c r="H572" s="674"/>
      <c r="I572" s="674"/>
      <c r="J572" s="674"/>
      <c r="K572" s="674"/>
      <c r="L572" s="674"/>
      <c r="M572" s="674"/>
      <c r="N572" s="669"/>
      <c r="O572" s="670"/>
      <c r="P572" s="674"/>
      <c r="Q572" s="674"/>
    </row>
    <row r="573">
      <c r="A573" s="674"/>
      <c r="B573" s="674"/>
      <c r="C573" s="674"/>
      <c r="D573" s="674"/>
      <c r="E573" s="674"/>
      <c r="F573" s="683"/>
      <c r="G573" s="674"/>
      <c r="H573" s="674"/>
      <c r="I573" s="674"/>
      <c r="J573" s="674"/>
      <c r="K573" s="674"/>
      <c r="L573" s="674"/>
      <c r="M573" s="674"/>
      <c r="N573" s="669"/>
      <c r="O573" s="670"/>
      <c r="P573" s="674"/>
      <c r="Q573" s="674"/>
    </row>
    <row r="574">
      <c r="A574" s="674"/>
      <c r="B574" s="674"/>
      <c r="C574" s="674"/>
      <c r="D574" s="674"/>
      <c r="E574" s="674"/>
      <c r="F574" s="683"/>
      <c r="G574" s="674"/>
      <c r="H574" s="674"/>
      <c r="I574" s="674"/>
      <c r="J574" s="674"/>
      <c r="K574" s="674"/>
      <c r="L574" s="674"/>
      <c r="M574" s="674"/>
      <c r="N574" s="669"/>
      <c r="O574" s="670"/>
      <c r="P574" s="674"/>
      <c r="Q574" s="674"/>
    </row>
    <row r="575">
      <c r="A575" s="674"/>
      <c r="B575" s="674"/>
      <c r="C575" s="674"/>
      <c r="D575" s="674"/>
      <c r="E575" s="674"/>
      <c r="F575" s="683"/>
      <c r="G575" s="674"/>
      <c r="H575" s="674"/>
      <c r="I575" s="674"/>
      <c r="J575" s="674"/>
      <c r="K575" s="674"/>
      <c r="L575" s="674"/>
      <c r="M575" s="674"/>
      <c r="N575" s="669"/>
      <c r="O575" s="670"/>
      <c r="P575" s="674"/>
      <c r="Q575" s="674"/>
    </row>
    <row r="576">
      <c r="A576" s="674"/>
      <c r="B576" s="674"/>
      <c r="C576" s="674"/>
      <c r="D576" s="674"/>
      <c r="E576" s="674"/>
      <c r="F576" s="683"/>
      <c r="G576" s="674"/>
      <c r="H576" s="674"/>
      <c r="I576" s="674"/>
      <c r="J576" s="674"/>
      <c r="K576" s="674"/>
      <c r="L576" s="674"/>
      <c r="M576" s="674"/>
      <c r="N576" s="669"/>
      <c r="O576" s="670"/>
      <c r="P576" s="674"/>
      <c r="Q576" s="674"/>
    </row>
    <row r="577">
      <c r="A577" s="674"/>
      <c r="B577" s="674"/>
      <c r="C577" s="674"/>
      <c r="D577" s="674"/>
      <c r="E577" s="674"/>
      <c r="F577" s="683"/>
      <c r="G577" s="674"/>
      <c r="H577" s="674"/>
      <c r="I577" s="674"/>
      <c r="J577" s="674"/>
      <c r="K577" s="674"/>
      <c r="L577" s="674"/>
      <c r="M577" s="674"/>
      <c r="N577" s="669"/>
      <c r="O577" s="670"/>
      <c r="P577" s="674"/>
      <c r="Q577" s="674"/>
    </row>
    <row r="578">
      <c r="A578" s="674"/>
      <c r="B578" s="674"/>
      <c r="C578" s="674"/>
      <c r="D578" s="674"/>
      <c r="E578" s="674"/>
      <c r="F578" s="683"/>
      <c r="G578" s="674"/>
      <c r="H578" s="674"/>
      <c r="I578" s="674"/>
      <c r="J578" s="674"/>
      <c r="K578" s="674"/>
      <c r="L578" s="674"/>
      <c r="M578" s="674"/>
      <c r="N578" s="669"/>
      <c r="O578" s="670"/>
      <c r="P578" s="674"/>
      <c r="Q578" s="674"/>
    </row>
    <row r="579">
      <c r="A579" s="674"/>
      <c r="B579" s="674"/>
      <c r="C579" s="674"/>
      <c r="D579" s="674"/>
      <c r="E579" s="674"/>
      <c r="F579" s="683"/>
      <c r="G579" s="674"/>
      <c r="H579" s="674"/>
      <c r="I579" s="674"/>
      <c r="J579" s="674"/>
      <c r="K579" s="674"/>
      <c r="L579" s="674"/>
      <c r="M579" s="674"/>
      <c r="N579" s="669"/>
      <c r="O579" s="670"/>
      <c r="P579" s="674"/>
      <c r="Q579" s="674"/>
    </row>
    <row r="580">
      <c r="A580" s="674"/>
      <c r="B580" s="674"/>
      <c r="C580" s="674"/>
      <c r="D580" s="674"/>
      <c r="E580" s="674"/>
      <c r="F580" s="683"/>
      <c r="G580" s="674"/>
      <c r="H580" s="674"/>
      <c r="I580" s="674"/>
      <c r="J580" s="674"/>
      <c r="K580" s="674"/>
      <c r="L580" s="674"/>
      <c r="M580" s="674"/>
      <c r="N580" s="669"/>
      <c r="O580" s="670"/>
      <c r="P580" s="674"/>
      <c r="Q580" s="674"/>
    </row>
    <row r="581">
      <c r="A581" s="674"/>
      <c r="B581" s="674"/>
      <c r="C581" s="674"/>
      <c r="D581" s="674"/>
      <c r="E581" s="674"/>
      <c r="F581" s="683"/>
      <c r="G581" s="674"/>
      <c r="H581" s="674"/>
      <c r="I581" s="674"/>
      <c r="J581" s="674"/>
      <c r="K581" s="674"/>
      <c r="L581" s="674"/>
      <c r="M581" s="674"/>
      <c r="N581" s="669"/>
      <c r="O581" s="670"/>
      <c r="P581" s="674"/>
      <c r="Q581" s="674"/>
    </row>
    <row r="582">
      <c r="A582" s="674"/>
      <c r="B582" s="674"/>
      <c r="C582" s="674"/>
      <c r="D582" s="674"/>
      <c r="E582" s="674"/>
      <c r="F582" s="683"/>
      <c r="G582" s="674"/>
      <c r="H582" s="674"/>
      <c r="I582" s="674"/>
      <c r="J582" s="674"/>
      <c r="K582" s="674"/>
      <c r="L582" s="674"/>
      <c r="M582" s="674"/>
      <c r="N582" s="669"/>
      <c r="O582" s="670"/>
      <c r="P582" s="674"/>
      <c r="Q582" s="674"/>
    </row>
    <row r="583">
      <c r="A583" s="674"/>
      <c r="B583" s="674"/>
      <c r="C583" s="674"/>
      <c r="D583" s="674"/>
      <c r="E583" s="674"/>
      <c r="F583" s="683"/>
      <c r="G583" s="674"/>
      <c r="H583" s="674"/>
      <c r="I583" s="674"/>
      <c r="J583" s="674"/>
      <c r="K583" s="674"/>
      <c r="L583" s="674"/>
      <c r="M583" s="674"/>
      <c r="N583" s="669"/>
      <c r="O583" s="670"/>
      <c r="P583" s="674"/>
      <c r="Q583" s="674"/>
    </row>
    <row r="584">
      <c r="A584" s="674"/>
      <c r="B584" s="674"/>
      <c r="C584" s="674"/>
      <c r="D584" s="674"/>
      <c r="E584" s="674"/>
      <c r="F584" s="683"/>
      <c r="G584" s="674"/>
      <c r="H584" s="674"/>
      <c r="I584" s="674"/>
      <c r="J584" s="674"/>
      <c r="K584" s="674"/>
      <c r="L584" s="674"/>
      <c r="M584" s="674"/>
      <c r="N584" s="669"/>
      <c r="O584" s="670"/>
      <c r="P584" s="674"/>
      <c r="Q584" s="674"/>
    </row>
    <row r="585">
      <c r="A585" s="674"/>
      <c r="B585" s="674"/>
      <c r="C585" s="674"/>
      <c r="D585" s="674"/>
      <c r="E585" s="674"/>
      <c r="F585" s="683"/>
      <c r="G585" s="674"/>
      <c r="H585" s="674"/>
      <c r="I585" s="674"/>
      <c r="J585" s="674"/>
      <c r="K585" s="674"/>
      <c r="L585" s="674"/>
      <c r="M585" s="674"/>
      <c r="N585" s="669"/>
      <c r="O585" s="670"/>
      <c r="P585" s="674"/>
      <c r="Q585" s="674"/>
    </row>
    <row r="586">
      <c r="A586" s="674"/>
      <c r="B586" s="674"/>
      <c r="C586" s="674"/>
      <c r="D586" s="674"/>
      <c r="E586" s="674"/>
      <c r="F586" s="683"/>
      <c r="G586" s="674"/>
      <c r="H586" s="674"/>
      <c r="I586" s="674"/>
      <c r="J586" s="674"/>
      <c r="K586" s="674"/>
      <c r="L586" s="674"/>
      <c r="M586" s="674"/>
      <c r="N586" s="669"/>
      <c r="O586" s="670"/>
      <c r="P586" s="674"/>
      <c r="Q586" s="674"/>
    </row>
    <row r="587">
      <c r="A587" s="674"/>
      <c r="B587" s="674"/>
      <c r="C587" s="674"/>
      <c r="D587" s="674"/>
      <c r="E587" s="674"/>
      <c r="F587" s="683"/>
      <c r="G587" s="674"/>
      <c r="H587" s="674"/>
      <c r="I587" s="674"/>
      <c r="J587" s="674"/>
      <c r="K587" s="674"/>
      <c r="L587" s="674"/>
      <c r="M587" s="674"/>
      <c r="N587" s="669"/>
      <c r="O587" s="670"/>
      <c r="P587" s="674"/>
      <c r="Q587" s="674"/>
    </row>
    <row r="588">
      <c r="A588" s="674"/>
      <c r="B588" s="674"/>
      <c r="C588" s="674"/>
      <c r="D588" s="674"/>
      <c r="E588" s="674"/>
      <c r="F588" s="683"/>
      <c r="G588" s="674"/>
      <c r="H588" s="674"/>
      <c r="I588" s="674"/>
      <c r="J588" s="674"/>
      <c r="K588" s="674"/>
      <c r="L588" s="674"/>
      <c r="M588" s="674"/>
      <c r="N588" s="669"/>
      <c r="O588" s="670"/>
      <c r="P588" s="674"/>
      <c r="Q588" s="674"/>
    </row>
    <row r="589">
      <c r="A589" s="674"/>
      <c r="B589" s="674"/>
      <c r="C589" s="674"/>
      <c r="D589" s="674"/>
      <c r="E589" s="674"/>
      <c r="F589" s="683"/>
      <c r="G589" s="674"/>
      <c r="H589" s="674"/>
      <c r="I589" s="674"/>
      <c r="J589" s="674"/>
      <c r="K589" s="674"/>
      <c r="L589" s="674"/>
      <c r="M589" s="674"/>
      <c r="N589" s="669"/>
      <c r="O589" s="670"/>
      <c r="P589" s="674"/>
      <c r="Q589" s="674"/>
    </row>
    <row r="590">
      <c r="A590" s="674"/>
      <c r="B590" s="674"/>
      <c r="C590" s="674"/>
      <c r="D590" s="674"/>
      <c r="E590" s="674"/>
      <c r="F590" s="683"/>
      <c r="G590" s="674"/>
      <c r="H590" s="674"/>
      <c r="I590" s="674"/>
      <c r="J590" s="674"/>
      <c r="K590" s="674"/>
      <c r="L590" s="674"/>
      <c r="M590" s="674"/>
      <c r="N590" s="669"/>
      <c r="O590" s="670"/>
      <c r="P590" s="674"/>
      <c r="Q590" s="674"/>
    </row>
    <row r="591">
      <c r="A591" s="674"/>
      <c r="B591" s="674"/>
      <c r="C591" s="674"/>
      <c r="D591" s="674"/>
      <c r="E591" s="674"/>
      <c r="F591" s="683"/>
      <c r="G591" s="674"/>
      <c r="H591" s="674"/>
      <c r="I591" s="674"/>
      <c r="J591" s="674"/>
      <c r="K591" s="674"/>
      <c r="L591" s="674"/>
      <c r="M591" s="674"/>
      <c r="N591" s="669"/>
      <c r="O591" s="670"/>
      <c r="P591" s="674"/>
      <c r="Q591" s="674"/>
    </row>
    <row r="592">
      <c r="A592" s="674"/>
      <c r="B592" s="674"/>
      <c r="C592" s="674"/>
      <c r="D592" s="674"/>
      <c r="E592" s="674"/>
      <c r="F592" s="683"/>
      <c r="G592" s="674"/>
      <c r="H592" s="674"/>
      <c r="I592" s="674"/>
      <c r="J592" s="674"/>
      <c r="K592" s="674"/>
      <c r="L592" s="674"/>
      <c r="M592" s="674"/>
      <c r="N592" s="669"/>
      <c r="O592" s="670"/>
      <c r="P592" s="674"/>
      <c r="Q592" s="674"/>
    </row>
    <row r="593">
      <c r="A593" s="674"/>
      <c r="B593" s="674"/>
      <c r="C593" s="674"/>
      <c r="D593" s="674"/>
      <c r="E593" s="674"/>
      <c r="F593" s="683"/>
      <c r="G593" s="674"/>
      <c r="H593" s="674"/>
      <c r="I593" s="674"/>
      <c r="J593" s="674"/>
      <c r="K593" s="674"/>
      <c r="L593" s="674"/>
      <c r="M593" s="674"/>
      <c r="N593" s="669"/>
      <c r="O593" s="670"/>
      <c r="P593" s="674"/>
      <c r="Q593" s="674"/>
    </row>
    <row r="594">
      <c r="A594" s="674"/>
      <c r="B594" s="674"/>
      <c r="C594" s="674"/>
      <c r="D594" s="674"/>
      <c r="E594" s="674"/>
      <c r="F594" s="683"/>
      <c r="G594" s="674"/>
      <c r="H594" s="674"/>
      <c r="I594" s="674"/>
      <c r="J594" s="674"/>
      <c r="K594" s="674"/>
      <c r="L594" s="674"/>
      <c r="M594" s="674"/>
      <c r="N594" s="669"/>
      <c r="O594" s="670"/>
      <c r="P594" s="674"/>
      <c r="Q594" s="674"/>
    </row>
    <row r="595">
      <c r="A595" s="674"/>
      <c r="B595" s="674"/>
      <c r="C595" s="674"/>
      <c r="D595" s="674"/>
      <c r="E595" s="674"/>
      <c r="F595" s="683"/>
      <c r="G595" s="674"/>
      <c r="H595" s="674"/>
      <c r="I595" s="674"/>
      <c r="J595" s="674"/>
      <c r="K595" s="674"/>
      <c r="L595" s="674"/>
      <c r="M595" s="674"/>
      <c r="N595" s="669"/>
      <c r="O595" s="670"/>
      <c r="P595" s="674"/>
      <c r="Q595" s="674"/>
    </row>
    <row r="596">
      <c r="A596" s="674"/>
      <c r="B596" s="674"/>
      <c r="C596" s="674"/>
      <c r="D596" s="674"/>
      <c r="E596" s="674"/>
      <c r="F596" s="683"/>
      <c r="G596" s="674"/>
      <c r="H596" s="674"/>
      <c r="I596" s="674"/>
      <c r="J596" s="674"/>
      <c r="K596" s="674"/>
      <c r="L596" s="674"/>
      <c r="M596" s="674"/>
      <c r="N596" s="669"/>
      <c r="O596" s="670"/>
      <c r="P596" s="674"/>
      <c r="Q596" s="674"/>
    </row>
    <row r="597">
      <c r="A597" s="674"/>
      <c r="B597" s="674"/>
      <c r="C597" s="674"/>
      <c r="D597" s="674"/>
      <c r="E597" s="674"/>
      <c r="F597" s="683"/>
      <c r="G597" s="674"/>
      <c r="H597" s="674"/>
      <c r="I597" s="674"/>
      <c r="J597" s="674"/>
      <c r="K597" s="674"/>
      <c r="L597" s="674"/>
      <c r="M597" s="674"/>
      <c r="N597" s="669"/>
      <c r="O597" s="670"/>
      <c r="P597" s="674"/>
      <c r="Q597" s="674"/>
    </row>
    <row r="598">
      <c r="A598" s="674"/>
      <c r="B598" s="674"/>
      <c r="C598" s="674"/>
      <c r="D598" s="674"/>
      <c r="E598" s="674"/>
      <c r="F598" s="683"/>
      <c r="G598" s="674"/>
      <c r="H598" s="674"/>
      <c r="I598" s="674"/>
      <c r="J598" s="674"/>
      <c r="K598" s="674"/>
      <c r="L598" s="674"/>
      <c r="M598" s="674"/>
      <c r="N598" s="669"/>
      <c r="O598" s="670"/>
      <c r="P598" s="674"/>
      <c r="Q598" s="674"/>
    </row>
    <row r="599">
      <c r="A599" s="674"/>
      <c r="B599" s="674"/>
      <c r="C599" s="674"/>
      <c r="D599" s="674"/>
      <c r="E599" s="674"/>
      <c r="F599" s="683"/>
      <c r="G599" s="674"/>
      <c r="H599" s="674"/>
      <c r="I599" s="674"/>
      <c r="J599" s="674"/>
      <c r="K599" s="674"/>
      <c r="L599" s="674"/>
      <c r="M599" s="674"/>
      <c r="N599" s="669"/>
      <c r="O599" s="670"/>
      <c r="P599" s="674"/>
      <c r="Q599" s="674"/>
    </row>
    <row r="600">
      <c r="A600" s="674"/>
      <c r="B600" s="674"/>
      <c r="C600" s="674"/>
      <c r="D600" s="674"/>
      <c r="E600" s="674"/>
      <c r="F600" s="683"/>
      <c r="G600" s="674"/>
      <c r="H600" s="674"/>
      <c r="I600" s="674"/>
      <c r="J600" s="674"/>
      <c r="K600" s="674"/>
      <c r="L600" s="674"/>
      <c r="M600" s="674"/>
      <c r="N600" s="669"/>
      <c r="O600" s="670"/>
      <c r="P600" s="674"/>
      <c r="Q600" s="674"/>
    </row>
    <row r="601">
      <c r="A601" s="674"/>
      <c r="B601" s="674"/>
      <c r="C601" s="674"/>
      <c r="D601" s="674"/>
      <c r="E601" s="674"/>
      <c r="F601" s="683"/>
      <c r="G601" s="674"/>
      <c r="H601" s="674"/>
      <c r="I601" s="674"/>
      <c r="J601" s="674"/>
      <c r="K601" s="674"/>
      <c r="L601" s="674"/>
      <c r="M601" s="674"/>
      <c r="N601" s="669"/>
      <c r="O601" s="670"/>
      <c r="P601" s="674"/>
      <c r="Q601" s="674"/>
    </row>
    <row r="602">
      <c r="A602" s="674"/>
      <c r="B602" s="674"/>
      <c r="C602" s="674"/>
      <c r="D602" s="674"/>
      <c r="E602" s="674"/>
      <c r="F602" s="683"/>
      <c r="G602" s="674"/>
      <c r="H602" s="674"/>
      <c r="I602" s="674"/>
      <c r="J602" s="674"/>
      <c r="K602" s="674"/>
      <c r="L602" s="674"/>
      <c r="M602" s="674"/>
      <c r="N602" s="669"/>
      <c r="O602" s="670"/>
      <c r="P602" s="674"/>
      <c r="Q602" s="674"/>
    </row>
    <row r="603">
      <c r="A603" s="674"/>
      <c r="B603" s="674"/>
      <c r="C603" s="674"/>
      <c r="D603" s="674"/>
      <c r="E603" s="674"/>
      <c r="F603" s="683"/>
      <c r="G603" s="674"/>
      <c r="H603" s="674"/>
      <c r="I603" s="674"/>
      <c r="J603" s="674"/>
      <c r="K603" s="674"/>
      <c r="L603" s="674"/>
      <c r="M603" s="674"/>
      <c r="N603" s="669"/>
      <c r="O603" s="670"/>
      <c r="P603" s="674"/>
      <c r="Q603" s="674"/>
    </row>
    <row r="604">
      <c r="A604" s="674"/>
      <c r="B604" s="674"/>
      <c r="C604" s="674"/>
      <c r="D604" s="674"/>
      <c r="E604" s="674"/>
      <c r="F604" s="683"/>
      <c r="G604" s="674"/>
      <c r="H604" s="674"/>
      <c r="I604" s="674"/>
      <c r="J604" s="674"/>
      <c r="K604" s="674"/>
      <c r="L604" s="674"/>
      <c r="M604" s="674"/>
      <c r="N604" s="669"/>
      <c r="O604" s="670"/>
      <c r="P604" s="674"/>
      <c r="Q604" s="674"/>
    </row>
    <row r="605">
      <c r="A605" s="674"/>
      <c r="B605" s="674"/>
      <c r="C605" s="674"/>
      <c r="D605" s="674"/>
      <c r="E605" s="674"/>
      <c r="F605" s="683"/>
      <c r="G605" s="674"/>
      <c r="H605" s="674"/>
      <c r="I605" s="674"/>
      <c r="J605" s="674"/>
      <c r="K605" s="674"/>
      <c r="L605" s="674"/>
      <c r="M605" s="674"/>
      <c r="N605" s="669"/>
      <c r="O605" s="670"/>
      <c r="P605" s="674"/>
      <c r="Q605" s="674"/>
    </row>
    <row r="606">
      <c r="A606" s="674"/>
      <c r="B606" s="674"/>
      <c r="C606" s="674"/>
      <c r="D606" s="674"/>
      <c r="E606" s="674"/>
      <c r="F606" s="683"/>
      <c r="G606" s="674"/>
      <c r="H606" s="674"/>
      <c r="I606" s="674"/>
      <c r="J606" s="674"/>
      <c r="K606" s="674"/>
      <c r="L606" s="674"/>
      <c r="M606" s="674"/>
      <c r="N606" s="669"/>
      <c r="O606" s="670"/>
      <c r="P606" s="674"/>
      <c r="Q606" s="674"/>
    </row>
    <row r="607">
      <c r="A607" s="674"/>
      <c r="B607" s="674"/>
      <c r="C607" s="674"/>
      <c r="D607" s="674"/>
      <c r="E607" s="674"/>
      <c r="F607" s="683"/>
      <c r="G607" s="674"/>
      <c r="H607" s="674"/>
      <c r="I607" s="674"/>
      <c r="J607" s="674"/>
      <c r="K607" s="674"/>
      <c r="L607" s="674"/>
      <c r="M607" s="674"/>
      <c r="N607" s="669"/>
      <c r="O607" s="670"/>
      <c r="P607" s="674"/>
      <c r="Q607" s="674"/>
    </row>
    <row r="608">
      <c r="A608" s="674"/>
      <c r="B608" s="674"/>
      <c r="C608" s="674"/>
      <c r="D608" s="674"/>
      <c r="E608" s="674"/>
      <c r="F608" s="683"/>
      <c r="G608" s="674"/>
      <c r="H608" s="674"/>
      <c r="I608" s="674"/>
      <c r="J608" s="674"/>
      <c r="K608" s="674"/>
      <c r="L608" s="674"/>
      <c r="M608" s="674"/>
      <c r="N608" s="669"/>
      <c r="O608" s="670"/>
      <c r="P608" s="674"/>
      <c r="Q608" s="674"/>
    </row>
    <row r="609">
      <c r="A609" s="674"/>
      <c r="B609" s="674"/>
      <c r="C609" s="674"/>
      <c r="D609" s="674"/>
      <c r="E609" s="674"/>
      <c r="F609" s="683"/>
      <c r="G609" s="674"/>
      <c r="H609" s="674"/>
      <c r="I609" s="674"/>
      <c r="J609" s="674"/>
      <c r="K609" s="674"/>
      <c r="L609" s="674"/>
      <c r="M609" s="674"/>
      <c r="N609" s="669"/>
      <c r="O609" s="670"/>
      <c r="P609" s="674"/>
      <c r="Q609" s="674"/>
    </row>
    <row r="610">
      <c r="A610" s="674"/>
      <c r="B610" s="674"/>
      <c r="C610" s="674"/>
      <c r="D610" s="674"/>
      <c r="E610" s="674"/>
      <c r="F610" s="683"/>
      <c r="G610" s="674"/>
      <c r="H610" s="674"/>
      <c r="I610" s="674"/>
      <c r="J610" s="674"/>
      <c r="K610" s="674"/>
      <c r="L610" s="674"/>
      <c r="M610" s="674"/>
      <c r="N610" s="669"/>
      <c r="O610" s="670"/>
      <c r="P610" s="674"/>
      <c r="Q610" s="674"/>
    </row>
    <row r="611">
      <c r="A611" s="674"/>
      <c r="B611" s="674"/>
      <c r="C611" s="674"/>
      <c r="D611" s="674"/>
      <c r="E611" s="674"/>
      <c r="F611" s="683"/>
      <c r="G611" s="674"/>
      <c r="H611" s="674"/>
      <c r="I611" s="674"/>
      <c r="J611" s="674"/>
      <c r="K611" s="674"/>
      <c r="L611" s="674"/>
      <c r="M611" s="674"/>
      <c r="N611" s="669"/>
      <c r="O611" s="670"/>
      <c r="P611" s="674"/>
      <c r="Q611" s="674"/>
    </row>
    <row r="612">
      <c r="A612" s="674"/>
      <c r="B612" s="674"/>
      <c r="C612" s="674"/>
      <c r="D612" s="674"/>
      <c r="E612" s="674"/>
      <c r="F612" s="683"/>
      <c r="G612" s="674"/>
      <c r="H612" s="674"/>
      <c r="I612" s="674"/>
      <c r="J612" s="674"/>
      <c r="K612" s="674"/>
      <c r="L612" s="674"/>
      <c r="M612" s="674"/>
      <c r="N612" s="669"/>
      <c r="O612" s="670"/>
      <c r="P612" s="674"/>
      <c r="Q612" s="674"/>
    </row>
    <row r="613">
      <c r="A613" s="674"/>
      <c r="B613" s="674"/>
      <c r="C613" s="674"/>
      <c r="D613" s="674"/>
      <c r="E613" s="674"/>
      <c r="F613" s="683"/>
      <c r="G613" s="674"/>
      <c r="H613" s="674"/>
      <c r="I613" s="674"/>
      <c r="J613" s="674"/>
      <c r="K613" s="674"/>
      <c r="L613" s="674"/>
      <c r="M613" s="674"/>
      <c r="N613" s="669"/>
      <c r="O613" s="670"/>
      <c r="P613" s="674"/>
      <c r="Q613" s="674"/>
    </row>
    <row r="614">
      <c r="A614" s="674"/>
      <c r="B614" s="674"/>
      <c r="C614" s="674"/>
      <c r="D614" s="674"/>
      <c r="E614" s="674"/>
      <c r="F614" s="683"/>
      <c r="G614" s="674"/>
      <c r="H614" s="674"/>
      <c r="I614" s="674"/>
      <c r="J614" s="674"/>
      <c r="K614" s="674"/>
      <c r="L614" s="674"/>
      <c r="M614" s="674"/>
      <c r="N614" s="669"/>
      <c r="O614" s="670"/>
      <c r="P614" s="674"/>
      <c r="Q614" s="674"/>
    </row>
    <row r="615">
      <c r="A615" s="674"/>
      <c r="B615" s="674"/>
      <c r="C615" s="674"/>
      <c r="D615" s="674"/>
      <c r="E615" s="674"/>
      <c r="F615" s="683"/>
      <c r="G615" s="674"/>
      <c r="H615" s="674"/>
      <c r="I615" s="674"/>
      <c r="J615" s="674"/>
      <c r="K615" s="674"/>
      <c r="L615" s="674"/>
      <c r="M615" s="674"/>
      <c r="N615" s="669"/>
      <c r="O615" s="670"/>
      <c r="P615" s="674"/>
      <c r="Q615" s="674"/>
    </row>
    <row r="616">
      <c r="A616" s="674"/>
      <c r="B616" s="674"/>
      <c r="C616" s="674"/>
      <c r="D616" s="674"/>
      <c r="E616" s="674"/>
      <c r="F616" s="683"/>
      <c r="G616" s="674"/>
      <c r="H616" s="674"/>
      <c r="I616" s="674"/>
      <c r="J616" s="674"/>
      <c r="K616" s="674"/>
      <c r="L616" s="674"/>
      <c r="M616" s="674"/>
      <c r="N616" s="669"/>
      <c r="O616" s="670"/>
      <c r="P616" s="674"/>
      <c r="Q616" s="674"/>
    </row>
    <row r="617">
      <c r="A617" s="674"/>
      <c r="B617" s="674"/>
      <c r="C617" s="674"/>
      <c r="D617" s="674"/>
      <c r="E617" s="674"/>
      <c r="F617" s="683"/>
      <c r="G617" s="674"/>
      <c r="H617" s="674"/>
      <c r="I617" s="674"/>
      <c r="J617" s="674"/>
      <c r="K617" s="674"/>
      <c r="L617" s="674"/>
      <c r="M617" s="674"/>
      <c r="N617" s="669"/>
      <c r="O617" s="670"/>
      <c r="P617" s="674"/>
      <c r="Q617" s="674"/>
    </row>
    <row r="618">
      <c r="A618" s="674"/>
      <c r="B618" s="674"/>
      <c r="C618" s="674"/>
      <c r="D618" s="674"/>
      <c r="E618" s="674"/>
      <c r="F618" s="683"/>
      <c r="G618" s="674"/>
      <c r="H618" s="674"/>
      <c r="I618" s="674"/>
      <c r="J618" s="674"/>
      <c r="K618" s="674"/>
      <c r="L618" s="674"/>
      <c r="M618" s="674"/>
      <c r="N618" s="669"/>
      <c r="O618" s="670"/>
      <c r="P618" s="674"/>
      <c r="Q618" s="674"/>
    </row>
    <row r="619">
      <c r="A619" s="674"/>
      <c r="B619" s="674"/>
      <c r="C619" s="674"/>
      <c r="D619" s="674"/>
      <c r="E619" s="674"/>
      <c r="F619" s="683"/>
      <c r="G619" s="674"/>
      <c r="H619" s="674"/>
      <c r="I619" s="674"/>
      <c r="J619" s="674"/>
      <c r="K619" s="674"/>
      <c r="L619" s="674"/>
      <c r="M619" s="674"/>
      <c r="N619" s="669"/>
      <c r="O619" s="670"/>
      <c r="P619" s="674"/>
      <c r="Q619" s="674"/>
    </row>
    <row r="620">
      <c r="A620" s="674"/>
      <c r="B620" s="674"/>
      <c r="C620" s="674"/>
      <c r="D620" s="674"/>
      <c r="E620" s="674"/>
      <c r="F620" s="683"/>
      <c r="G620" s="674"/>
      <c r="H620" s="674"/>
      <c r="I620" s="674"/>
      <c r="J620" s="674"/>
      <c r="K620" s="674"/>
      <c r="L620" s="674"/>
      <c r="M620" s="674"/>
      <c r="N620" s="669"/>
      <c r="O620" s="670"/>
      <c r="P620" s="674"/>
      <c r="Q620" s="674"/>
    </row>
    <row r="621">
      <c r="A621" s="674"/>
      <c r="B621" s="674"/>
      <c r="C621" s="674"/>
      <c r="D621" s="674"/>
      <c r="E621" s="674"/>
      <c r="F621" s="683"/>
      <c r="G621" s="674"/>
      <c r="H621" s="674"/>
      <c r="I621" s="674"/>
      <c r="J621" s="674"/>
      <c r="K621" s="674"/>
      <c r="L621" s="674"/>
      <c r="M621" s="674"/>
      <c r="N621" s="669"/>
      <c r="O621" s="670"/>
      <c r="P621" s="674"/>
      <c r="Q621" s="674"/>
    </row>
    <row r="622">
      <c r="A622" s="674"/>
      <c r="B622" s="674"/>
      <c r="C622" s="674"/>
      <c r="D622" s="674"/>
      <c r="E622" s="674"/>
      <c r="F622" s="683"/>
      <c r="G622" s="674"/>
      <c r="H622" s="674"/>
      <c r="I622" s="674"/>
      <c r="J622" s="674"/>
      <c r="K622" s="674"/>
      <c r="L622" s="674"/>
      <c r="M622" s="674"/>
      <c r="N622" s="669"/>
      <c r="O622" s="670"/>
      <c r="P622" s="674"/>
      <c r="Q622" s="674"/>
    </row>
    <row r="623">
      <c r="A623" s="674"/>
      <c r="B623" s="674"/>
      <c r="C623" s="674"/>
      <c r="D623" s="674"/>
      <c r="E623" s="674"/>
      <c r="F623" s="683"/>
      <c r="G623" s="674"/>
      <c r="H623" s="674"/>
      <c r="I623" s="674"/>
      <c r="J623" s="674"/>
      <c r="K623" s="674"/>
      <c r="L623" s="674"/>
      <c r="M623" s="674"/>
      <c r="N623" s="669"/>
      <c r="O623" s="670"/>
      <c r="P623" s="674"/>
      <c r="Q623" s="674"/>
    </row>
    <row r="624">
      <c r="A624" s="674"/>
      <c r="B624" s="674"/>
      <c r="C624" s="674"/>
      <c r="D624" s="674"/>
      <c r="E624" s="674"/>
      <c r="F624" s="683"/>
      <c r="G624" s="674"/>
      <c r="H624" s="674"/>
      <c r="I624" s="674"/>
      <c r="J624" s="674"/>
      <c r="K624" s="674"/>
      <c r="L624" s="674"/>
      <c r="M624" s="674"/>
      <c r="N624" s="669"/>
      <c r="O624" s="670"/>
      <c r="P624" s="674"/>
      <c r="Q624" s="674"/>
    </row>
    <row r="625">
      <c r="A625" s="674"/>
      <c r="B625" s="674"/>
      <c r="C625" s="674"/>
      <c r="D625" s="674"/>
      <c r="E625" s="674"/>
      <c r="F625" s="683"/>
      <c r="G625" s="674"/>
      <c r="H625" s="674"/>
      <c r="I625" s="674"/>
      <c r="J625" s="674"/>
      <c r="K625" s="674"/>
      <c r="L625" s="674"/>
      <c r="M625" s="674"/>
      <c r="N625" s="669"/>
      <c r="O625" s="670"/>
      <c r="P625" s="674"/>
      <c r="Q625" s="674"/>
    </row>
    <row r="626">
      <c r="A626" s="674"/>
      <c r="B626" s="674"/>
      <c r="C626" s="674"/>
      <c r="D626" s="674"/>
      <c r="E626" s="674"/>
      <c r="F626" s="683"/>
      <c r="G626" s="674"/>
      <c r="H626" s="674"/>
      <c r="I626" s="674"/>
      <c r="J626" s="674"/>
      <c r="K626" s="674"/>
      <c r="L626" s="674"/>
      <c r="M626" s="674"/>
      <c r="N626" s="669"/>
      <c r="O626" s="670"/>
      <c r="P626" s="674"/>
      <c r="Q626" s="674"/>
    </row>
    <row r="627">
      <c r="A627" s="674"/>
      <c r="B627" s="674"/>
      <c r="C627" s="674"/>
      <c r="D627" s="674"/>
      <c r="E627" s="674"/>
      <c r="F627" s="683"/>
      <c r="G627" s="674"/>
      <c r="H627" s="674"/>
      <c r="I627" s="674"/>
      <c r="J627" s="674"/>
      <c r="K627" s="674"/>
      <c r="L627" s="674"/>
      <c r="M627" s="674"/>
      <c r="N627" s="669"/>
      <c r="O627" s="670"/>
      <c r="P627" s="674"/>
      <c r="Q627" s="674"/>
    </row>
    <row r="628">
      <c r="A628" s="674"/>
      <c r="B628" s="674"/>
      <c r="C628" s="674"/>
      <c r="D628" s="674"/>
      <c r="E628" s="674"/>
      <c r="F628" s="683"/>
      <c r="G628" s="674"/>
      <c r="H628" s="674"/>
      <c r="I628" s="674"/>
      <c r="J628" s="674"/>
      <c r="K628" s="674"/>
      <c r="L628" s="674"/>
      <c r="M628" s="674"/>
      <c r="N628" s="669"/>
      <c r="O628" s="670"/>
      <c r="P628" s="674"/>
      <c r="Q628" s="674"/>
    </row>
    <row r="629">
      <c r="A629" s="674"/>
      <c r="B629" s="674"/>
      <c r="C629" s="674"/>
      <c r="D629" s="674"/>
      <c r="E629" s="674"/>
      <c r="F629" s="683"/>
      <c r="G629" s="674"/>
      <c r="H629" s="674"/>
      <c r="I629" s="674"/>
      <c r="J629" s="674"/>
      <c r="K629" s="674"/>
      <c r="L629" s="674"/>
      <c r="M629" s="674"/>
      <c r="N629" s="669"/>
      <c r="O629" s="670"/>
      <c r="P629" s="674"/>
      <c r="Q629" s="674"/>
    </row>
    <row r="630">
      <c r="A630" s="674"/>
      <c r="B630" s="674"/>
      <c r="C630" s="674"/>
      <c r="D630" s="674"/>
      <c r="E630" s="674"/>
      <c r="F630" s="683"/>
      <c r="G630" s="674"/>
      <c r="H630" s="674"/>
      <c r="I630" s="674"/>
      <c r="J630" s="674"/>
      <c r="K630" s="674"/>
      <c r="L630" s="674"/>
      <c r="M630" s="674"/>
      <c r="N630" s="669"/>
      <c r="O630" s="670"/>
      <c r="P630" s="674"/>
      <c r="Q630" s="674"/>
    </row>
    <row r="631">
      <c r="A631" s="674"/>
      <c r="B631" s="674"/>
      <c r="C631" s="674"/>
      <c r="D631" s="674"/>
      <c r="E631" s="674"/>
      <c r="F631" s="683"/>
      <c r="G631" s="674"/>
      <c r="H631" s="674"/>
      <c r="I631" s="674"/>
      <c r="J631" s="674"/>
      <c r="K631" s="674"/>
      <c r="L631" s="674"/>
      <c r="M631" s="674"/>
      <c r="N631" s="669"/>
      <c r="O631" s="670"/>
      <c r="P631" s="674"/>
      <c r="Q631" s="674"/>
    </row>
    <row r="632">
      <c r="A632" s="674"/>
      <c r="B632" s="674"/>
      <c r="C632" s="674"/>
      <c r="D632" s="674"/>
      <c r="E632" s="674"/>
      <c r="F632" s="683"/>
      <c r="G632" s="674"/>
      <c r="H632" s="674"/>
      <c r="I632" s="674"/>
      <c r="J632" s="674"/>
      <c r="K632" s="674"/>
      <c r="L632" s="674"/>
      <c r="M632" s="674"/>
      <c r="N632" s="669"/>
      <c r="O632" s="670"/>
      <c r="P632" s="674"/>
      <c r="Q632" s="674"/>
    </row>
    <row r="633">
      <c r="A633" s="674"/>
      <c r="B633" s="674"/>
      <c r="C633" s="674"/>
      <c r="D633" s="674"/>
      <c r="E633" s="674"/>
      <c r="F633" s="683"/>
      <c r="G633" s="674"/>
      <c r="H633" s="674"/>
      <c r="I633" s="674"/>
      <c r="J633" s="674"/>
      <c r="K633" s="674"/>
      <c r="L633" s="674"/>
      <c r="M633" s="674"/>
      <c r="N633" s="669"/>
      <c r="O633" s="670"/>
      <c r="P633" s="674"/>
      <c r="Q633" s="674"/>
    </row>
    <row r="634">
      <c r="A634" s="674"/>
      <c r="B634" s="674"/>
      <c r="C634" s="674"/>
      <c r="D634" s="674"/>
      <c r="E634" s="674"/>
      <c r="F634" s="683"/>
      <c r="G634" s="674"/>
      <c r="H634" s="674"/>
      <c r="I634" s="674"/>
      <c r="J634" s="674"/>
      <c r="K634" s="674"/>
      <c r="L634" s="674"/>
      <c r="M634" s="674"/>
      <c r="N634" s="669"/>
      <c r="O634" s="670"/>
      <c r="P634" s="674"/>
      <c r="Q634" s="674"/>
    </row>
    <row r="635">
      <c r="A635" s="674"/>
      <c r="B635" s="674"/>
      <c r="C635" s="674"/>
      <c r="D635" s="674"/>
      <c r="E635" s="674"/>
      <c r="F635" s="683"/>
      <c r="G635" s="674"/>
      <c r="H635" s="674"/>
      <c r="I635" s="674"/>
      <c r="J635" s="674"/>
      <c r="K635" s="674"/>
      <c r="L635" s="674"/>
      <c r="M635" s="674"/>
      <c r="N635" s="669"/>
      <c r="O635" s="670"/>
      <c r="P635" s="674"/>
      <c r="Q635" s="674"/>
    </row>
    <row r="636">
      <c r="A636" s="674"/>
      <c r="B636" s="674"/>
      <c r="C636" s="674"/>
      <c r="D636" s="674"/>
      <c r="E636" s="674"/>
      <c r="F636" s="683"/>
      <c r="G636" s="674"/>
      <c r="H636" s="674"/>
      <c r="I636" s="674"/>
      <c r="J636" s="674"/>
      <c r="K636" s="674"/>
      <c r="L636" s="674"/>
      <c r="M636" s="674"/>
      <c r="N636" s="669"/>
      <c r="O636" s="670"/>
      <c r="P636" s="674"/>
      <c r="Q636" s="674"/>
    </row>
    <row r="637">
      <c r="A637" s="674"/>
      <c r="B637" s="674"/>
      <c r="C637" s="674"/>
      <c r="D637" s="674"/>
      <c r="E637" s="674"/>
      <c r="F637" s="683"/>
      <c r="G637" s="674"/>
      <c r="H637" s="674"/>
      <c r="I637" s="674"/>
      <c r="J637" s="674"/>
      <c r="K637" s="674"/>
      <c r="L637" s="674"/>
      <c r="M637" s="674"/>
      <c r="N637" s="669"/>
      <c r="O637" s="670"/>
      <c r="P637" s="674"/>
      <c r="Q637" s="674"/>
    </row>
    <row r="638">
      <c r="A638" s="674"/>
      <c r="B638" s="674"/>
      <c r="C638" s="674"/>
      <c r="D638" s="674"/>
      <c r="E638" s="674"/>
      <c r="F638" s="683"/>
      <c r="G638" s="674"/>
      <c r="H638" s="674"/>
      <c r="I638" s="674"/>
      <c r="J638" s="674"/>
      <c r="K638" s="674"/>
      <c r="L638" s="674"/>
      <c r="M638" s="674"/>
      <c r="N638" s="669"/>
      <c r="O638" s="670"/>
      <c r="P638" s="674"/>
      <c r="Q638" s="674"/>
    </row>
    <row r="639">
      <c r="A639" s="674"/>
      <c r="B639" s="674"/>
      <c r="C639" s="674"/>
      <c r="D639" s="674"/>
      <c r="E639" s="674"/>
      <c r="F639" s="683"/>
      <c r="G639" s="674"/>
      <c r="H639" s="674"/>
      <c r="I639" s="674"/>
      <c r="J639" s="674"/>
      <c r="K639" s="674"/>
      <c r="L639" s="674"/>
      <c r="M639" s="674"/>
      <c r="N639" s="669"/>
      <c r="O639" s="670"/>
      <c r="P639" s="674"/>
      <c r="Q639" s="674"/>
    </row>
    <row r="640">
      <c r="A640" s="674"/>
      <c r="B640" s="674"/>
      <c r="C640" s="674"/>
      <c r="D640" s="674"/>
      <c r="E640" s="674"/>
      <c r="F640" s="683"/>
      <c r="G640" s="674"/>
      <c r="H640" s="674"/>
      <c r="I640" s="674"/>
      <c r="J640" s="674"/>
      <c r="K640" s="674"/>
      <c r="L640" s="674"/>
      <c r="M640" s="674"/>
      <c r="N640" s="669"/>
      <c r="O640" s="670"/>
      <c r="P640" s="674"/>
      <c r="Q640" s="674"/>
    </row>
    <row r="641">
      <c r="A641" s="674"/>
      <c r="B641" s="674"/>
      <c r="C641" s="674"/>
      <c r="D641" s="674"/>
      <c r="E641" s="674"/>
      <c r="F641" s="683"/>
      <c r="G641" s="674"/>
      <c r="H641" s="674"/>
      <c r="I641" s="674"/>
      <c r="J641" s="674"/>
      <c r="K641" s="674"/>
      <c r="L641" s="674"/>
      <c r="M641" s="674"/>
      <c r="N641" s="669"/>
      <c r="O641" s="670"/>
      <c r="P641" s="674"/>
      <c r="Q641" s="674"/>
    </row>
    <row r="642">
      <c r="A642" s="674"/>
      <c r="B642" s="674"/>
      <c r="C642" s="674"/>
      <c r="D642" s="674"/>
      <c r="E642" s="674"/>
      <c r="F642" s="683"/>
      <c r="G642" s="674"/>
      <c r="H642" s="674"/>
      <c r="I642" s="674"/>
      <c r="J642" s="674"/>
      <c r="K642" s="674"/>
      <c r="L642" s="674"/>
      <c r="M642" s="674"/>
      <c r="N642" s="669"/>
      <c r="O642" s="670"/>
      <c r="P642" s="674"/>
      <c r="Q642" s="674"/>
    </row>
    <row r="643">
      <c r="A643" s="674"/>
      <c r="B643" s="674"/>
      <c r="C643" s="674"/>
      <c r="D643" s="674"/>
      <c r="E643" s="674"/>
      <c r="F643" s="683"/>
      <c r="G643" s="674"/>
      <c r="H643" s="674"/>
      <c r="I643" s="674"/>
      <c r="J643" s="674"/>
      <c r="K643" s="674"/>
      <c r="L643" s="674"/>
      <c r="M643" s="674"/>
      <c r="N643" s="669"/>
      <c r="O643" s="670"/>
      <c r="P643" s="674"/>
      <c r="Q643" s="674"/>
    </row>
    <row r="644">
      <c r="A644" s="674"/>
      <c r="B644" s="674"/>
      <c r="C644" s="674"/>
      <c r="D644" s="674"/>
      <c r="E644" s="674"/>
      <c r="F644" s="683"/>
      <c r="G644" s="674"/>
      <c r="H644" s="674"/>
      <c r="I644" s="674"/>
      <c r="J644" s="674"/>
      <c r="K644" s="674"/>
      <c r="L644" s="674"/>
      <c r="M644" s="674"/>
      <c r="N644" s="669"/>
      <c r="O644" s="670"/>
      <c r="P644" s="674"/>
      <c r="Q644" s="674"/>
    </row>
    <row r="645">
      <c r="A645" s="674"/>
      <c r="B645" s="674"/>
      <c r="C645" s="674"/>
      <c r="D645" s="674"/>
      <c r="E645" s="674"/>
      <c r="F645" s="683"/>
      <c r="G645" s="674"/>
      <c r="H645" s="674"/>
      <c r="I645" s="674"/>
      <c r="J645" s="674"/>
      <c r="K645" s="674"/>
      <c r="L645" s="674"/>
      <c r="M645" s="674"/>
      <c r="N645" s="669"/>
      <c r="O645" s="670"/>
      <c r="P645" s="674"/>
      <c r="Q645" s="674"/>
    </row>
    <row r="646">
      <c r="A646" s="674"/>
      <c r="B646" s="674"/>
      <c r="C646" s="674"/>
      <c r="D646" s="674"/>
      <c r="E646" s="674"/>
      <c r="F646" s="683"/>
      <c r="G646" s="674"/>
      <c r="H646" s="674"/>
      <c r="I646" s="674"/>
      <c r="J646" s="674"/>
      <c r="K646" s="674"/>
      <c r="L646" s="674"/>
      <c r="M646" s="674"/>
      <c r="N646" s="669"/>
      <c r="O646" s="670"/>
      <c r="P646" s="674"/>
      <c r="Q646" s="674"/>
    </row>
    <row r="647">
      <c r="A647" s="674"/>
      <c r="B647" s="674"/>
      <c r="C647" s="674"/>
      <c r="D647" s="674"/>
      <c r="E647" s="674"/>
      <c r="F647" s="683"/>
      <c r="G647" s="674"/>
      <c r="H647" s="674"/>
      <c r="I647" s="674"/>
      <c r="J647" s="674"/>
      <c r="K647" s="674"/>
      <c r="L647" s="674"/>
      <c r="M647" s="674"/>
      <c r="N647" s="669"/>
      <c r="O647" s="670"/>
      <c r="P647" s="674"/>
      <c r="Q647" s="674"/>
    </row>
    <row r="648">
      <c r="A648" s="674"/>
      <c r="B648" s="674"/>
      <c r="C648" s="674"/>
      <c r="D648" s="674"/>
      <c r="E648" s="674"/>
      <c r="F648" s="683"/>
      <c r="G648" s="674"/>
      <c r="H648" s="674"/>
      <c r="I648" s="674"/>
      <c r="J648" s="674"/>
      <c r="K648" s="674"/>
      <c r="L648" s="674"/>
      <c r="M648" s="674"/>
      <c r="N648" s="669"/>
      <c r="O648" s="670"/>
      <c r="P648" s="674"/>
      <c r="Q648" s="674"/>
    </row>
    <row r="649">
      <c r="A649" s="674"/>
      <c r="B649" s="674"/>
      <c r="C649" s="674"/>
      <c r="D649" s="674"/>
      <c r="E649" s="674"/>
      <c r="F649" s="683"/>
      <c r="G649" s="674"/>
      <c r="H649" s="674"/>
      <c r="I649" s="674"/>
      <c r="J649" s="674"/>
      <c r="K649" s="674"/>
      <c r="L649" s="674"/>
      <c r="M649" s="674"/>
      <c r="N649" s="669"/>
      <c r="O649" s="670"/>
      <c r="P649" s="674"/>
      <c r="Q649" s="674"/>
    </row>
    <row r="650">
      <c r="A650" s="674"/>
      <c r="B650" s="674"/>
      <c r="C650" s="674"/>
      <c r="D650" s="674"/>
      <c r="E650" s="674"/>
      <c r="F650" s="683"/>
      <c r="G650" s="674"/>
      <c r="H650" s="674"/>
      <c r="I650" s="674"/>
      <c r="J650" s="674"/>
      <c r="K650" s="674"/>
      <c r="L650" s="674"/>
      <c r="M650" s="674"/>
      <c r="N650" s="669"/>
      <c r="O650" s="670"/>
      <c r="P650" s="674"/>
      <c r="Q650" s="674"/>
    </row>
    <row r="651">
      <c r="A651" s="674"/>
      <c r="B651" s="674"/>
      <c r="C651" s="674"/>
      <c r="D651" s="674"/>
      <c r="E651" s="674"/>
      <c r="F651" s="683"/>
      <c r="G651" s="674"/>
      <c r="H651" s="674"/>
      <c r="I651" s="674"/>
      <c r="J651" s="674"/>
      <c r="K651" s="674"/>
      <c r="L651" s="674"/>
      <c r="M651" s="674"/>
      <c r="N651" s="669"/>
      <c r="O651" s="670"/>
      <c r="P651" s="674"/>
      <c r="Q651" s="674"/>
    </row>
    <row r="652">
      <c r="A652" s="674"/>
      <c r="B652" s="674"/>
      <c r="C652" s="674"/>
      <c r="D652" s="674"/>
      <c r="E652" s="674"/>
      <c r="F652" s="683"/>
      <c r="G652" s="674"/>
      <c r="H652" s="674"/>
      <c r="I652" s="674"/>
      <c r="J652" s="674"/>
      <c r="K652" s="674"/>
      <c r="L652" s="674"/>
      <c r="M652" s="674"/>
      <c r="N652" s="669"/>
      <c r="O652" s="670"/>
      <c r="P652" s="674"/>
      <c r="Q652" s="674"/>
    </row>
    <row r="653">
      <c r="A653" s="674"/>
      <c r="B653" s="674"/>
      <c r="C653" s="674"/>
      <c r="D653" s="674"/>
      <c r="E653" s="674"/>
      <c r="F653" s="683"/>
      <c r="G653" s="674"/>
      <c r="H653" s="674"/>
      <c r="I653" s="674"/>
      <c r="J653" s="674"/>
      <c r="K653" s="674"/>
      <c r="L653" s="674"/>
      <c r="M653" s="674"/>
      <c r="N653" s="669"/>
      <c r="O653" s="670"/>
      <c r="P653" s="674"/>
      <c r="Q653" s="674"/>
    </row>
    <row r="654">
      <c r="A654" s="674"/>
      <c r="B654" s="674"/>
      <c r="C654" s="674"/>
      <c r="D654" s="674"/>
      <c r="E654" s="674"/>
      <c r="F654" s="683"/>
      <c r="G654" s="674"/>
      <c r="H654" s="674"/>
      <c r="I654" s="674"/>
      <c r="J654" s="674"/>
      <c r="K654" s="674"/>
      <c r="L654" s="674"/>
      <c r="M654" s="674"/>
      <c r="N654" s="669"/>
      <c r="O654" s="670"/>
      <c r="P654" s="674"/>
      <c r="Q654" s="674"/>
    </row>
    <row r="655">
      <c r="A655" s="674"/>
      <c r="B655" s="674"/>
      <c r="C655" s="674"/>
      <c r="D655" s="674"/>
      <c r="E655" s="674"/>
      <c r="F655" s="683"/>
      <c r="G655" s="674"/>
      <c r="H655" s="674"/>
      <c r="I655" s="674"/>
      <c r="J655" s="674"/>
      <c r="K655" s="674"/>
      <c r="L655" s="674"/>
      <c r="M655" s="674"/>
      <c r="N655" s="669"/>
      <c r="O655" s="670"/>
      <c r="P655" s="674"/>
      <c r="Q655" s="674"/>
    </row>
    <row r="656">
      <c r="A656" s="674"/>
      <c r="B656" s="674"/>
      <c r="C656" s="674"/>
      <c r="D656" s="674"/>
      <c r="E656" s="674"/>
      <c r="F656" s="683"/>
      <c r="G656" s="674"/>
      <c r="H656" s="674"/>
      <c r="I656" s="674"/>
      <c r="J656" s="674"/>
      <c r="K656" s="674"/>
      <c r="L656" s="674"/>
      <c r="M656" s="674"/>
      <c r="N656" s="669"/>
      <c r="O656" s="670"/>
      <c r="P656" s="674"/>
      <c r="Q656" s="674"/>
    </row>
    <row r="657">
      <c r="A657" s="674"/>
      <c r="B657" s="674"/>
      <c r="C657" s="674"/>
      <c r="D657" s="674"/>
      <c r="E657" s="674"/>
      <c r="F657" s="683"/>
      <c r="G657" s="674"/>
      <c r="H657" s="674"/>
      <c r="I657" s="674"/>
      <c r="J657" s="674"/>
      <c r="K657" s="674"/>
      <c r="L657" s="674"/>
      <c r="M657" s="674"/>
      <c r="N657" s="669"/>
      <c r="O657" s="670"/>
      <c r="P657" s="674"/>
      <c r="Q657" s="674"/>
    </row>
    <row r="658">
      <c r="A658" s="674"/>
      <c r="B658" s="674"/>
      <c r="C658" s="674"/>
      <c r="D658" s="674"/>
      <c r="E658" s="674"/>
      <c r="F658" s="683"/>
      <c r="G658" s="674"/>
      <c r="H658" s="674"/>
      <c r="I658" s="674"/>
      <c r="J658" s="674"/>
      <c r="K658" s="674"/>
      <c r="L658" s="674"/>
      <c r="M658" s="674"/>
      <c r="N658" s="669"/>
      <c r="O658" s="670"/>
      <c r="P658" s="674"/>
      <c r="Q658" s="674"/>
    </row>
    <row r="659">
      <c r="A659" s="674"/>
      <c r="B659" s="674"/>
      <c r="C659" s="674"/>
      <c r="D659" s="674"/>
      <c r="E659" s="674"/>
      <c r="F659" s="683"/>
      <c r="G659" s="674"/>
      <c r="H659" s="674"/>
      <c r="I659" s="674"/>
      <c r="J659" s="674"/>
      <c r="K659" s="674"/>
      <c r="L659" s="674"/>
      <c r="M659" s="674"/>
      <c r="N659" s="669"/>
      <c r="O659" s="670"/>
      <c r="P659" s="674"/>
      <c r="Q659" s="674"/>
    </row>
    <row r="660">
      <c r="A660" s="674"/>
      <c r="B660" s="674"/>
      <c r="C660" s="674"/>
      <c r="D660" s="674"/>
      <c r="E660" s="674"/>
      <c r="F660" s="683"/>
      <c r="G660" s="674"/>
      <c r="H660" s="674"/>
      <c r="I660" s="674"/>
      <c r="J660" s="674"/>
      <c r="K660" s="674"/>
      <c r="L660" s="674"/>
      <c r="M660" s="674"/>
      <c r="N660" s="669"/>
      <c r="O660" s="670"/>
      <c r="P660" s="674"/>
      <c r="Q660" s="674"/>
    </row>
    <row r="661">
      <c r="A661" s="674"/>
      <c r="B661" s="674"/>
      <c r="C661" s="674"/>
      <c r="D661" s="674"/>
      <c r="E661" s="674"/>
      <c r="F661" s="683"/>
      <c r="G661" s="674"/>
      <c r="H661" s="674"/>
      <c r="I661" s="674"/>
      <c r="J661" s="674"/>
      <c r="K661" s="674"/>
      <c r="L661" s="674"/>
      <c r="M661" s="674"/>
      <c r="N661" s="669"/>
      <c r="O661" s="670"/>
      <c r="P661" s="674"/>
      <c r="Q661" s="674"/>
    </row>
    <row r="662">
      <c r="A662" s="674"/>
      <c r="B662" s="674"/>
      <c r="C662" s="674"/>
      <c r="D662" s="674"/>
      <c r="E662" s="674"/>
      <c r="F662" s="683"/>
      <c r="G662" s="674"/>
      <c r="H662" s="674"/>
      <c r="I662" s="674"/>
      <c r="J662" s="674"/>
      <c r="K662" s="674"/>
      <c r="L662" s="674"/>
      <c r="M662" s="674"/>
      <c r="N662" s="669"/>
      <c r="O662" s="670"/>
      <c r="P662" s="674"/>
      <c r="Q662" s="674"/>
    </row>
    <row r="663">
      <c r="A663" s="674"/>
      <c r="B663" s="674"/>
      <c r="C663" s="674"/>
      <c r="D663" s="674"/>
      <c r="E663" s="674"/>
      <c r="F663" s="683"/>
      <c r="G663" s="674"/>
      <c r="H663" s="674"/>
      <c r="I663" s="674"/>
      <c r="J663" s="674"/>
      <c r="K663" s="674"/>
      <c r="L663" s="674"/>
      <c r="M663" s="674"/>
      <c r="N663" s="669"/>
      <c r="O663" s="670"/>
      <c r="P663" s="674"/>
      <c r="Q663" s="674"/>
    </row>
    <row r="664">
      <c r="A664" s="674"/>
      <c r="B664" s="674"/>
      <c r="C664" s="674"/>
      <c r="D664" s="674"/>
      <c r="E664" s="674"/>
      <c r="F664" s="683"/>
      <c r="G664" s="674"/>
      <c r="H664" s="674"/>
      <c r="I664" s="674"/>
      <c r="J664" s="674"/>
      <c r="K664" s="674"/>
      <c r="L664" s="674"/>
      <c r="M664" s="674"/>
      <c r="N664" s="669"/>
      <c r="O664" s="670"/>
      <c r="P664" s="674"/>
      <c r="Q664" s="674"/>
    </row>
    <row r="665">
      <c r="A665" s="674"/>
      <c r="B665" s="674"/>
      <c r="C665" s="674"/>
      <c r="D665" s="674"/>
      <c r="E665" s="674"/>
      <c r="F665" s="683"/>
      <c r="G665" s="674"/>
      <c r="H665" s="674"/>
      <c r="I665" s="674"/>
      <c r="J665" s="674"/>
      <c r="K665" s="674"/>
      <c r="L665" s="674"/>
      <c r="M665" s="674"/>
      <c r="N665" s="669"/>
      <c r="O665" s="670"/>
      <c r="P665" s="674"/>
      <c r="Q665" s="674"/>
    </row>
    <row r="666">
      <c r="A666" s="674"/>
      <c r="B666" s="674"/>
      <c r="C666" s="674"/>
      <c r="D666" s="674"/>
      <c r="E666" s="674"/>
      <c r="F666" s="683"/>
      <c r="G666" s="674"/>
      <c r="H666" s="674"/>
      <c r="I666" s="674"/>
      <c r="J666" s="674"/>
      <c r="K666" s="674"/>
      <c r="L666" s="674"/>
      <c r="M666" s="674"/>
      <c r="N666" s="669"/>
      <c r="O666" s="670"/>
      <c r="P666" s="674"/>
      <c r="Q666" s="674"/>
    </row>
    <row r="667">
      <c r="A667" s="674"/>
      <c r="B667" s="674"/>
      <c r="C667" s="674"/>
      <c r="D667" s="674"/>
      <c r="E667" s="674"/>
      <c r="F667" s="683"/>
      <c r="G667" s="674"/>
      <c r="H667" s="674"/>
      <c r="I667" s="674"/>
      <c r="J667" s="674"/>
      <c r="K667" s="674"/>
      <c r="L667" s="674"/>
      <c r="M667" s="674"/>
      <c r="N667" s="669"/>
      <c r="O667" s="670"/>
      <c r="P667" s="674"/>
      <c r="Q667" s="674"/>
    </row>
    <row r="668">
      <c r="A668" s="674"/>
      <c r="B668" s="674"/>
      <c r="C668" s="674"/>
      <c r="D668" s="674"/>
      <c r="E668" s="674"/>
      <c r="F668" s="683"/>
      <c r="G668" s="674"/>
      <c r="H668" s="674"/>
      <c r="I668" s="674"/>
      <c r="J668" s="674"/>
      <c r="K668" s="674"/>
      <c r="L668" s="674"/>
      <c r="M668" s="674"/>
      <c r="N668" s="669"/>
      <c r="O668" s="670"/>
      <c r="P668" s="674"/>
      <c r="Q668" s="674"/>
    </row>
    <row r="669">
      <c r="A669" s="674"/>
      <c r="B669" s="674"/>
      <c r="C669" s="674"/>
      <c r="D669" s="674"/>
      <c r="E669" s="674"/>
      <c r="F669" s="683"/>
      <c r="G669" s="674"/>
      <c r="H669" s="674"/>
      <c r="I669" s="674"/>
      <c r="J669" s="674"/>
      <c r="K669" s="674"/>
      <c r="L669" s="674"/>
      <c r="M669" s="674"/>
      <c r="N669" s="669"/>
      <c r="O669" s="670"/>
      <c r="P669" s="674"/>
      <c r="Q669" s="674"/>
    </row>
    <row r="670">
      <c r="A670" s="674"/>
      <c r="B670" s="674"/>
      <c r="C670" s="674"/>
      <c r="D670" s="674"/>
      <c r="E670" s="674"/>
      <c r="F670" s="683"/>
      <c r="G670" s="674"/>
      <c r="H670" s="674"/>
      <c r="I670" s="674"/>
      <c r="J670" s="674"/>
      <c r="K670" s="674"/>
      <c r="L670" s="674"/>
      <c r="M670" s="674"/>
      <c r="N670" s="669"/>
      <c r="O670" s="670"/>
      <c r="P670" s="674"/>
      <c r="Q670" s="674"/>
    </row>
    <row r="671">
      <c r="A671" s="674"/>
      <c r="B671" s="674"/>
      <c r="C671" s="674"/>
      <c r="D671" s="674"/>
      <c r="E671" s="674"/>
      <c r="F671" s="683"/>
      <c r="G671" s="674"/>
      <c r="H671" s="674"/>
      <c r="I671" s="674"/>
      <c r="J671" s="674"/>
      <c r="K671" s="674"/>
      <c r="L671" s="674"/>
      <c r="M671" s="674"/>
      <c r="N671" s="669"/>
      <c r="O671" s="670"/>
      <c r="P671" s="674"/>
      <c r="Q671" s="674"/>
    </row>
    <row r="672">
      <c r="A672" s="674"/>
      <c r="B672" s="674"/>
      <c r="C672" s="674"/>
      <c r="D672" s="674"/>
      <c r="E672" s="674"/>
      <c r="F672" s="683"/>
      <c r="G672" s="674"/>
      <c r="H672" s="674"/>
      <c r="I672" s="674"/>
      <c r="J672" s="674"/>
      <c r="K672" s="674"/>
      <c r="L672" s="674"/>
      <c r="M672" s="674"/>
      <c r="N672" s="669"/>
      <c r="O672" s="670"/>
      <c r="P672" s="674"/>
      <c r="Q672" s="674"/>
    </row>
    <row r="673">
      <c r="A673" s="674"/>
      <c r="B673" s="674"/>
      <c r="C673" s="674"/>
      <c r="D673" s="674"/>
      <c r="E673" s="674"/>
      <c r="F673" s="683"/>
      <c r="G673" s="674"/>
      <c r="H673" s="674"/>
      <c r="I673" s="674"/>
      <c r="J673" s="674"/>
      <c r="K673" s="674"/>
      <c r="L673" s="674"/>
      <c r="M673" s="674"/>
      <c r="N673" s="669"/>
      <c r="O673" s="670"/>
      <c r="P673" s="674"/>
      <c r="Q673" s="674"/>
    </row>
    <row r="674">
      <c r="A674" s="674"/>
      <c r="B674" s="674"/>
      <c r="C674" s="674"/>
      <c r="D674" s="674"/>
      <c r="E674" s="674"/>
      <c r="F674" s="683"/>
      <c r="G674" s="674"/>
      <c r="H674" s="674"/>
      <c r="I674" s="674"/>
      <c r="J674" s="674"/>
      <c r="K674" s="674"/>
      <c r="L674" s="674"/>
      <c r="M674" s="674"/>
      <c r="N674" s="669"/>
      <c r="O674" s="670"/>
      <c r="P674" s="674"/>
      <c r="Q674" s="674"/>
    </row>
    <row r="675">
      <c r="A675" s="674"/>
      <c r="B675" s="674"/>
      <c r="C675" s="674"/>
      <c r="D675" s="674"/>
      <c r="E675" s="674"/>
      <c r="F675" s="683"/>
      <c r="G675" s="674"/>
      <c r="H675" s="674"/>
      <c r="I675" s="674"/>
      <c r="J675" s="674"/>
      <c r="K675" s="674"/>
      <c r="L675" s="674"/>
      <c r="M675" s="674"/>
      <c r="N675" s="669"/>
      <c r="O675" s="670"/>
      <c r="P675" s="674"/>
      <c r="Q675" s="674"/>
    </row>
    <row r="676">
      <c r="A676" s="674"/>
      <c r="B676" s="674"/>
      <c r="C676" s="674"/>
      <c r="D676" s="674"/>
      <c r="E676" s="674"/>
      <c r="F676" s="683"/>
      <c r="G676" s="674"/>
      <c r="H676" s="674"/>
      <c r="I676" s="674"/>
      <c r="J676" s="674"/>
      <c r="K676" s="674"/>
      <c r="L676" s="674"/>
      <c r="M676" s="674"/>
      <c r="N676" s="669"/>
      <c r="O676" s="670"/>
      <c r="P676" s="674"/>
      <c r="Q676" s="674"/>
    </row>
    <row r="677">
      <c r="A677" s="674"/>
      <c r="B677" s="674"/>
      <c r="C677" s="674"/>
      <c r="D677" s="674"/>
      <c r="E677" s="674"/>
      <c r="F677" s="683"/>
      <c r="G677" s="674"/>
      <c r="H677" s="674"/>
      <c r="I677" s="674"/>
      <c r="J677" s="674"/>
      <c r="K677" s="674"/>
      <c r="L677" s="674"/>
      <c r="M677" s="674"/>
      <c r="N677" s="669"/>
      <c r="O677" s="670"/>
      <c r="P677" s="674"/>
      <c r="Q677" s="674"/>
    </row>
    <row r="678">
      <c r="A678" s="674"/>
      <c r="B678" s="674"/>
      <c r="C678" s="674"/>
      <c r="D678" s="674"/>
      <c r="E678" s="674"/>
      <c r="F678" s="683"/>
      <c r="G678" s="674"/>
      <c r="H678" s="674"/>
      <c r="I678" s="674"/>
      <c r="J678" s="674"/>
      <c r="K678" s="674"/>
      <c r="L678" s="674"/>
      <c r="M678" s="674"/>
      <c r="N678" s="669"/>
      <c r="O678" s="670"/>
      <c r="P678" s="674"/>
      <c r="Q678" s="674"/>
    </row>
    <row r="679">
      <c r="A679" s="674"/>
      <c r="B679" s="674"/>
      <c r="C679" s="674"/>
      <c r="D679" s="674"/>
      <c r="E679" s="674"/>
      <c r="F679" s="683"/>
      <c r="G679" s="674"/>
      <c r="H679" s="674"/>
      <c r="I679" s="674"/>
      <c r="J679" s="674"/>
      <c r="K679" s="674"/>
      <c r="L679" s="674"/>
      <c r="M679" s="674"/>
      <c r="N679" s="669"/>
      <c r="O679" s="670"/>
      <c r="P679" s="674"/>
      <c r="Q679" s="674"/>
    </row>
    <row r="680">
      <c r="A680" s="674"/>
      <c r="B680" s="674"/>
      <c r="C680" s="674"/>
      <c r="D680" s="674"/>
      <c r="E680" s="674"/>
      <c r="F680" s="683"/>
      <c r="G680" s="674"/>
      <c r="H680" s="674"/>
      <c r="I680" s="674"/>
      <c r="J680" s="674"/>
      <c r="K680" s="674"/>
      <c r="L680" s="674"/>
      <c r="M680" s="674"/>
      <c r="N680" s="669"/>
      <c r="O680" s="670"/>
      <c r="P680" s="674"/>
      <c r="Q680" s="674"/>
    </row>
    <row r="681">
      <c r="A681" s="674"/>
      <c r="B681" s="674"/>
      <c r="C681" s="674"/>
      <c r="D681" s="674"/>
      <c r="E681" s="674"/>
      <c r="F681" s="683"/>
      <c r="G681" s="674"/>
      <c r="H681" s="674"/>
      <c r="I681" s="674"/>
      <c r="J681" s="674"/>
      <c r="K681" s="674"/>
      <c r="L681" s="674"/>
      <c r="M681" s="674"/>
      <c r="N681" s="669"/>
      <c r="O681" s="670"/>
      <c r="P681" s="674"/>
      <c r="Q681" s="674"/>
    </row>
    <row r="682">
      <c r="A682" s="674"/>
      <c r="B682" s="674"/>
      <c r="C682" s="674"/>
      <c r="D682" s="674"/>
      <c r="E682" s="674"/>
      <c r="F682" s="683"/>
      <c r="G682" s="674"/>
      <c r="H682" s="674"/>
      <c r="I682" s="674"/>
      <c r="J682" s="674"/>
      <c r="K682" s="674"/>
      <c r="L682" s="674"/>
      <c r="M682" s="674"/>
      <c r="N682" s="669"/>
      <c r="O682" s="670"/>
      <c r="P682" s="674"/>
      <c r="Q682" s="674"/>
    </row>
    <row r="683">
      <c r="A683" s="674"/>
      <c r="B683" s="674"/>
      <c r="C683" s="674"/>
      <c r="D683" s="674"/>
      <c r="E683" s="674"/>
      <c r="F683" s="683"/>
      <c r="G683" s="674"/>
      <c r="H683" s="674"/>
      <c r="I683" s="674"/>
      <c r="J683" s="674"/>
      <c r="K683" s="674"/>
      <c r="L683" s="674"/>
      <c r="M683" s="674"/>
      <c r="N683" s="669"/>
      <c r="O683" s="670"/>
      <c r="P683" s="674"/>
      <c r="Q683" s="674"/>
    </row>
    <row r="684">
      <c r="A684" s="674"/>
      <c r="B684" s="674"/>
      <c r="C684" s="674"/>
      <c r="D684" s="674"/>
      <c r="E684" s="674"/>
      <c r="F684" s="683"/>
      <c r="G684" s="674"/>
      <c r="H684" s="674"/>
      <c r="I684" s="674"/>
      <c r="J684" s="674"/>
      <c r="K684" s="674"/>
      <c r="L684" s="674"/>
      <c r="M684" s="674"/>
      <c r="N684" s="669"/>
      <c r="O684" s="670"/>
      <c r="P684" s="674"/>
      <c r="Q684" s="674"/>
    </row>
    <row r="685">
      <c r="A685" s="674"/>
      <c r="B685" s="674"/>
      <c r="C685" s="674"/>
      <c r="D685" s="674"/>
      <c r="E685" s="674"/>
      <c r="F685" s="683"/>
      <c r="G685" s="674"/>
      <c r="H685" s="674"/>
      <c r="I685" s="674"/>
      <c r="J685" s="674"/>
      <c r="K685" s="674"/>
      <c r="L685" s="674"/>
      <c r="M685" s="674"/>
      <c r="N685" s="669"/>
      <c r="O685" s="670"/>
      <c r="P685" s="674"/>
      <c r="Q685" s="674"/>
    </row>
    <row r="686">
      <c r="A686" s="674"/>
      <c r="B686" s="674"/>
      <c r="C686" s="674"/>
      <c r="D686" s="674"/>
      <c r="E686" s="674"/>
      <c r="F686" s="683"/>
      <c r="G686" s="674"/>
      <c r="H686" s="674"/>
      <c r="I686" s="674"/>
      <c r="J686" s="674"/>
      <c r="K686" s="674"/>
      <c r="L686" s="674"/>
      <c r="M686" s="674"/>
      <c r="N686" s="669"/>
      <c r="O686" s="670"/>
      <c r="P686" s="674"/>
      <c r="Q686" s="674"/>
    </row>
    <row r="687">
      <c r="A687" s="674"/>
      <c r="B687" s="674"/>
      <c r="C687" s="674"/>
      <c r="D687" s="674"/>
      <c r="E687" s="674"/>
      <c r="F687" s="683"/>
      <c r="G687" s="674"/>
      <c r="H687" s="674"/>
      <c r="I687" s="674"/>
      <c r="J687" s="674"/>
      <c r="K687" s="674"/>
      <c r="L687" s="674"/>
      <c r="M687" s="674"/>
      <c r="N687" s="669"/>
      <c r="O687" s="670"/>
      <c r="P687" s="674"/>
      <c r="Q687" s="674"/>
    </row>
    <row r="688">
      <c r="A688" s="674"/>
      <c r="B688" s="674"/>
      <c r="C688" s="674"/>
      <c r="D688" s="674"/>
      <c r="E688" s="674"/>
      <c r="F688" s="683"/>
      <c r="G688" s="674"/>
      <c r="H688" s="674"/>
      <c r="I688" s="674"/>
      <c r="J688" s="674"/>
      <c r="K688" s="674"/>
      <c r="L688" s="674"/>
      <c r="M688" s="674"/>
      <c r="N688" s="669"/>
      <c r="O688" s="670"/>
      <c r="P688" s="674"/>
      <c r="Q688" s="674"/>
    </row>
    <row r="689">
      <c r="A689" s="674"/>
      <c r="B689" s="674"/>
      <c r="C689" s="674"/>
      <c r="D689" s="674"/>
      <c r="E689" s="674"/>
      <c r="F689" s="683"/>
      <c r="G689" s="674"/>
      <c r="H689" s="674"/>
      <c r="I689" s="674"/>
      <c r="J689" s="674"/>
      <c r="K689" s="674"/>
      <c r="L689" s="674"/>
      <c r="M689" s="674"/>
      <c r="N689" s="669"/>
      <c r="O689" s="670"/>
      <c r="P689" s="674"/>
      <c r="Q689" s="674"/>
    </row>
    <row r="690">
      <c r="A690" s="674"/>
      <c r="B690" s="674"/>
      <c r="C690" s="674"/>
      <c r="D690" s="674"/>
      <c r="E690" s="674"/>
      <c r="F690" s="683"/>
      <c r="G690" s="674"/>
      <c r="H690" s="674"/>
      <c r="I690" s="674"/>
      <c r="J690" s="674"/>
      <c r="K690" s="674"/>
      <c r="L690" s="674"/>
      <c r="M690" s="674"/>
      <c r="N690" s="669"/>
      <c r="O690" s="670"/>
      <c r="P690" s="674"/>
      <c r="Q690" s="674"/>
    </row>
    <row r="691">
      <c r="A691" s="674"/>
      <c r="B691" s="674"/>
      <c r="C691" s="674"/>
      <c r="D691" s="674"/>
      <c r="E691" s="674"/>
      <c r="F691" s="683"/>
      <c r="G691" s="674"/>
      <c r="H691" s="674"/>
      <c r="I691" s="674"/>
      <c r="J691" s="674"/>
      <c r="K691" s="674"/>
      <c r="L691" s="674"/>
      <c r="M691" s="674"/>
      <c r="N691" s="669"/>
      <c r="O691" s="670"/>
      <c r="P691" s="674"/>
      <c r="Q691" s="674"/>
    </row>
    <row r="692">
      <c r="A692" s="674"/>
      <c r="B692" s="674"/>
      <c r="C692" s="674"/>
      <c r="D692" s="674"/>
      <c r="E692" s="674"/>
      <c r="F692" s="683"/>
      <c r="G692" s="674"/>
      <c r="H692" s="674"/>
      <c r="I692" s="674"/>
      <c r="J692" s="674"/>
      <c r="K692" s="674"/>
      <c r="L692" s="674"/>
      <c r="M692" s="674"/>
      <c r="N692" s="669"/>
      <c r="O692" s="670"/>
      <c r="P692" s="674"/>
      <c r="Q692" s="674"/>
    </row>
    <row r="693">
      <c r="A693" s="674"/>
      <c r="B693" s="674"/>
      <c r="C693" s="674"/>
      <c r="D693" s="674"/>
      <c r="E693" s="674"/>
      <c r="F693" s="683"/>
      <c r="G693" s="674"/>
      <c r="H693" s="674"/>
      <c r="I693" s="674"/>
      <c r="J693" s="674"/>
      <c r="K693" s="674"/>
      <c r="L693" s="674"/>
      <c r="M693" s="674"/>
      <c r="N693" s="669"/>
      <c r="O693" s="670"/>
      <c r="P693" s="674"/>
      <c r="Q693" s="674"/>
    </row>
    <row r="694">
      <c r="A694" s="674"/>
      <c r="B694" s="674"/>
      <c r="C694" s="674"/>
      <c r="D694" s="674"/>
      <c r="E694" s="674"/>
      <c r="F694" s="683"/>
      <c r="G694" s="674"/>
      <c r="H694" s="674"/>
      <c r="I694" s="674"/>
      <c r="J694" s="674"/>
      <c r="K694" s="674"/>
      <c r="L694" s="674"/>
      <c r="M694" s="674"/>
      <c r="N694" s="669"/>
      <c r="O694" s="670"/>
      <c r="P694" s="674"/>
      <c r="Q694" s="674"/>
    </row>
    <row r="695">
      <c r="A695" s="674"/>
      <c r="B695" s="674"/>
      <c r="C695" s="674"/>
      <c r="D695" s="674"/>
      <c r="E695" s="674"/>
      <c r="F695" s="683"/>
      <c r="G695" s="674"/>
      <c r="H695" s="674"/>
      <c r="I695" s="674"/>
      <c r="J695" s="674"/>
      <c r="K695" s="674"/>
      <c r="L695" s="674"/>
      <c r="M695" s="674"/>
      <c r="N695" s="669"/>
      <c r="O695" s="670"/>
      <c r="P695" s="674"/>
      <c r="Q695" s="674"/>
    </row>
    <row r="696">
      <c r="A696" s="674"/>
      <c r="B696" s="674"/>
      <c r="C696" s="674"/>
      <c r="D696" s="674"/>
      <c r="E696" s="674"/>
      <c r="F696" s="683"/>
      <c r="G696" s="674"/>
      <c r="H696" s="674"/>
      <c r="I696" s="674"/>
      <c r="J696" s="674"/>
      <c r="K696" s="674"/>
      <c r="L696" s="674"/>
      <c r="M696" s="674"/>
      <c r="N696" s="669"/>
      <c r="O696" s="670"/>
      <c r="P696" s="674"/>
      <c r="Q696" s="674"/>
    </row>
    <row r="697">
      <c r="A697" s="674"/>
      <c r="B697" s="674"/>
      <c r="C697" s="674"/>
      <c r="D697" s="674"/>
      <c r="E697" s="674"/>
      <c r="F697" s="683"/>
      <c r="G697" s="674"/>
      <c r="H697" s="674"/>
      <c r="I697" s="674"/>
      <c r="J697" s="674"/>
      <c r="K697" s="674"/>
      <c r="L697" s="674"/>
      <c r="M697" s="674"/>
      <c r="N697" s="669"/>
      <c r="O697" s="670"/>
      <c r="P697" s="674"/>
      <c r="Q697" s="674"/>
    </row>
    <row r="698">
      <c r="A698" s="674"/>
      <c r="B698" s="674"/>
      <c r="C698" s="674"/>
      <c r="D698" s="674"/>
      <c r="E698" s="674"/>
      <c r="F698" s="683"/>
      <c r="G698" s="674"/>
      <c r="H698" s="674"/>
      <c r="I698" s="674"/>
      <c r="J698" s="674"/>
      <c r="K698" s="674"/>
      <c r="L698" s="674"/>
      <c r="M698" s="674"/>
      <c r="N698" s="669"/>
      <c r="O698" s="670"/>
      <c r="P698" s="674"/>
      <c r="Q698" s="674"/>
    </row>
    <row r="699">
      <c r="A699" s="674"/>
      <c r="B699" s="674"/>
      <c r="C699" s="674"/>
      <c r="D699" s="674"/>
      <c r="E699" s="674"/>
      <c r="F699" s="683"/>
      <c r="G699" s="674"/>
      <c r="H699" s="674"/>
      <c r="I699" s="674"/>
      <c r="J699" s="674"/>
      <c r="K699" s="674"/>
      <c r="L699" s="674"/>
      <c r="M699" s="674"/>
      <c r="N699" s="669"/>
      <c r="O699" s="670"/>
      <c r="P699" s="674"/>
      <c r="Q699" s="674"/>
    </row>
    <row r="700">
      <c r="A700" s="674"/>
      <c r="B700" s="674"/>
      <c r="C700" s="674"/>
      <c r="D700" s="674"/>
      <c r="E700" s="674"/>
      <c r="F700" s="683"/>
      <c r="G700" s="674"/>
      <c r="H700" s="674"/>
      <c r="I700" s="674"/>
      <c r="J700" s="674"/>
      <c r="K700" s="674"/>
      <c r="L700" s="674"/>
      <c r="M700" s="674"/>
      <c r="N700" s="669"/>
      <c r="O700" s="670"/>
      <c r="P700" s="674"/>
      <c r="Q700" s="674"/>
    </row>
    <row r="701">
      <c r="A701" s="674"/>
      <c r="B701" s="674"/>
      <c r="C701" s="674"/>
      <c r="D701" s="674"/>
      <c r="E701" s="674"/>
      <c r="F701" s="683"/>
      <c r="G701" s="674"/>
      <c r="H701" s="674"/>
      <c r="I701" s="674"/>
      <c r="J701" s="674"/>
      <c r="K701" s="674"/>
      <c r="L701" s="674"/>
      <c r="M701" s="674"/>
      <c r="N701" s="669"/>
      <c r="O701" s="670"/>
      <c r="P701" s="674"/>
      <c r="Q701" s="674"/>
    </row>
    <row r="702">
      <c r="A702" s="674"/>
      <c r="B702" s="674"/>
      <c r="C702" s="674"/>
      <c r="D702" s="674"/>
      <c r="E702" s="674"/>
      <c r="F702" s="683"/>
      <c r="G702" s="674"/>
      <c r="H702" s="674"/>
      <c r="I702" s="674"/>
      <c r="J702" s="674"/>
      <c r="K702" s="674"/>
      <c r="L702" s="674"/>
      <c r="M702" s="674"/>
      <c r="N702" s="669"/>
      <c r="O702" s="670"/>
      <c r="P702" s="674"/>
      <c r="Q702" s="674"/>
    </row>
    <row r="703">
      <c r="A703" s="674"/>
      <c r="B703" s="674"/>
      <c r="C703" s="674"/>
      <c r="D703" s="674"/>
      <c r="E703" s="674"/>
      <c r="F703" s="683"/>
      <c r="G703" s="674"/>
      <c r="H703" s="674"/>
      <c r="I703" s="674"/>
      <c r="J703" s="674"/>
      <c r="K703" s="674"/>
      <c r="L703" s="674"/>
      <c r="M703" s="674"/>
      <c r="N703" s="669"/>
      <c r="O703" s="670"/>
      <c r="P703" s="674"/>
      <c r="Q703" s="674"/>
    </row>
    <row r="704">
      <c r="A704" s="674"/>
      <c r="B704" s="674"/>
      <c r="C704" s="674"/>
      <c r="D704" s="674"/>
      <c r="E704" s="674"/>
      <c r="F704" s="683"/>
      <c r="G704" s="674"/>
      <c r="H704" s="674"/>
      <c r="I704" s="674"/>
      <c r="J704" s="674"/>
      <c r="K704" s="674"/>
      <c r="L704" s="674"/>
      <c r="M704" s="674"/>
      <c r="N704" s="669"/>
      <c r="O704" s="670"/>
      <c r="P704" s="674"/>
      <c r="Q704" s="674"/>
    </row>
    <row r="705">
      <c r="A705" s="674"/>
      <c r="B705" s="674"/>
      <c r="C705" s="674"/>
      <c r="D705" s="674"/>
      <c r="E705" s="674"/>
      <c r="F705" s="683"/>
      <c r="G705" s="674"/>
      <c r="H705" s="674"/>
      <c r="I705" s="674"/>
      <c r="J705" s="674"/>
      <c r="K705" s="674"/>
      <c r="L705" s="674"/>
      <c r="M705" s="674"/>
      <c r="N705" s="669"/>
      <c r="O705" s="670"/>
      <c r="P705" s="674"/>
      <c r="Q705" s="674"/>
    </row>
    <row r="706">
      <c r="A706" s="674"/>
      <c r="B706" s="674"/>
      <c r="C706" s="674"/>
      <c r="D706" s="674"/>
      <c r="E706" s="674"/>
      <c r="F706" s="683"/>
      <c r="G706" s="674"/>
      <c r="H706" s="674"/>
      <c r="I706" s="674"/>
      <c r="J706" s="674"/>
      <c r="K706" s="674"/>
      <c r="L706" s="674"/>
      <c r="M706" s="674"/>
      <c r="N706" s="669"/>
      <c r="O706" s="670"/>
      <c r="P706" s="674"/>
      <c r="Q706" s="674"/>
    </row>
    <row r="707">
      <c r="A707" s="674"/>
      <c r="B707" s="674"/>
      <c r="C707" s="674"/>
      <c r="D707" s="674"/>
      <c r="E707" s="674"/>
      <c r="F707" s="683"/>
      <c r="G707" s="674"/>
      <c r="H707" s="674"/>
      <c r="I707" s="674"/>
      <c r="J707" s="674"/>
      <c r="K707" s="674"/>
      <c r="L707" s="674"/>
      <c r="M707" s="674"/>
      <c r="N707" s="669"/>
      <c r="O707" s="670"/>
      <c r="P707" s="674"/>
      <c r="Q707" s="674"/>
    </row>
    <row r="708">
      <c r="A708" s="674"/>
      <c r="B708" s="674"/>
      <c r="C708" s="674"/>
      <c r="D708" s="674"/>
      <c r="E708" s="674"/>
      <c r="F708" s="683"/>
      <c r="G708" s="674"/>
      <c r="H708" s="674"/>
      <c r="I708" s="674"/>
      <c r="J708" s="674"/>
      <c r="K708" s="674"/>
      <c r="L708" s="674"/>
      <c r="M708" s="674"/>
      <c r="N708" s="669"/>
      <c r="O708" s="670"/>
      <c r="P708" s="674"/>
      <c r="Q708" s="674"/>
    </row>
    <row r="709">
      <c r="A709" s="674"/>
      <c r="B709" s="674"/>
      <c r="C709" s="674"/>
      <c r="D709" s="674"/>
      <c r="E709" s="674"/>
      <c r="F709" s="683"/>
      <c r="G709" s="674"/>
      <c r="H709" s="674"/>
      <c r="I709" s="674"/>
      <c r="J709" s="674"/>
      <c r="K709" s="674"/>
      <c r="L709" s="674"/>
      <c r="M709" s="674"/>
      <c r="N709" s="669"/>
      <c r="O709" s="670"/>
      <c r="P709" s="674"/>
      <c r="Q709" s="674"/>
    </row>
    <row r="710">
      <c r="A710" s="674"/>
      <c r="B710" s="674"/>
      <c r="C710" s="674"/>
      <c r="D710" s="674"/>
      <c r="E710" s="674"/>
      <c r="F710" s="683"/>
      <c r="G710" s="674"/>
      <c r="H710" s="674"/>
      <c r="I710" s="674"/>
      <c r="J710" s="674"/>
      <c r="K710" s="674"/>
      <c r="L710" s="674"/>
      <c r="M710" s="674"/>
      <c r="N710" s="669"/>
      <c r="O710" s="670"/>
      <c r="P710" s="674"/>
      <c r="Q710" s="674"/>
    </row>
    <row r="711">
      <c r="A711" s="674"/>
      <c r="B711" s="674"/>
      <c r="C711" s="674"/>
      <c r="D711" s="674"/>
      <c r="E711" s="674"/>
      <c r="F711" s="683"/>
      <c r="G711" s="674"/>
      <c r="H711" s="674"/>
      <c r="I711" s="674"/>
      <c r="J711" s="674"/>
      <c r="K711" s="674"/>
      <c r="L711" s="674"/>
      <c r="M711" s="674"/>
      <c r="N711" s="669"/>
      <c r="O711" s="670"/>
      <c r="P711" s="674"/>
      <c r="Q711" s="674"/>
    </row>
    <row r="712">
      <c r="A712" s="674"/>
      <c r="B712" s="674"/>
      <c r="C712" s="674"/>
      <c r="D712" s="674"/>
      <c r="E712" s="674"/>
      <c r="F712" s="683"/>
      <c r="G712" s="674"/>
      <c r="H712" s="674"/>
      <c r="I712" s="674"/>
      <c r="J712" s="674"/>
      <c r="K712" s="674"/>
      <c r="L712" s="674"/>
      <c r="M712" s="674"/>
      <c r="N712" s="669"/>
      <c r="O712" s="670"/>
      <c r="P712" s="674"/>
      <c r="Q712" s="674"/>
    </row>
    <row r="713">
      <c r="A713" s="674"/>
      <c r="B713" s="674"/>
      <c r="C713" s="674"/>
      <c r="D713" s="674"/>
      <c r="E713" s="674"/>
      <c r="F713" s="683"/>
      <c r="G713" s="674"/>
      <c r="H713" s="674"/>
      <c r="I713" s="674"/>
      <c r="J713" s="674"/>
      <c r="K713" s="674"/>
      <c r="L713" s="674"/>
      <c r="M713" s="674"/>
      <c r="N713" s="669"/>
      <c r="O713" s="670"/>
      <c r="P713" s="674"/>
      <c r="Q713" s="674"/>
    </row>
    <row r="714">
      <c r="A714" s="674"/>
      <c r="B714" s="674"/>
      <c r="C714" s="674"/>
      <c r="D714" s="674"/>
      <c r="E714" s="674"/>
      <c r="F714" s="683"/>
      <c r="G714" s="674"/>
      <c r="H714" s="674"/>
      <c r="I714" s="674"/>
      <c r="J714" s="674"/>
      <c r="K714" s="674"/>
      <c r="L714" s="674"/>
      <c r="M714" s="674"/>
      <c r="N714" s="669"/>
      <c r="O714" s="670"/>
      <c r="P714" s="674"/>
      <c r="Q714" s="674"/>
    </row>
    <row r="715">
      <c r="A715" s="674"/>
      <c r="B715" s="674"/>
      <c r="C715" s="674"/>
      <c r="D715" s="674"/>
      <c r="E715" s="674"/>
      <c r="F715" s="683"/>
      <c r="G715" s="674"/>
      <c r="H715" s="674"/>
      <c r="I715" s="674"/>
      <c r="J715" s="674"/>
      <c r="K715" s="674"/>
      <c r="L715" s="674"/>
      <c r="M715" s="674"/>
      <c r="N715" s="669"/>
      <c r="O715" s="670"/>
      <c r="P715" s="674"/>
      <c r="Q715" s="674"/>
    </row>
    <row r="716">
      <c r="A716" s="674"/>
      <c r="B716" s="674"/>
      <c r="C716" s="674"/>
      <c r="D716" s="674"/>
      <c r="E716" s="674"/>
      <c r="F716" s="683"/>
      <c r="G716" s="674"/>
      <c r="H716" s="674"/>
      <c r="I716" s="674"/>
      <c r="J716" s="674"/>
      <c r="K716" s="674"/>
      <c r="L716" s="674"/>
      <c r="M716" s="674"/>
      <c r="N716" s="669"/>
      <c r="O716" s="670"/>
      <c r="P716" s="674"/>
      <c r="Q716" s="674"/>
    </row>
    <row r="717">
      <c r="A717" s="674"/>
      <c r="B717" s="674"/>
      <c r="C717" s="674"/>
      <c r="D717" s="674"/>
      <c r="E717" s="674"/>
      <c r="F717" s="683"/>
      <c r="G717" s="674"/>
      <c r="H717" s="674"/>
      <c r="I717" s="674"/>
      <c r="J717" s="674"/>
      <c r="K717" s="674"/>
      <c r="L717" s="674"/>
      <c r="M717" s="674"/>
      <c r="N717" s="669"/>
      <c r="O717" s="670"/>
      <c r="P717" s="674"/>
      <c r="Q717" s="674"/>
    </row>
    <row r="718">
      <c r="A718" s="674"/>
      <c r="B718" s="674"/>
      <c r="C718" s="674"/>
      <c r="D718" s="674"/>
      <c r="E718" s="674"/>
      <c r="F718" s="683"/>
      <c r="G718" s="674"/>
      <c r="H718" s="674"/>
      <c r="I718" s="674"/>
      <c r="J718" s="674"/>
      <c r="K718" s="674"/>
      <c r="L718" s="674"/>
      <c r="M718" s="674"/>
      <c r="N718" s="669"/>
      <c r="O718" s="670"/>
      <c r="P718" s="674"/>
      <c r="Q718" s="674"/>
    </row>
    <row r="719">
      <c r="A719" s="674"/>
      <c r="B719" s="674"/>
      <c r="C719" s="674"/>
      <c r="D719" s="674"/>
      <c r="E719" s="674"/>
      <c r="F719" s="683"/>
      <c r="G719" s="674"/>
      <c r="H719" s="674"/>
      <c r="I719" s="674"/>
      <c r="J719" s="674"/>
      <c r="K719" s="674"/>
      <c r="L719" s="674"/>
      <c r="M719" s="674"/>
      <c r="N719" s="669"/>
      <c r="O719" s="670"/>
      <c r="P719" s="674"/>
      <c r="Q719" s="674"/>
    </row>
    <row r="720">
      <c r="A720" s="674"/>
      <c r="B720" s="674"/>
      <c r="C720" s="674"/>
      <c r="D720" s="674"/>
      <c r="E720" s="674"/>
      <c r="F720" s="683"/>
      <c r="G720" s="674"/>
      <c r="H720" s="674"/>
      <c r="I720" s="674"/>
      <c r="J720" s="674"/>
      <c r="K720" s="674"/>
      <c r="L720" s="674"/>
      <c r="M720" s="674"/>
      <c r="N720" s="669"/>
      <c r="O720" s="670"/>
      <c r="P720" s="674"/>
      <c r="Q720" s="674"/>
    </row>
    <row r="721">
      <c r="A721" s="674"/>
      <c r="B721" s="674"/>
      <c r="C721" s="674"/>
      <c r="D721" s="674"/>
      <c r="E721" s="674"/>
      <c r="F721" s="683"/>
      <c r="G721" s="674"/>
      <c r="H721" s="674"/>
      <c r="I721" s="674"/>
      <c r="J721" s="674"/>
      <c r="K721" s="674"/>
      <c r="L721" s="674"/>
      <c r="M721" s="674"/>
      <c r="N721" s="669"/>
      <c r="O721" s="670"/>
      <c r="P721" s="674"/>
      <c r="Q721" s="674"/>
    </row>
    <row r="722">
      <c r="A722" s="674"/>
      <c r="B722" s="674"/>
      <c r="C722" s="674"/>
      <c r="D722" s="674"/>
      <c r="E722" s="674"/>
      <c r="F722" s="683"/>
      <c r="G722" s="674"/>
      <c r="H722" s="674"/>
      <c r="I722" s="674"/>
      <c r="J722" s="674"/>
      <c r="K722" s="674"/>
      <c r="L722" s="674"/>
      <c r="M722" s="674"/>
      <c r="N722" s="669"/>
      <c r="O722" s="670"/>
      <c r="P722" s="674"/>
      <c r="Q722" s="674"/>
    </row>
    <row r="723">
      <c r="A723" s="674"/>
      <c r="B723" s="674"/>
      <c r="C723" s="674"/>
      <c r="D723" s="674"/>
      <c r="E723" s="674"/>
      <c r="F723" s="683"/>
      <c r="G723" s="674"/>
      <c r="H723" s="674"/>
      <c r="I723" s="674"/>
      <c r="J723" s="674"/>
      <c r="K723" s="674"/>
      <c r="L723" s="674"/>
      <c r="M723" s="674"/>
      <c r="N723" s="669"/>
      <c r="O723" s="670"/>
      <c r="P723" s="674"/>
      <c r="Q723" s="674"/>
    </row>
    <row r="724">
      <c r="A724" s="674"/>
      <c r="B724" s="674"/>
      <c r="C724" s="674"/>
      <c r="D724" s="674"/>
      <c r="E724" s="674"/>
      <c r="F724" s="683"/>
      <c r="G724" s="674"/>
      <c r="H724" s="674"/>
      <c r="I724" s="674"/>
      <c r="J724" s="674"/>
      <c r="K724" s="674"/>
      <c r="L724" s="674"/>
      <c r="M724" s="674"/>
      <c r="N724" s="669"/>
      <c r="O724" s="670"/>
      <c r="P724" s="674"/>
      <c r="Q724" s="674"/>
    </row>
    <row r="725">
      <c r="A725" s="674"/>
      <c r="B725" s="674"/>
      <c r="C725" s="674"/>
      <c r="D725" s="674"/>
      <c r="E725" s="674"/>
      <c r="F725" s="683"/>
      <c r="G725" s="674"/>
      <c r="H725" s="674"/>
      <c r="I725" s="674"/>
      <c r="J725" s="674"/>
      <c r="K725" s="674"/>
      <c r="L725" s="674"/>
      <c r="M725" s="674"/>
      <c r="N725" s="669"/>
      <c r="O725" s="670"/>
      <c r="P725" s="674"/>
      <c r="Q725" s="674"/>
    </row>
    <row r="726">
      <c r="A726" s="674"/>
      <c r="B726" s="674"/>
      <c r="C726" s="674"/>
      <c r="D726" s="674"/>
      <c r="E726" s="674"/>
      <c r="F726" s="683"/>
      <c r="G726" s="674"/>
      <c r="H726" s="674"/>
      <c r="I726" s="674"/>
      <c r="J726" s="674"/>
      <c r="K726" s="674"/>
      <c r="L726" s="674"/>
      <c r="M726" s="674"/>
      <c r="N726" s="669"/>
      <c r="O726" s="670"/>
      <c r="P726" s="674"/>
      <c r="Q726" s="674"/>
    </row>
    <row r="727">
      <c r="A727" s="674"/>
      <c r="B727" s="674"/>
      <c r="C727" s="674"/>
      <c r="D727" s="674"/>
      <c r="E727" s="674"/>
      <c r="F727" s="683"/>
      <c r="G727" s="674"/>
      <c r="H727" s="674"/>
      <c r="I727" s="674"/>
      <c r="J727" s="674"/>
      <c r="K727" s="674"/>
      <c r="L727" s="674"/>
      <c r="M727" s="674"/>
      <c r="N727" s="669"/>
      <c r="O727" s="670"/>
      <c r="P727" s="674"/>
      <c r="Q727" s="674"/>
    </row>
    <row r="728">
      <c r="A728" s="674"/>
      <c r="B728" s="674"/>
      <c r="C728" s="674"/>
      <c r="D728" s="674"/>
      <c r="E728" s="674"/>
      <c r="F728" s="683"/>
      <c r="G728" s="674"/>
      <c r="H728" s="674"/>
      <c r="I728" s="674"/>
      <c r="J728" s="674"/>
      <c r="K728" s="674"/>
      <c r="L728" s="674"/>
      <c r="M728" s="674"/>
      <c r="N728" s="669"/>
      <c r="O728" s="670"/>
      <c r="P728" s="674"/>
      <c r="Q728" s="674"/>
    </row>
    <row r="729">
      <c r="A729" s="674"/>
      <c r="B729" s="674"/>
      <c r="C729" s="674"/>
      <c r="D729" s="674"/>
      <c r="E729" s="674"/>
      <c r="F729" s="683"/>
      <c r="G729" s="674"/>
      <c r="H729" s="674"/>
      <c r="I729" s="674"/>
      <c r="J729" s="674"/>
      <c r="K729" s="674"/>
      <c r="L729" s="674"/>
      <c r="M729" s="674"/>
      <c r="N729" s="669"/>
      <c r="O729" s="670"/>
      <c r="P729" s="674"/>
      <c r="Q729" s="674"/>
    </row>
    <row r="730">
      <c r="A730" s="674"/>
      <c r="B730" s="674"/>
      <c r="C730" s="674"/>
      <c r="D730" s="674"/>
      <c r="E730" s="674"/>
      <c r="F730" s="683"/>
      <c r="G730" s="674"/>
      <c r="H730" s="674"/>
      <c r="I730" s="674"/>
      <c r="J730" s="674"/>
      <c r="K730" s="674"/>
      <c r="L730" s="674"/>
      <c r="M730" s="674"/>
      <c r="N730" s="669"/>
      <c r="O730" s="670"/>
      <c r="P730" s="674"/>
      <c r="Q730" s="674"/>
    </row>
    <row r="731">
      <c r="A731" s="674"/>
      <c r="B731" s="674"/>
      <c r="C731" s="674"/>
      <c r="D731" s="674"/>
      <c r="E731" s="674"/>
      <c r="F731" s="683"/>
      <c r="G731" s="674"/>
      <c r="H731" s="674"/>
      <c r="I731" s="674"/>
      <c r="J731" s="674"/>
      <c r="K731" s="674"/>
      <c r="L731" s="674"/>
      <c r="M731" s="674"/>
      <c r="N731" s="669"/>
      <c r="O731" s="670"/>
      <c r="P731" s="674"/>
      <c r="Q731" s="674"/>
    </row>
    <row r="732">
      <c r="A732" s="674"/>
      <c r="B732" s="674"/>
      <c r="C732" s="674"/>
      <c r="D732" s="674"/>
      <c r="E732" s="674"/>
      <c r="F732" s="683"/>
      <c r="G732" s="674"/>
      <c r="H732" s="674"/>
      <c r="I732" s="674"/>
      <c r="J732" s="674"/>
      <c r="K732" s="674"/>
      <c r="L732" s="674"/>
      <c r="M732" s="674"/>
      <c r="N732" s="669"/>
      <c r="O732" s="670"/>
      <c r="P732" s="674"/>
      <c r="Q732" s="674"/>
    </row>
    <row r="733">
      <c r="A733" s="674"/>
      <c r="B733" s="674"/>
      <c r="C733" s="674"/>
      <c r="D733" s="674"/>
      <c r="E733" s="674"/>
      <c r="F733" s="683"/>
      <c r="G733" s="674"/>
      <c r="H733" s="674"/>
      <c r="I733" s="674"/>
      <c r="J733" s="674"/>
      <c r="K733" s="674"/>
      <c r="L733" s="674"/>
      <c r="M733" s="674"/>
      <c r="N733" s="669"/>
      <c r="O733" s="670"/>
      <c r="P733" s="674"/>
      <c r="Q733" s="674"/>
    </row>
    <row r="734">
      <c r="A734" s="674"/>
      <c r="B734" s="674"/>
      <c r="C734" s="674"/>
      <c r="D734" s="674"/>
      <c r="E734" s="674"/>
      <c r="F734" s="683"/>
      <c r="G734" s="674"/>
      <c r="H734" s="674"/>
      <c r="I734" s="674"/>
      <c r="J734" s="674"/>
      <c r="K734" s="674"/>
      <c r="L734" s="674"/>
      <c r="M734" s="674"/>
      <c r="N734" s="669"/>
      <c r="O734" s="670"/>
      <c r="P734" s="674"/>
      <c r="Q734" s="674"/>
    </row>
    <row r="735">
      <c r="A735" s="674"/>
      <c r="B735" s="674"/>
      <c r="C735" s="674"/>
      <c r="D735" s="674"/>
      <c r="E735" s="674"/>
      <c r="F735" s="683"/>
      <c r="G735" s="674"/>
      <c r="H735" s="674"/>
      <c r="I735" s="674"/>
      <c r="J735" s="674"/>
      <c r="K735" s="674"/>
      <c r="L735" s="674"/>
      <c r="M735" s="674"/>
      <c r="N735" s="669"/>
      <c r="O735" s="670"/>
      <c r="P735" s="674"/>
      <c r="Q735" s="674"/>
    </row>
    <row r="736">
      <c r="A736" s="674"/>
      <c r="B736" s="674"/>
      <c r="C736" s="674"/>
      <c r="D736" s="674"/>
      <c r="E736" s="674"/>
      <c r="F736" s="683"/>
      <c r="G736" s="674"/>
      <c r="H736" s="674"/>
      <c r="I736" s="674"/>
      <c r="J736" s="674"/>
      <c r="K736" s="674"/>
      <c r="L736" s="674"/>
      <c r="M736" s="674"/>
      <c r="N736" s="669"/>
      <c r="O736" s="670"/>
      <c r="P736" s="674"/>
      <c r="Q736" s="674"/>
    </row>
    <row r="737">
      <c r="A737" s="674"/>
      <c r="B737" s="674"/>
      <c r="C737" s="674"/>
      <c r="D737" s="674"/>
      <c r="E737" s="674"/>
      <c r="F737" s="683"/>
      <c r="G737" s="674"/>
      <c r="H737" s="674"/>
      <c r="I737" s="674"/>
      <c r="J737" s="674"/>
      <c r="K737" s="674"/>
      <c r="L737" s="674"/>
      <c r="M737" s="674"/>
      <c r="N737" s="669"/>
      <c r="O737" s="670"/>
      <c r="P737" s="674"/>
      <c r="Q737" s="674"/>
    </row>
    <row r="738">
      <c r="A738" s="674"/>
      <c r="B738" s="674"/>
      <c r="C738" s="674"/>
      <c r="D738" s="674"/>
      <c r="E738" s="674"/>
      <c r="F738" s="683"/>
      <c r="G738" s="674"/>
      <c r="H738" s="674"/>
      <c r="I738" s="674"/>
      <c r="J738" s="674"/>
      <c r="K738" s="674"/>
      <c r="L738" s="674"/>
      <c r="M738" s="674"/>
      <c r="N738" s="669"/>
      <c r="O738" s="670"/>
      <c r="P738" s="674"/>
      <c r="Q738" s="674"/>
    </row>
    <row r="739">
      <c r="A739" s="674"/>
      <c r="B739" s="674"/>
      <c r="C739" s="674"/>
      <c r="D739" s="674"/>
      <c r="E739" s="674"/>
      <c r="F739" s="683"/>
      <c r="G739" s="674"/>
      <c r="H739" s="674"/>
      <c r="I739" s="674"/>
      <c r="J739" s="674"/>
      <c r="K739" s="674"/>
      <c r="L739" s="674"/>
      <c r="M739" s="674"/>
      <c r="N739" s="669"/>
      <c r="O739" s="670"/>
      <c r="P739" s="674"/>
      <c r="Q739" s="674"/>
    </row>
    <row r="740">
      <c r="A740" s="674"/>
      <c r="B740" s="674"/>
      <c r="C740" s="674"/>
      <c r="D740" s="674"/>
      <c r="E740" s="674"/>
      <c r="F740" s="683"/>
      <c r="G740" s="674"/>
      <c r="H740" s="674"/>
      <c r="I740" s="674"/>
      <c r="J740" s="674"/>
      <c r="K740" s="674"/>
      <c r="L740" s="674"/>
      <c r="M740" s="674"/>
      <c r="N740" s="669"/>
      <c r="O740" s="670"/>
      <c r="P740" s="674"/>
      <c r="Q740" s="674"/>
    </row>
    <row r="741">
      <c r="A741" s="674"/>
      <c r="B741" s="674"/>
      <c r="C741" s="674"/>
      <c r="D741" s="674"/>
      <c r="E741" s="674"/>
      <c r="F741" s="683"/>
      <c r="G741" s="674"/>
      <c r="H741" s="674"/>
      <c r="I741" s="674"/>
      <c r="J741" s="674"/>
      <c r="K741" s="674"/>
      <c r="L741" s="674"/>
      <c r="M741" s="674"/>
      <c r="N741" s="669"/>
      <c r="O741" s="670"/>
      <c r="P741" s="674"/>
      <c r="Q741" s="674"/>
    </row>
    <row r="742">
      <c r="A742" s="674"/>
      <c r="B742" s="674"/>
      <c r="C742" s="674"/>
      <c r="D742" s="674"/>
      <c r="E742" s="674"/>
      <c r="F742" s="683"/>
      <c r="G742" s="674"/>
      <c r="H742" s="674"/>
      <c r="I742" s="674"/>
      <c r="J742" s="674"/>
      <c r="K742" s="674"/>
      <c r="L742" s="674"/>
      <c r="M742" s="674"/>
      <c r="N742" s="669"/>
      <c r="O742" s="670"/>
      <c r="P742" s="674"/>
      <c r="Q742" s="674"/>
    </row>
    <row r="743">
      <c r="A743" s="674"/>
      <c r="B743" s="674"/>
      <c r="C743" s="674"/>
      <c r="D743" s="674"/>
      <c r="E743" s="674"/>
      <c r="F743" s="683"/>
      <c r="G743" s="674"/>
      <c r="H743" s="674"/>
      <c r="I743" s="674"/>
      <c r="J743" s="674"/>
      <c r="K743" s="674"/>
      <c r="L743" s="674"/>
      <c r="M743" s="674"/>
      <c r="N743" s="669"/>
      <c r="O743" s="670"/>
      <c r="P743" s="674"/>
      <c r="Q743" s="674"/>
    </row>
    <row r="744">
      <c r="A744" s="674"/>
      <c r="B744" s="674"/>
      <c r="C744" s="674"/>
      <c r="D744" s="674"/>
      <c r="E744" s="674"/>
      <c r="F744" s="683"/>
      <c r="G744" s="674"/>
      <c r="H744" s="674"/>
      <c r="I744" s="674"/>
      <c r="J744" s="674"/>
      <c r="K744" s="674"/>
      <c r="L744" s="674"/>
      <c r="M744" s="674"/>
      <c r="N744" s="669"/>
      <c r="O744" s="670"/>
      <c r="P744" s="674"/>
      <c r="Q744" s="674"/>
    </row>
    <row r="745">
      <c r="A745" s="674"/>
      <c r="B745" s="674"/>
      <c r="C745" s="674"/>
      <c r="D745" s="674"/>
      <c r="E745" s="674"/>
      <c r="F745" s="683"/>
      <c r="G745" s="674"/>
      <c r="H745" s="674"/>
      <c r="I745" s="674"/>
      <c r="J745" s="674"/>
      <c r="K745" s="674"/>
      <c r="L745" s="674"/>
      <c r="M745" s="674"/>
      <c r="N745" s="669"/>
      <c r="O745" s="670"/>
      <c r="P745" s="674"/>
      <c r="Q745" s="674"/>
    </row>
    <row r="746">
      <c r="A746" s="674"/>
      <c r="B746" s="674"/>
      <c r="C746" s="674"/>
      <c r="D746" s="674"/>
      <c r="E746" s="674"/>
      <c r="F746" s="683"/>
      <c r="G746" s="674"/>
      <c r="H746" s="674"/>
      <c r="I746" s="674"/>
      <c r="J746" s="674"/>
      <c r="K746" s="674"/>
      <c r="L746" s="674"/>
      <c r="M746" s="674"/>
      <c r="N746" s="669"/>
      <c r="O746" s="670"/>
      <c r="P746" s="674"/>
      <c r="Q746" s="674"/>
    </row>
    <row r="747">
      <c r="A747" s="674"/>
      <c r="B747" s="674"/>
      <c r="C747" s="674"/>
      <c r="D747" s="674"/>
      <c r="E747" s="674"/>
      <c r="F747" s="683"/>
      <c r="G747" s="674"/>
      <c r="H747" s="674"/>
      <c r="I747" s="674"/>
      <c r="J747" s="674"/>
      <c r="K747" s="674"/>
      <c r="L747" s="674"/>
      <c r="M747" s="674"/>
      <c r="N747" s="669"/>
      <c r="O747" s="670"/>
      <c r="P747" s="674"/>
      <c r="Q747" s="674"/>
    </row>
    <row r="748">
      <c r="A748" s="674"/>
      <c r="B748" s="674"/>
      <c r="C748" s="674"/>
      <c r="D748" s="674"/>
      <c r="E748" s="674"/>
      <c r="F748" s="683"/>
      <c r="G748" s="674"/>
      <c r="H748" s="674"/>
      <c r="I748" s="674"/>
      <c r="J748" s="674"/>
      <c r="K748" s="674"/>
      <c r="L748" s="674"/>
      <c r="M748" s="674"/>
      <c r="N748" s="669"/>
      <c r="O748" s="670"/>
      <c r="P748" s="674"/>
      <c r="Q748" s="674"/>
    </row>
    <row r="749">
      <c r="A749" s="674"/>
      <c r="B749" s="674"/>
      <c r="C749" s="674"/>
      <c r="D749" s="674"/>
      <c r="E749" s="674"/>
      <c r="F749" s="683"/>
      <c r="G749" s="674"/>
      <c r="H749" s="674"/>
      <c r="I749" s="674"/>
      <c r="J749" s="674"/>
      <c r="K749" s="674"/>
      <c r="L749" s="674"/>
      <c r="M749" s="674"/>
      <c r="N749" s="669"/>
      <c r="O749" s="670"/>
      <c r="P749" s="674"/>
      <c r="Q749" s="674"/>
    </row>
    <row r="750">
      <c r="A750" s="674"/>
      <c r="B750" s="674"/>
      <c r="C750" s="674"/>
      <c r="D750" s="674"/>
      <c r="E750" s="674"/>
      <c r="F750" s="683"/>
      <c r="G750" s="674"/>
      <c r="H750" s="674"/>
      <c r="I750" s="674"/>
      <c r="J750" s="674"/>
      <c r="K750" s="674"/>
      <c r="L750" s="674"/>
      <c r="M750" s="674"/>
      <c r="N750" s="669"/>
      <c r="O750" s="670"/>
      <c r="P750" s="674"/>
      <c r="Q750" s="674"/>
    </row>
    <row r="751">
      <c r="A751" s="674"/>
      <c r="B751" s="674"/>
      <c r="C751" s="674"/>
      <c r="D751" s="674"/>
      <c r="E751" s="674"/>
      <c r="F751" s="683"/>
      <c r="G751" s="674"/>
      <c r="H751" s="674"/>
      <c r="I751" s="674"/>
      <c r="J751" s="674"/>
      <c r="K751" s="674"/>
      <c r="L751" s="674"/>
      <c r="M751" s="674"/>
      <c r="N751" s="669"/>
      <c r="O751" s="670"/>
      <c r="P751" s="674"/>
      <c r="Q751" s="674"/>
    </row>
    <row r="752">
      <c r="A752" s="674"/>
      <c r="B752" s="674"/>
      <c r="C752" s="674"/>
      <c r="D752" s="674"/>
      <c r="E752" s="674"/>
      <c r="F752" s="683"/>
      <c r="G752" s="674"/>
      <c r="H752" s="674"/>
      <c r="I752" s="674"/>
      <c r="J752" s="674"/>
      <c r="K752" s="674"/>
      <c r="L752" s="674"/>
      <c r="M752" s="674"/>
      <c r="N752" s="669"/>
      <c r="O752" s="670"/>
      <c r="P752" s="674"/>
      <c r="Q752" s="674"/>
    </row>
    <row r="753">
      <c r="A753" s="674"/>
      <c r="B753" s="674"/>
      <c r="C753" s="674"/>
      <c r="D753" s="674"/>
      <c r="E753" s="674"/>
      <c r="F753" s="683"/>
      <c r="G753" s="674"/>
      <c r="H753" s="674"/>
      <c r="I753" s="674"/>
      <c r="J753" s="674"/>
      <c r="K753" s="674"/>
      <c r="L753" s="674"/>
      <c r="M753" s="674"/>
      <c r="N753" s="669"/>
      <c r="O753" s="670"/>
      <c r="P753" s="674"/>
      <c r="Q753" s="674"/>
    </row>
    <row r="754">
      <c r="A754" s="674"/>
      <c r="B754" s="674"/>
      <c r="C754" s="674"/>
      <c r="D754" s="674"/>
      <c r="E754" s="674"/>
      <c r="F754" s="683"/>
      <c r="G754" s="674"/>
      <c r="H754" s="674"/>
      <c r="I754" s="674"/>
      <c r="J754" s="674"/>
      <c r="K754" s="674"/>
      <c r="L754" s="674"/>
      <c r="M754" s="674"/>
      <c r="N754" s="669"/>
      <c r="O754" s="670"/>
      <c r="P754" s="674"/>
      <c r="Q754" s="674"/>
    </row>
    <row r="755">
      <c r="A755" s="674"/>
      <c r="B755" s="674"/>
      <c r="C755" s="674"/>
      <c r="D755" s="674"/>
      <c r="E755" s="674"/>
      <c r="F755" s="683"/>
      <c r="G755" s="674"/>
      <c r="H755" s="674"/>
      <c r="I755" s="674"/>
      <c r="J755" s="674"/>
      <c r="K755" s="674"/>
      <c r="L755" s="674"/>
      <c r="M755" s="674"/>
      <c r="N755" s="669"/>
      <c r="O755" s="670"/>
      <c r="P755" s="674"/>
      <c r="Q755" s="674"/>
    </row>
    <row r="756">
      <c r="A756" s="674"/>
      <c r="B756" s="674"/>
      <c r="C756" s="674"/>
      <c r="D756" s="674"/>
      <c r="E756" s="674"/>
      <c r="F756" s="683"/>
      <c r="G756" s="674"/>
      <c r="H756" s="674"/>
      <c r="I756" s="674"/>
      <c r="J756" s="674"/>
      <c r="K756" s="674"/>
      <c r="L756" s="674"/>
      <c r="M756" s="674"/>
      <c r="N756" s="669"/>
      <c r="O756" s="670"/>
      <c r="P756" s="674"/>
      <c r="Q756" s="674"/>
    </row>
    <row r="757">
      <c r="A757" s="674"/>
      <c r="B757" s="674"/>
      <c r="C757" s="674"/>
      <c r="D757" s="674"/>
      <c r="E757" s="674"/>
      <c r="F757" s="683"/>
      <c r="G757" s="674"/>
      <c r="H757" s="674"/>
      <c r="I757" s="674"/>
      <c r="J757" s="674"/>
      <c r="K757" s="674"/>
      <c r="L757" s="674"/>
      <c r="M757" s="674"/>
      <c r="N757" s="669"/>
      <c r="O757" s="670"/>
      <c r="P757" s="674"/>
      <c r="Q757" s="674"/>
    </row>
    <row r="758">
      <c r="A758" s="674"/>
      <c r="B758" s="674"/>
      <c r="C758" s="674"/>
      <c r="D758" s="674"/>
      <c r="E758" s="674"/>
      <c r="F758" s="683"/>
      <c r="G758" s="674"/>
      <c r="H758" s="674"/>
      <c r="I758" s="674"/>
      <c r="J758" s="674"/>
      <c r="K758" s="674"/>
      <c r="L758" s="674"/>
      <c r="M758" s="674"/>
      <c r="N758" s="669"/>
      <c r="O758" s="670"/>
      <c r="P758" s="674"/>
      <c r="Q758" s="674"/>
    </row>
    <row r="759">
      <c r="A759" s="674"/>
      <c r="B759" s="674"/>
      <c r="C759" s="674"/>
      <c r="D759" s="674"/>
      <c r="E759" s="674"/>
      <c r="F759" s="683"/>
      <c r="G759" s="674"/>
      <c r="H759" s="674"/>
      <c r="I759" s="674"/>
      <c r="J759" s="674"/>
      <c r="K759" s="674"/>
      <c r="L759" s="674"/>
      <c r="M759" s="674"/>
      <c r="N759" s="669"/>
      <c r="O759" s="670"/>
      <c r="P759" s="674"/>
      <c r="Q759" s="674"/>
    </row>
    <row r="760">
      <c r="A760" s="674"/>
      <c r="B760" s="674"/>
      <c r="C760" s="674"/>
      <c r="D760" s="674"/>
      <c r="E760" s="674"/>
      <c r="F760" s="683"/>
      <c r="G760" s="674"/>
      <c r="H760" s="674"/>
      <c r="I760" s="674"/>
      <c r="J760" s="674"/>
      <c r="K760" s="674"/>
      <c r="L760" s="674"/>
      <c r="M760" s="674"/>
      <c r="N760" s="669"/>
      <c r="O760" s="670"/>
      <c r="P760" s="674"/>
      <c r="Q760" s="674"/>
    </row>
    <row r="761">
      <c r="A761" s="674"/>
      <c r="B761" s="674"/>
      <c r="C761" s="674"/>
      <c r="D761" s="674"/>
      <c r="E761" s="674"/>
      <c r="F761" s="683"/>
      <c r="G761" s="674"/>
      <c r="H761" s="674"/>
      <c r="I761" s="674"/>
      <c r="J761" s="674"/>
      <c r="K761" s="674"/>
      <c r="L761" s="674"/>
      <c r="M761" s="674"/>
      <c r="N761" s="669"/>
      <c r="O761" s="670"/>
      <c r="P761" s="674"/>
      <c r="Q761" s="674"/>
    </row>
    <row r="762">
      <c r="A762" s="674"/>
      <c r="B762" s="674"/>
      <c r="C762" s="674"/>
      <c r="D762" s="674"/>
      <c r="E762" s="674"/>
      <c r="F762" s="683"/>
      <c r="G762" s="674"/>
      <c r="H762" s="674"/>
      <c r="I762" s="674"/>
      <c r="J762" s="674"/>
      <c r="K762" s="674"/>
      <c r="L762" s="674"/>
      <c r="M762" s="674"/>
      <c r="N762" s="669"/>
      <c r="O762" s="670"/>
      <c r="P762" s="674"/>
      <c r="Q762" s="674"/>
    </row>
    <row r="763">
      <c r="A763" s="674"/>
      <c r="B763" s="674"/>
      <c r="C763" s="674"/>
      <c r="D763" s="674"/>
      <c r="E763" s="674"/>
      <c r="F763" s="683"/>
      <c r="G763" s="674"/>
      <c r="H763" s="674"/>
      <c r="I763" s="674"/>
      <c r="J763" s="674"/>
      <c r="K763" s="674"/>
      <c r="L763" s="674"/>
      <c r="M763" s="674"/>
      <c r="N763" s="669"/>
      <c r="O763" s="670"/>
      <c r="P763" s="674"/>
      <c r="Q763" s="674"/>
    </row>
    <row r="764">
      <c r="A764" s="674"/>
      <c r="B764" s="674"/>
      <c r="C764" s="674"/>
      <c r="D764" s="674"/>
      <c r="E764" s="674"/>
      <c r="F764" s="683"/>
      <c r="G764" s="674"/>
      <c r="H764" s="674"/>
      <c r="I764" s="674"/>
      <c r="J764" s="674"/>
      <c r="K764" s="674"/>
      <c r="L764" s="674"/>
      <c r="M764" s="674"/>
      <c r="N764" s="669"/>
      <c r="O764" s="670"/>
      <c r="P764" s="674"/>
      <c r="Q764" s="674"/>
    </row>
    <row r="765">
      <c r="A765" s="674"/>
      <c r="B765" s="674"/>
      <c r="C765" s="674"/>
      <c r="D765" s="674"/>
      <c r="E765" s="674"/>
      <c r="F765" s="683"/>
      <c r="G765" s="674"/>
      <c r="H765" s="674"/>
      <c r="I765" s="674"/>
      <c r="J765" s="674"/>
      <c r="K765" s="674"/>
      <c r="L765" s="674"/>
      <c r="M765" s="674"/>
      <c r="N765" s="669"/>
      <c r="O765" s="670"/>
      <c r="P765" s="674"/>
      <c r="Q765" s="674"/>
    </row>
    <row r="766">
      <c r="A766" s="674"/>
      <c r="B766" s="674"/>
      <c r="C766" s="674"/>
      <c r="D766" s="674"/>
      <c r="E766" s="674"/>
      <c r="F766" s="683"/>
      <c r="G766" s="674"/>
      <c r="H766" s="674"/>
      <c r="I766" s="674"/>
      <c r="J766" s="674"/>
      <c r="K766" s="674"/>
      <c r="L766" s="674"/>
      <c r="M766" s="674"/>
      <c r="N766" s="669"/>
      <c r="O766" s="670"/>
      <c r="P766" s="674"/>
      <c r="Q766" s="674"/>
    </row>
    <row r="767">
      <c r="A767" s="674"/>
      <c r="B767" s="674"/>
      <c r="C767" s="674"/>
      <c r="D767" s="674"/>
      <c r="E767" s="674"/>
      <c r="F767" s="683"/>
      <c r="G767" s="674"/>
      <c r="H767" s="674"/>
      <c r="I767" s="674"/>
      <c r="J767" s="674"/>
      <c r="K767" s="674"/>
      <c r="L767" s="674"/>
      <c r="M767" s="674"/>
      <c r="N767" s="669"/>
      <c r="O767" s="670"/>
      <c r="P767" s="674"/>
      <c r="Q767" s="674"/>
    </row>
    <row r="768">
      <c r="A768" s="674"/>
      <c r="B768" s="674"/>
      <c r="C768" s="674"/>
      <c r="D768" s="674"/>
      <c r="E768" s="674"/>
      <c r="F768" s="683"/>
      <c r="G768" s="674"/>
      <c r="H768" s="674"/>
      <c r="I768" s="674"/>
      <c r="J768" s="674"/>
      <c r="K768" s="674"/>
      <c r="L768" s="674"/>
      <c r="M768" s="674"/>
      <c r="N768" s="669"/>
      <c r="O768" s="670"/>
      <c r="P768" s="674"/>
      <c r="Q768" s="674"/>
    </row>
    <row r="769">
      <c r="A769" s="674"/>
      <c r="B769" s="674"/>
      <c r="C769" s="674"/>
      <c r="D769" s="674"/>
      <c r="E769" s="674"/>
      <c r="F769" s="683"/>
      <c r="G769" s="674"/>
      <c r="H769" s="674"/>
      <c r="I769" s="674"/>
      <c r="J769" s="674"/>
      <c r="K769" s="674"/>
      <c r="L769" s="674"/>
      <c r="M769" s="674"/>
      <c r="N769" s="669"/>
      <c r="O769" s="670"/>
      <c r="P769" s="674"/>
      <c r="Q769" s="674"/>
    </row>
    <row r="770">
      <c r="A770" s="674"/>
      <c r="B770" s="674"/>
      <c r="C770" s="674"/>
      <c r="D770" s="674"/>
      <c r="E770" s="674"/>
      <c r="F770" s="683"/>
      <c r="G770" s="674"/>
      <c r="H770" s="674"/>
      <c r="I770" s="674"/>
      <c r="J770" s="674"/>
      <c r="K770" s="674"/>
      <c r="L770" s="674"/>
      <c r="M770" s="674"/>
      <c r="N770" s="669"/>
      <c r="O770" s="670"/>
      <c r="P770" s="674"/>
      <c r="Q770" s="674"/>
    </row>
    <row r="771">
      <c r="A771" s="674"/>
      <c r="B771" s="674"/>
      <c r="C771" s="674"/>
      <c r="D771" s="674"/>
      <c r="E771" s="674"/>
      <c r="F771" s="683"/>
      <c r="G771" s="674"/>
      <c r="H771" s="674"/>
      <c r="I771" s="674"/>
      <c r="J771" s="674"/>
      <c r="K771" s="674"/>
      <c r="L771" s="674"/>
      <c r="M771" s="674"/>
      <c r="N771" s="669"/>
      <c r="O771" s="670"/>
      <c r="P771" s="674"/>
      <c r="Q771" s="674"/>
    </row>
    <row r="772">
      <c r="A772" s="674"/>
      <c r="B772" s="674"/>
      <c r="C772" s="674"/>
      <c r="D772" s="674"/>
      <c r="E772" s="674"/>
      <c r="F772" s="683"/>
      <c r="G772" s="674"/>
      <c r="H772" s="674"/>
      <c r="I772" s="674"/>
      <c r="J772" s="674"/>
      <c r="K772" s="674"/>
      <c r="L772" s="674"/>
      <c r="M772" s="674"/>
      <c r="N772" s="669"/>
      <c r="O772" s="670"/>
      <c r="P772" s="674"/>
      <c r="Q772" s="674"/>
    </row>
    <row r="773">
      <c r="A773" s="674"/>
      <c r="B773" s="674"/>
      <c r="C773" s="674"/>
      <c r="D773" s="674"/>
      <c r="E773" s="674"/>
      <c r="F773" s="683"/>
      <c r="G773" s="674"/>
      <c r="H773" s="674"/>
      <c r="I773" s="674"/>
      <c r="J773" s="674"/>
      <c r="K773" s="674"/>
      <c r="L773" s="674"/>
      <c r="M773" s="674"/>
      <c r="N773" s="669"/>
      <c r="O773" s="670"/>
      <c r="P773" s="674"/>
      <c r="Q773" s="674"/>
    </row>
    <row r="774">
      <c r="A774" s="674"/>
      <c r="B774" s="674"/>
      <c r="C774" s="674"/>
      <c r="D774" s="674"/>
      <c r="E774" s="674"/>
      <c r="F774" s="683"/>
      <c r="G774" s="674"/>
      <c r="H774" s="674"/>
      <c r="I774" s="674"/>
      <c r="J774" s="674"/>
      <c r="K774" s="674"/>
      <c r="L774" s="674"/>
      <c r="M774" s="674"/>
      <c r="N774" s="669"/>
      <c r="O774" s="670"/>
      <c r="P774" s="674"/>
      <c r="Q774" s="674"/>
    </row>
    <row r="775">
      <c r="A775" s="674"/>
      <c r="B775" s="674"/>
      <c r="C775" s="674"/>
      <c r="D775" s="674"/>
      <c r="E775" s="674"/>
      <c r="F775" s="683"/>
      <c r="G775" s="674"/>
      <c r="H775" s="674"/>
      <c r="I775" s="674"/>
      <c r="J775" s="674"/>
      <c r="K775" s="674"/>
      <c r="L775" s="674"/>
      <c r="M775" s="674"/>
      <c r="N775" s="669"/>
      <c r="O775" s="670"/>
      <c r="P775" s="674"/>
      <c r="Q775" s="674"/>
    </row>
    <row r="776">
      <c r="A776" s="674"/>
      <c r="B776" s="674"/>
      <c r="C776" s="674"/>
      <c r="D776" s="674"/>
      <c r="E776" s="674"/>
      <c r="F776" s="683"/>
      <c r="G776" s="674"/>
      <c r="H776" s="674"/>
      <c r="I776" s="674"/>
      <c r="J776" s="674"/>
      <c r="K776" s="674"/>
      <c r="L776" s="674"/>
      <c r="M776" s="674"/>
      <c r="N776" s="669"/>
      <c r="O776" s="670"/>
      <c r="P776" s="674"/>
      <c r="Q776" s="674"/>
    </row>
    <row r="777">
      <c r="A777" s="674"/>
      <c r="B777" s="674"/>
      <c r="C777" s="674"/>
      <c r="D777" s="674"/>
      <c r="E777" s="674"/>
      <c r="F777" s="683"/>
      <c r="G777" s="674"/>
      <c r="H777" s="674"/>
      <c r="I777" s="674"/>
      <c r="J777" s="674"/>
      <c r="K777" s="674"/>
      <c r="L777" s="674"/>
      <c r="M777" s="674"/>
      <c r="N777" s="669"/>
      <c r="O777" s="670"/>
      <c r="P777" s="674"/>
      <c r="Q777" s="674"/>
    </row>
    <row r="778">
      <c r="A778" s="674"/>
      <c r="B778" s="674"/>
      <c r="C778" s="674"/>
      <c r="D778" s="674"/>
      <c r="E778" s="674"/>
      <c r="F778" s="683"/>
      <c r="G778" s="674"/>
      <c r="H778" s="674"/>
      <c r="I778" s="674"/>
      <c r="J778" s="674"/>
      <c r="K778" s="674"/>
      <c r="L778" s="674"/>
      <c r="M778" s="674"/>
      <c r="N778" s="669"/>
      <c r="O778" s="670"/>
      <c r="P778" s="674"/>
      <c r="Q778" s="674"/>
    </row>
    <row r="779">
      <c r="A779" s="674"/>
      <c r="B779" s="674"/>
      <c r="C779" s="674"/>
      <c r="D779" s="674"/>
      <c r="E779" s="674"/>
      <c r="F779" s="683"/>
      <c r="G779" s="674"/>
      <c r="H779" s="674"/>
      <c r="I779" s="674"/>
      <c r="J779" s="674"/>
      <c r="K779" s="674"/>
      <c r="L779" s="674"/>
      <c r="M779" s="674"/>
      <c r="N779" s="669"/>
      <c r="O779" s="670"/>
      <c r="P779" s="674"/>
      <c r="Q779" s="674"/>
    </row>
    <row r="780">
      <c r="A780" s="674"/>
      <c r="B780" s="674"/>
      <c r="C780" s="674"/>
      <c r="D780" s="674"/>
      <c r="E780" s="674"/>
      <c r="F780" s="683"/>
      <c r="G780" s="674"/>
      <c r="H780" s="674"/>
      <c r="I780" s="674"/>
      <c r="J780" s="674"/>
      <c r="K780" s="674"/>
      <c r="L780" s="674"/>
      <c r="M780" s="674"/>
      <c r="N780" s="669"/>
      <c r="O780" s="670"/>
      <c r="P780" s="674"/>
      <c r="Q780" s="674"/>
    </row>
    <row r="781">
      <c r="A781" s="674"/>
      <c r="B781" s="674"/>
      <c r="C781" s="674"/>
      <c r="D781" s="674"/>
      <c r="E781" s="674"/>
      <c r="F781" s="683"/>
      <c r="G781" s="674"/>
      <c r="H781" s="674"/>
      <c r="I781" s="674"/>
      <c r="J781" s="674"/>
      <c r="K781" s="674"/>
      <c r="L781" s="674"/>
      <c r="M781" s="674"/>
      <c r="N781" s="669"/>
      <c r="O781" s="670"/>
      <c r="P781" s="674"/>
      <c r="Q781" s="674"/>
    </row>
    <row r="782">
      <c r="A782" s="674"/>
      <c r="B782" s="674"/>
      <c r="C782" s="674"/>
      <c r="D782" s="674"/>
      <c r="E782" s="674"/>
      <c r="F782" s="683"/>
      <c r="G782" s="674"/>
      <c r="H782" s="674"/>
      <c r="I782" s="674"/>
      <c r="J782" s="674"/>
      <c r="K782" s="674"/>
      <c r="L782" s="674"/>
      <c r="M782" s="674"/>
      <c r="N782" s="669"/>
      <c r="O782" s="670"/>
      <c r="P782" s="674"/>
      <c r="Q782" s="674"/>
    </row>
    <row r="783">
      <c r="A783" s="674"/>
      <c r="B783" s="674"/>
      <c r="C783" s="674"/>
      <c r="D783" s="674"/>
      <c r="E783" s="674"/>
      <c r="F783" s="683"/>
      <c r="G783" s="674"/>
      <c r="H783" s="674"/>
      <c r="I783" s="674"/>
      <c r="J783" s="674"/>
      <c r="K783" s="674"/>
      <c r="L783" s="674"/>
      <c r="M783" s="674"/>
      <c r="N783" s="669"/>
      <c r="O783" s="670"/>
      <c r="P783" s="674"/>
      <c r="Q783" s="674"/>
    </row>
    <row r="784">
      <c r="A784" s="674"/>
      <c r="B784" s="674"/>
      <c r="C784" s="674"/>
      <c r="D784" s="674"/>
      <c r="E784" s="674"/>
      <c r="F784" s="683"/>
      <c r="G784" s="674"/>
      <c r="H784" s="674"/>
      <c r="I784" s="674"/>
      <c r="J784" s="674"/>
      <c r="K784" s="674"/>
      <c r="L784" s="674"/>
      <c r="M784" s="674"/>
      <c r="N784" s="669"/>
      <c r="O784" s="670"/>
      <c r="P784" s="674"/>
      <c r="Q784" s="674"/>
    </row>
    <row r="785">
      <c r="A785" s="674"/>
      <c r="B785" s="674"/>
      <c r="C785" s="674"/>
      <c r="D785" s="674"/>
      <c r="E785" s="674"/>
      <c r="F785" s="683"/>
      <c r="G785" s="674"/>
      <c r="H785" s="674"/>
      <c r="I785" s="674"/>
      <c r="J785" s="674"/>
      <c r="K785" s="674"/>
      <c r="L785" s="674"/>
      <c r="M785" s="674"/>
      <c r="N785" s="669"/>
      <c r="O785" s="670"/>
      <c r="P785" s="674"/>
      <c r="Q785" s="674"/>
    </row>
    <row r="786">
      <c r="A786" s="674"/>
      <c r="B786" s="674"/>
      <c r="C786" s="674"/>
      <c r="D786" s="674"/>
      <c r="E786" s="674"/>
      <c r="F786" s="683"/>
      <c r="G786" s="674"/>
      <c r="H786" s="674"/>
      <c r="I786" s="674"/>
      <c r="J786" s="674"/>
      <c r="K786" s="674"/>
      <c r="L786" s="674"/>
      <c r="M786" s="674"/>
      <c r="N786" s="669"/>
      <c r="O786" s="670"/>
      <c r="P786" s="674"/>
      <c r="Q786" s="674"/>
    </row>
    <row r="787">
      <c r="A787" s="674"/>
      <c r="B787" s="674"/>
      <c r="C787" s="674"/>
      <c r="D787" s="674"/>
      <c r="E787" s="674"/>
      <c r="F787" s="683"/>
      <c r="G787" s="674"/>
      <c r="H787" s="674"/>
      <c r="I787" s="674"/>
      <c r="J787" s="674"/>
      <c r="K787" s="674"/>
      <c r="L787" s="674"/>
      <c r="M787" s="674"/>
      <c r="N787" s="669"/>
      <c r="O787" s="670"/>
      <c r="P787" s="674"/>
      <c r="Q787" s="674"/>
    </row>
    <row r="788">
      <c r="A788" s="674"/>
      <c r="B788" s="674"/>
      <c r="C788" s="674"/>
      <c r="D788" s="674"/>
      <c r="E788" s="674"/>
      <c r="F788" s="683"/>
      <c r="G788" s="674"/>
      <c r="H788" s="674"/>
      <c r="I788" s="674"/>
      <c r="J788" s="674"/>
      <c r="K788" s="674"/>
      <c r="L788" s="674"/>
      <c r="M788" s="674"/>
      <c r="N788" s="669"/>
      <c r="O788" s="670"/>
      <c r="P788" s="674"/>
      <c r="Q788" s="674"/>
    </row>
    <row r="789">
      <c r="A789" s="674"/>
      <c r="B789" s="674"/>
      <c r="C789" s="674"/>
      <c r="D789" s="674"/>
      <c r="E789" s="674"/>
      <c r="F789" s="683"/>
      <c r="G789" s="674"/>
      <c r="H789" s="674"/>
      <c r="I789" s="674"/>
      <c r="J789" s="674"/>
      <c r="K789" s="674"/>
      <c r="L789" s="674"/>
      <c r="M789" s="674"/>
      <c r="N789" s="669"/>
      <c r="O789" s="670"/>
      <c r="P789" s="674"/>
      <c r="Q789" s="674"/>
    </row>
    <row r="790">
      <c r="A790" s="674"/>
      <c r="B790" s="674"/>
      <c r="C790" s="674"/>
      <c r="D790" s="674"/>
      <c r="E790" s="674"/>
      <c r="F790" s="683"/>
      <c r="G790" s="674"/>
      <c r="H790" s="674"/>
      <c r="I790" s="674"/>
      <c r="J790" s="674"/>
      <c r="K790" s="674"/>
      <c r="L790" s="674"/>
      <c r="M790" s="674"/>
      <c r="N790" s="669"/>
      <c r="O790" s="670"/>
      <c r="P790" s="674"/>
      <c r="Q790" s="674"/>
    </row>
    <row r="791">
      <c r="A791" s="674"/>
      <c r="B791" s="674"/>
      <c r="C791" s="674"/>
      <c r="D791" s="674"/>
      <c r="E791" s="674"/>
      <c r="F791" s="683"/>
      <c r="G791" s="674"/>
      <c r="H791" s="674"/>
      <c r="I791" s="674"/>
      <c r="J791" s="674"/>
      <c r="K791" s="674"/>
      <c r="L791" s="674"/>
      <c r="M791" s="674"/>
      <c r="N791" s="669"/>
      <c r="O791" s="670"/>
      <c r="P791" s="674"/>
      <c r="Q791" s="674"/>
    </row>
    <row r="792">
      <c r="A792" s="674"/>
      <c r="B792" s="674"/>
      <c r="C792" s="674"/>
      <c r="D792" s="674"/>
      <c r="E792" s="674"/>
      <c r="F792" s="683"/>
      <c r="G792" s="674"/>
      <c r="H792" s="674"/>
      <c r="I792" s="674"/>
      <c r="J792" s="674"/>
      <c r="K792" s="674"/>
      <c r="L792" s="674"/>
      <c r="M792" s="674"/>
      <c r="N792" s="669"/>
      <c r="O792" s="670"/>
      <c r="P792" s="674"/>
      <c r="Q792" s="674"/>
    </row>
    <row r="793">
      <c r="A793" s="674"/>
      <c r="B793" s="674"/>
      <c r="C793" s="674"/>
      <c r="D793" s="674"/>
      <c r="E793" s="674"/>
      <c r="F793" s="683"/>
      <c r="G793" s="674"/>
      <c r="H793" s="674"/>
      <c r="I793" s="674"/>
      <c r="J793" s="674"/>
      <c r="K793" s="674"/>
      <c r="L793" s="674"/>
      <c r="M793" s="674"/>
      <c r="N793" s="669"/>
      <c r="O793" s="670"/>
      <c r="P793" s="674"/>
      <c r="Q793" s="674"/>
    </row>
    <row r="794">
      <c r="A794" s="674"/>
      <c r="B794" s="674"/>
      <c r="C794" s="674"/>
      <c r="D794" s="674"/>
      <c r="E794" s="674"/>
      <c r="F794" s="683"/>
      <c r="G794" s="674"/>
      <c r="H794" s="674"/>
      <c r="I794" s="674"/>
      <c r="J794" s="674"/>
      <c r="K794" s="674"/>
      <c r="L794" s="674"/>
      <c r="M794" s="674"/>
      <c r="N794" s="669"/>
      <c r="O794" s="670"/>
      <c r="P794" s="674"/>
      <c r="Q794" s="674"/>
    </row>
    <row r="795">
      <c r="A795" s="674"/>
      <c r="B795" s="674"/>
      <c r="C795" s="674"/>
      <c r="D795" s="674"/>
      <c r="E795" s="674"/>
      <c r="F795" s="683"/>
      <c r="G795" s="674"/>
      <c r="H795" s="674"/>
      <c r="I795" s="674"/>
      <c r="J795" s="674"/>
      <c r="K795" s="674"/>
      <c r="L795" s="674"/>
      <c r="M795" s="674"/>
      <c r="N795" s="669"/>
      <c r="O795" s="670"/>
      <c r="P795" s="674"/>
      <c r="Q795" s="674"/>
    </row>
    <row r="796">
      <c r="A796" s="674"/>
      <c r="B796" s="674"/>
      <c r="C796" s="674"/>
      <c r="D796" s="674"/>
      <c r="E796" s="674"/>
      <c r="F796" s="683"/>
      <c r="G796" s="674"/>
      <c r="H796" s="674"/>
      <c r="I796" s="674"/>
      <c r="J796" s="674"/>
      <c r="K796" s="674"/>
      <c r="L796" s="674"/>
      <c r="M796" s="674"/>
      <c r="N796" s="669"/>
      <c r="O796" s="670"/>
      <c r="P796" s="674"/>
      <c r="Q796" s="674"/>
    </row>
    <row r="797">
      <c r="A797" s="674"/>
      <c r="B797" s="674"/>
      <c r="C797" s="674"/>
      <c r="D797" s="674"/>
      <c r="E797" s="674"/>
      <c r="F797" s="683"/>
      <c r="G797" s="674"/>
      <c r="H797" s="674"/>
      <c r="I797" s="674"/>
      <c r="J797" s="674"/>
      <c r="K797" s="674"/>
      <c r="L797" s="674"/>
      <c r="M797" s="674"/>
      <c r="N797" s="669"/>
      <c r="O797" s="670"/>
      <c r="P797" s="674"/>
      <c r="Q797" s="674"/>
    </row>
    <row r="798">
      <c r="A798" s="674"/>
      <c r="B798" s="674"/>
      <c r="C798" s="674"/>
      <c r="D798" s="674"/>
      <c r="E798" s="674"/>
      <c r="F798" s="683"/>
      <c r="G798" s="674"/>
      <c r="H798" s="674"/>
      <c r="I798" s="674"/>
      <c r="J798" s="674"/>
      <c r="K798" s="674"/>
      <c r="L798" s="674"/>
      <c r="M798" s="674"/>
      <c r="N798" s="669"/>
      <c r="O798" s="670"/>
      <c r="P798" s="674"/>
      <c r="Q798" s="674"/>
    </row>
    <row r="799">
      <c r="A799" s="674"/>
      <c r="B799" s="674"/>
      <c r="C799" s="674"/>
      <c r="D799" s="674"/>
      <c r="E799" s="674"/>
      <c r="F799" s="683"/>
      <c r="G799" s="674"/>
      <c r="H799" s="674"/>
      <c r="I799" s="674"/>
      <c r="J799" s="674"/>
      <c r="K799" s="674"/>
      <c r="L799" s="674"/>
      <c r="M799" s="674"/>
      <c r="N799" s="669"/>
      <c r="O799" s="670"/>
      <c r="P799" s="674"/>
      <c r="Q799" s="674"/>
    </row>
    <row r="800">
      <c r="A800" s="674"/>
      <c r="B800" s="674"/>
      <c r="C800" s="674"/>
      <c r="D800" s="674"/>
      <c r="E800" s="674"/>
      <c r="F800" s="683"/>
      <c r="G800" s="674"/>
      <c r="H800" s="674"/>
      <c r="I800" s="674"/>
      <c r="J800" s="674"/>
      <c r="K800" s="674"/>
      <c r="L800" s="674"/>
      <c r="M800" s="674"/>
      <c r="N800" s="669"/>
      <c r="O800" s="670"/>
      <c r="P800" s="674"/>
      <c r="Q800" s="674"/>
    </row>
    <row r="801">
      <c r="A801" s="674"/>
      <c r="B801" s="674"/>
      <c r="C801" s="674"/>
      <c r="D801" s="674"/>
      <c r="E801" s="674"/>
      <c r="F801" s="683"/>
      <c r="G801" s="674"/>
      <c r="H801" s="674"/>
      <c r="I801" s="674"/>
      <c r="J801" s="674"/>
      <c r="K801" s="674"/>
      <c r="L801" s="674"/>
      <c r="M801" s="674"/>
      <c r="N801" s="669"/>
      <c r="O801" s="670"/>
      <c r="P801" s="674"/>
      <c r="Q801" s="674"/>
    </row>
    <row r="802">
      <c r="A802" s="674"/>
      <c r="B802" s="674"/>
      <c r="C802" s="674"/>
      <c r="D802" s="674"/>
      <c r="E802" s="674"/>
      <c r="F802" s="683"/>
      <c r="G802" s="674"/>
      <c r="H802" s="674"/>
      <c r="I802" s="674"/>
      <c r="J802" s="674"/>
      <c r="K802" s="674"/>
      <c r="L802" s="674"/>
      <c r="M802" s="674"/>
      <c r="N802" s="669"/>
      <c r="O802" s="670"/>
      <c r="P802" s="674"/>
      <c r="Q802" s="674"/>
    </row>
    <row r="803">
      <c r="A803" s="674"/>
      <c r="B803" s="674"/>
      <c r="C803" s="674"/>
      <c r="D803" s="674"/>
      <c r="E803" s="674"/>
      <c r="F803" s="683"/>
      <c r="G803" s="674"/>
      <c r="H803" s="674"/>
      <c r="I803" s="674"/>
      <c r="J803" s="674"/>
      <c r="K803" s="674"/>
      <c r="L803" s="674"/>
      <c r="M803" s="674"/>
      <c r="N803" s="669"/>
      <c r="O803" s="670"/>
      <c r="P803" s="674"/>
      <c r="Q803" s="674"/>
    </row>
    <row r="804">
      <c r="A804" s="674"/>
      <c r="B804" s="674"/>
      <c r="C804" s="674"/>
      <c r="D804" s="674"/>
      <c r="E804" s="674"/>
      <c r="F804" s="683"/>
      <c r="G804" s="674"/>
      <c r="H804" s="674"/>
      <c r="I804" s="674"/>
      <c r="J804" s="674"/>
      <c r="K804" s="674"/>
      <c r="L804" s="674"/>
      <c r="M804" s="674"/>
      <c r="N804" s="669"/>
      <c r="O804" s="670"/>
      <c r="P804" s="674"/>
      <c r="Q804" s="674"/>
    </row>
    <row r="805">
      <c r="A805" s="674"/>
      <c r="B805" s="674"/>
      <c r="C805" s="674"/>
      <c r="D805" s="674"/>
      <c r="E805" s="674"/>
      <c r="F805" s="683"/>
      <c r="G805" s="674"/>
      <c r="H805" s="674"/>
      <c r="I805" s="674"/>
      <c r="J805" s="674"/>
      <c r="K805" s="674"/>
      <c r="L805" s="674"/>
      <c r="M805" s="674"/>
      <c r="N805" s="669"/>
      <c r="O805" s="670"/>
      <c r="P805" s="674"/>
      <c r="Q805" s="674"/>
    </row>
    <row r="806">
      <c r="A806" s="674"/>
      <c r="B806" s="674"/>
      <c r="C806" s="674"/>
      <c r="D806" s="674"/>
      <c r="E806" s="674"/>
      <c r="F806" s="683"/>
      <c r="G806" s="674"/>
      <c r="H806" s="674"/>
      <c r="I806" s="674"/>
      <c r="J806" s="674"/>
      <c r="K806" s="674"/>
      <c r="L806" s="674"/>
      <c r="M806" s="674"/>
      <c r="N806" s="669"/>
      <c r="O806" s="670"/>
      <c r="P806" s="674"/>
      <c r="Q806" s="674"/>
    </row>
    <row r="807">
      <c r="A807" s="674"/>
      <c r="B807" s="674"/>
      <c r="C807" s="674"/>
      <c r="D807" s="674"/>
      <c r="E807" s="674"/>
      <c r="F807" s="683"/>
      <c r="G807" s="674"/>
      <c r="H807" s="674"/>
      <c r="I807" s="674"/>
      <c r="J807" s="674"/>
      <c r="K807" s="674"/>
      <c r="L807" s="674"/>
      <c r="M807" s="674"/>
      <c r="N807" s="669"/>
      <c r="O807" s="670"/>
      <c r="P807" s="674"/>
      <c r="Q807" s="674"/>
    </row>
    <row r="808">
      <c r="A808" s="674"/>
      <c r="B808" s="674"/>
      <c r="C808" s="674"/>
      <c r="D808" s="674"/>
      <c r="E808" s="674"/>
      <c r="F808" s="683"/>
      <c r="G808" s="674"/>
      <c r="H808" s="674"/>
      <c r="I808" s="674"/>
      <c r="J808" s="674"/>
      <c r="K808" s="674"/>
      <c r="L808" s="674"/>
      <c r="M808" s="674"/>
      <c r="N808" s="669"/>
      <c r="O808" s="670"/>
      <c r="P808" s="674"/>
      <c r="Q808" s="674"/>
    </row>
    <row r="809">
      <c r="A809" s="674"/>
      <c r="B809" s="674"/>
      <c r="C809" s="674"/>
      <c r="D809" s="674"/>
      <c r="E809" s="674"/>
      <c r="F809" s="683"/>
      <c r="G809" s="674"/>
      <c r="H809" s="674"/>
      <c r="I809" s="674"/>
      <c r="J809" s="674"/>
      <c r="K809" s="674"/>
      <c r="L809" s="674"/>
      <c r="M809" s="674"/>
      <c r="N809" s="669"/>
      <c r="O809" s="670"/>
      <c r="P809" s="674"/>
      <c r="Q809" s="674"/>
    </row>
    <row r="810">
      <c r="A810" s="674"/>
      <c r="B810" s="674"/>
      <c r="C810" s="674"/>
      <c r="D810" s="674"/>
      <c r="E810" s="674"/>
      <c r="F810" s="683"/>
      <c r="G810" s="674"/>
      <c r="H810" s="674"/>
      <c r="I810" s="674"/>
      <c r="J810" s="674"/>
      <c r="K810" s="674"/>
      <c r="L810" s="674"/>
      <c r="M810" s="674"/>
      <c r="N810" s="669"/>
      <c r="O810" s="670"/>
      <c r="P810" s="674"/>
      <c r="Q810" s="674"/>
    </row>
    <row r="811">
      <c r="A811" s="674"/>
      <c r="B811" s="674"/>
      <c r="C811" s="674"/>
      <c r="D811" s="674"/>
      <c r="E811" s="674"/>
      <c r="F811" s="683"/>
      <c r="G811" s="674"/>
      <c r="H811" s="674"/>
      <c r="I811" s="674"/>
      <c r="J811" s="674"/>
      <c r="K811" s="674"/>
      <c r="L811" s="674"/>
      <c r="M811" s="674"/>
      <c r="N811" s="669"/>
      <c r="O811" s="670"/>
      <c r="P811" s="674"/>
      <c r="Q811" s="674"/>
    </row>
    <row r="812">
      <c r="A812" s="674"/>
      <c r="B812" s="674"/>
      <c r="C812" s="674"/>
      <c r="D812" s="674"/>
      <c r="E812" s="674"/>
      <c r="F812" s="683"/>
      <c r="G812" s="674"/>
      <c r="H812" s="674"/>
      <c r="I812" s="674"/>
      <c r="J812" s="674"/>
      <c r="K812" s="674"/>
      <c r="L812" s="674"/>
      <c r="M812" s="674"/>
      <c r="N812" s="669"/>
      <c r="O812" s="670"/>
      <c r="P812" s="674"/>
      <c r="Q812" s="674"/>
    </row>
    <row r="813">
      <c r="A813" s="674"/>
      <c r="B813" s="674"/>
      <c r="C813" s="674"/>
      <c r="D813" s="674"/>
      <c r="E813" s="674"/>
      <c r="F813" s="683"/>
      <c r="G813" s="674"/>
      <c r="H813" s="674"/>
      <c r="I813" s="674"/>
      <c r="J813" s="674"/>
      <c r="K813" s="674"/>
      <c r="L813" s="674"/>
      <c r="M813" s="674"/>
      <c r="N813" s="669"/>
      <c r="O813" s="670"/>
      <c r="P813" s="674"/>
      <c r="Q813" s="674"/>
    </row>
    <row r="814">
      <c r="A814" s="674"/>
      <c r="B814" s="674"/>
      <c r="C814" s="674"/>
      <c r="D814" s="674"/>
      <c r="E814" s="674"/>
      <c r="F814" s="683"/>
      <c r="G814" s="674"/>
      <c r="H814" s="674"/>
      <c r="I814" s="674"/>
      <c r="J814" s="674"/>
      <c r="K814" s="674"/>
      <c r="L814" s="674"/>
      <c r="M814" s="674"/>
      <c r="N814" s="669"/>
      <c r="O814" s="670"/>
      <c r="P814" s="674"/>
      <c r="Q814" s="674"/>
    </row>
    <row r="815">
      <c r="A815" s="674"/>
      <c r="B815" s="674"/>
      <c r="C815" s="674"/>
      <c r="D815" s="674"/>
      <c r="E815" s="674"/>
      <c r="F815" s="683"/>
      <c r="G815" s="674"/>
      <c r="H815" s="674"/>
      <c r="I815" s="674"/>
      <c r="J815" s="674"/>
      <c r="K815" s="674"/>
      <c r="L815" s="674"/>
      <c r="M815" s="674"/>
      <c r="N815" s="669"/>
      <c r="O815" s="670"/>
      <c r="P815" s="674"/>
      <c r="Q815" s="674"/>
    </row>
    <row r="816">
      <c r="A816" s="674"/>
      <c r="B816" s="674"/>
      <c r="C816" s="674"/>
      <c r="D816" s="674"/>
      <c r="E816" s="674"/>
      <c r="F816" s="683"/>
      <c r="G816" s="674"/>
      <c r="H816" s="674"/>
      <c r="I816" s="674"/>
      <c r="J816" s="674"/>
      <c r="K816" s="674"/>
      <c r="L816" s="674"/>
      <c r="M816" s="674"/>
      <c r="N816" s="669"/>
      <c r="O816" s="670"/>
      <c r="P816" s="674"/>
      <c r="Q816" s="674"/>
    </row>
    <row r="817">
      <c r="A817" s="674"/>
      <c r="B817" s="674"/>
      <c r="C817" s="674"/>
      <c r="D817" s="674"/>
      <c r="E817" s="674"/>
      <c r="F817" s="683"/>
      <c r="G817" s="674"/>
      <c r="H817" s="674"/>
      <c r="I817" s="674"/>
      <c r="J817" s="674"/>
      <c r="K817" s="674"/>
      <c r="L817" s="674"/>
      <c r="M817" s="674"/>
      <c r="N817" s="669"/>
      <c r="O817" s="670"/>
      <c r="P817" s="674"/>
      <c r="Q817" s="674"/>
    </row>
    <row r="818">
      <c r="A818" s="674"/>
      <c r="B818" s="674"/>
      <c r="C818" s="674"/>
      <c r="D818" s="674"/>
      <c r="E818" s="674"/>
      <c r="F818" s="683"/>
      <c r="G818" s="674"/>
      <c r="H818" s="674"/>
      <c r="I818" s="674"/>
      <c r="J818" s="674"/>
      <c r="K818" s="674"/>
      <c r="L818" s="674"/>
      <c r="M818" s="674"/>
      <c r="N818" s="669"/>
      <c r="O818" s="670"/>
      <c r="P818" s="674"/>
      <c r="Q818" s="674"/>
    </row>
    <row r="819">
      <c r="A819" s="674"/>
      <c r="B819" s="674"/>
      <c r="C819" s="674"/>
      <c r="D819" s="674"/>
      <c r="E819" s="674"/>
      <c r="F819" s="683"/>
      <c r="G819" s="674"/>
      <c r="H819" s="674"/>
      <c r="I819" s="674"/>
      <c r="J819" s="674"/>
      <c r="K819" s="674"/>
      <c r="L819" s="674"/>
      <c r="M819" s="674"/>
      <c r="N819" s="669"/>
      <c r="O819" s="670"/>
      <c r="P819" s="674"/>
      <c r="Q819" s="674"/>
    </row>
    <row r="820">
      <c r="A820" s="674"/>
      <c r="B820" s="674"/>
      <c r="C820" s="674"/>
      <c r="D820" s="674"/>
      <c r="E820" s="674"/>
      <c r="F820" s="683"/>
      <c r="G820" s="674"/>
      <c r="H820" s="674"/>
      <c r="I820" s="674"/>
      <c r="J820" s="674"/>
      <c r="K820" s="674"/>
      <c r="L820" s="674"/>
      <c r="M820" s="674"/>
      <c r="N820" s="669"/>
      <c r="O820" s="670"/>
      <c r="P820" s="674"/>
      <c r="Q820" s="674"/>
    </row>
    <row r="821">
      <c r="A821" s="674"/>
      <c r="B821" s="674"/>
      <c r="C821" s="674"/>
      <c r="D821" s="674"/>
      <c r="E821" s="674"/>
      <c r="F821" s="683"/>
      <c r="G821" s="674"/>
      <c r="H821" s="674"/>
      <c r="I821" s="674"/>
      <c r="J821" s="674"/>
      <c r="K821" s="674"/>
      <c r="L821" s="674"/>
      <c r="M821" s="674"/>
      <c r="N821" s="669"/>
      <c r="O821" s="670"/>
      <c r="P821" s="674"/>
      <c r="Q821" s="674"/>
    </row>
    <row r="822">
      <c r="A822" s="674"/>
      <c r="B822" s="674"/>
      <c r="C822" s="674"/>
      <c r="D822" s="674"/>
      <c r="E822" s="674"/>
      <c r="F822" s="683"/>
      <c r="G822" s="674"/>
      <c r="H822" s="674"/>
      <c r="I822" s="674"/>
      <c r="J822" s="674"/>
      <c r="K822" s="674"/>
      <c r="L822" s="674"/>
      <c r="M822" s="674"/>
      <c r="N822" s="669"/>
      <c r="O822" s="670"/>
      <c r="P822" s="674"/>
      <c r="Q822" s="674"/>
    </row>
    <row r="823">
      <c r="A823" s="674"/>
      <c r="B823" s="674"/>
      <c r="C823" s="674"/>
      <c r="D823" s="674"/>
      <c r="E823" s="674"/>
      <c r="F823" s="683"/>
      <c r="G823" s="674"/>
      <c r="H823" s="674"/>
      <c r="I823" s="674"/>
      <c r="J823" s="674"/>
      <c r="K823" s="674"/>
      <c r="L823" s="674"/>
      <c r="M823" s="674"/>
      <c r="N823" s="669"/>
      <c r="O823" s="670"/>
      <c r="P823" s="674"/>
      <c r="Q823" s="674"/>
    </row>
    <row r="824">
      <c r="A824" s="674"/>
      <c r="B824" s="674"/>
      <c r="C824" s="674"/>
      <c r="D824" s="674"/>
      <c r="E824" s="674"/>
      <c r="F824" s="683"/>
      <c r="G824" s="674"/>
      <c r="H824" s="674"/>
      <c r="I824" s="674"/>
      <c r="J824" s="674"/>
      <c r="K824" s="674"/>
      <c r="L824" s="674"/>
      <c r="M824" s="674"/>
      <c r="N824" s="669"/>
      <c r="O824" s="670"/>
      <c r="P824" s="674"/>
      <c r="Q824" s="674"/>
    </row>
    <row r="825">
      <c r="A825" s="674"/>
      <c r="B825" s="674"/>
      <c r="C825" s="674"/>
      <c r="D825" s="674"/>
      <c r="E825" s="674"/>
      <c r="F825" s="683"/>
      <c r="G825" s="674"/>
      <c r="H825" s="674"/>
      <c r="I825" s="674"/>
      <c r="J825" s="674"/>
      <c r="K825" s="674"/>
      <c r="L825" s="674"/>
      <c r="M825" s="674"/>
      <c r="N825" s="669"/>
      <c r="O825" s="670"/>
      <c r="P825" s="674"/>
      <c r="Q825" s="674"/>
    </row>
    <row r="826">
      <c r="A826" s="674"/>
      <c r="B826" s="674"/>
      <c r="C826" s="674"/>
      <c r="D826" s="674"/>
      <c r="E826" s="674"/>
      <c r="F826" s="683"/>
      <c r="G826" s="674"/>
      <c r="H826" s="674"/>
      <c r="I826" s="674"/>
      <c r="J826" s="674"/>
      <c r="K826" s="674"/>
      <c r="L826" s="674"/>
      <c r="M826" s="674"/>
      <c r="N826" s="669"/>
      <c r="O826" s="670"/>
      <c r="P826" s="674"/>
      <c r="Q826" s="674"/>
    </row>
    <row r="827">
      <c r="A827" s="674"/>
      <c r="B827" s="674"/>
      <c r="C827" s="674"/>
      <c r="D827" s="674"/>
      <c r="E827" s="674"/>
      <c r="F827" s="683"/>
      <c r="G827" s="674"/>
      <c r="H827" s="674"/>
      <c r="I827" s="674"/>
      <c r="J827" s="674"/>
      <c r="K827" s="674"/>
      <c r="L827" s="674"/>
      <c r="M827" s="674"/>
      <c r="N827" s="669"/>
      <c r="O827" s="670"/>
      <c r="P827" s="674"/>
      <c r="Q827" s="674"/>
    </row>
    <row r="828">
      <c r="A828" s="674"/>
      <c r="B828" s="674"/>
      <c r="C828" s="674"/>
      <c r="D828" s="674"/>
      <c r="E828" s="674"/>
      <c r="F828" s="683"/>
      <c r="G828" s="674"/>
      <c r="H828" s="674"/>
      <c r="I828" s="674"/>
      <c r="J828" s="674"/>
      <c r="K828" s="674"/>
      <c r="L828" s="674"/>
      <c r="M828" s="674"/>
      <c r="N828" s="669"/>
      <c r="O828" s="670"/>
      <c r="P828" s="674"/>
      <c r="Q828" s="674"/>
    </row>
    <row r="829">
      <c r="A829" s="674"/>
      <c r="B829" s="674"/>
      <c r="C829" s="674"/>
      <c r="D829" s="674"/>
      <c r="E829" s="674"/>
      <c r="F829" s="683"/>
      <c r="G829" s="674"/>
      <c r="H829" s="674"/>
      <c r="I829" s="674"/>
      <c r="J829" s="674"/>
      <c r="K829" s="674"/>
      <c r="L829" s="674"/>
      <c r="M829" s="674"/>
      <c r="N829" s="669"/>
      <c r="O829" s="670"/>
      <c r="P829" s="674"/>
      <c r="Q829" s="674"/>
    </row>
    <row r="830">
      <c r="A830" s="674"/>
      <c r="B830" s="674"/>
      <c r="C830" s="674"/>
      <c r="D830" s="674"/>
      <c r="E830" s="674"/>
      <c r="F830" s="683"/>
      <c r="G830" s="674"/>
      <c r="H830" s="674"/>
      <c r="I830" s="674"/>
      <c r="J830" s="674"/>
      <c r="K830" s="674"/>
      <c r="L830" s="674"/>
      <c r="M830" s="674"/>
      <c r="N830" s="669"/>
      <c r="O830" s="670"/>
      <c r="P830" s="674"/>
      <c r="Q830" s="674"/>
    </row>
    <row r="831">
      <c r="A831" s="674"/>
      <c r="B831" s="674"/>
      <c r="C831" s="674"/>
      <c r="D831" s="674"/>
      <c r="E831" s="674"/>
      <c r="F831" s="683"/>
      <c r="G831" s="674"/>
      <c r="H831" s="674"/>
      <c r="I831" s="674"/>
      <c r="J831" s="674"/>
      <c r="K831" s="674"/>
      <c r="L831" s="674"/>
      <c r="M831" s="674"/>
      <c r="N831" s="669"/>
      <c r="O831" s="670"/>
      <c r="P831" s="674"/>
      <c r="Q831" s="674"/>
    </row>
    <row r="832">
      <c r="A832" s="674"/>
      <c r="B832" s="674"/>
      <c r="C832" s="674"/>
      <c r="D832" s="674"/>
      <c r="E832" s="674"/>
      <c r="F832" s="683"/>
      <c r="G832" s="674"/>
      <c r="H832" s="674"/>
      <c r="I832" s="674"/>
      <c r="J832" s="674"/>
      <c r="K832" s="674"/>
      <c r="L832" s="674"/>
      <c r="M832" s="674"/>
      <c r="N832" s="669"/>
      <c r="O832" s="670"/>
      <c r="P832" s="674"/>
      <c r="Q832" s="674"/>
    </row>
    <row r="833">
      <c r="A833" s="674"/>
      <c r="B833" s="674"/>
      <c r="C833" s="674"/>
      <c r="D833" s="674"/>
      <c r="E833" s="674"/>
      <c r="F833" s="683"/>
      <c r="G833" s="674"/>
      <c r="H833" s="674"/>
      <c r="I833" s="674"/>
      <c r="J833" s="674"/>
      <c r="K833" s="674"/>
      <c r="L833" s="674"/>
      <c r="M833" s="674"/>
      <c r="N833" s="669"/>
      <c r="O833" s="670"/>
      <c r="P833" s="674"/>
      <c r="Q833" s="674"/>
    </row>
    <row r="834">
      <c r="A834" s="674"/>
      <c r="B834" s="674"/>
      <c r="C834" s="674"/>
      <c r="D834" s="674"/>
      <c r="E834" s="674"/>
      <c r="F834" s="683"/>
      <c r="G834" s="674"/>
      <c r="H834" s="674"/>
      <c r="I834" s="674"/>
      <c r="J834" s="674"/>
      <c r="K834" s="674"/>
      <c r="L834" s="674"/>
      <c r="M834" s="674"/>
      <c r="N834" s="669"/>
      <c r="O834" s="670"/>
      <c r="P834" s="674"/>
      <c r="Q834" s="674"/>
    </row>
    <row r="835">
      <c r="A835" s="674"/>
      <c r="B835" s="674"/>
      <c r="C835" s="674"/>
      <c r="D835" s="674"/>
      <c r="E835" s="674"/>
      <c r="F835" s="683"/>
      <c r="G835" s="674"/>
      <c r="H835" s="674"/>
      <c r="I835" s="674"/>
      <c r="J835" s="674"/>
      <c r="K835" s="674"/>
      <c r="L835" s="674"/>
      <c r="M835" s="674"/>
      <c r="N835" s="669"/>
      <c r="O835" s="670"/>
      <c r="P835" s="674"/>
      <c r="Q835" s="674"/>
    </row>
    <row r="836">
      <c r="A836" s="674"/>
      <c r="B836" s="674"/>
      <c r="C836" s="674"/>
      <c r="D836" s="674"/>
      <c r="E836" s="674"/>
      <c r="F836" s="683"/>
      <c r="G836" s="674"/>
      <c r="H836" s="674"/>
      <c r="I836" s="674"/>
      <c r="J836" s="674"/>
      <c r="K836" s="674"/>
      <c r="L836" s="674"/>
      <c r="M836" s="674"/>
      <c r="N836" s="669"/>
      <c r="O836" s="670"/>
      <c r="P836" s="674"/>
      <c r="Q836" s="674"/>
    </row>
    <row r="837">
      <c r="A837" s="674"/>
      <c r="B837" s="674"/>
      <c r="C837" s="674"/>
      <c r="D837" s="674"/>
      <c r="E837" s="674"/>
      <c r="F837" s="683"/>
      <c r="G837" s="674"/>
      <c r="H837" s="674"/>
      <c r="I837" s="674"/>
      <c r="J837" s="674"/>
      <c r="K837" s="674"/>
      <c r="L837" s="674"/>
      <c r="M837" s="674"/>
      <c r="N837" s="669"/>
      <c r="O837" s="670"/>
      <c r="P837" s="674"/>
      <c r="Q837" s="674"/>
    </row>
    <row r="838">
      <c r="A838" s="674"/>
      <c r="B838" s="674"/>
      <c r="C838" s="674"/>
      <c r="D838" s="674"/>
      <c r="E838" s="674"/>
      <c r="F838" s="683"/>
      <c r="G838" s="674"/>
      <c r="H838" s="674"/>
      <c r="I838" s="674"/>
      <c r="J838" s="674"/>
      <c r="K838" s="674"/>
      <c r="L838" s="674"/>
      <c r="M838" s="674"/>
      <c r="N838" s="669"/>
      <c r="O838" s="670"/>
      <c r="P838" s="674"/>
      <c r="Q838" s="674"/>
    </row>
    <row r="839">
      <c r="A839" s="674"/>
      <c r="B839" s="674"/>
      <c r="C839" s="674"/>
      <c r="D839" s="674"/>
      <c r="E839" s="674"/>
      <c r="F839" s="683"/>
      <c r="G839" s="674"/>
      <c r="H839" s="674"/>
      <c r="I839" s="674"/>
      <c r="J839" s="674"/>
      <c r="K839" s="674"/>
      <c r="L839" s="674"/>
      <c r="M839" s="674"/>
      <c r="N839" s="669"/>
      <c r="O839" s="670"/>
      <c r="P839" s="674"/>
      <c r="Q839" s="674"/>
    </row>
    <row r="840">
      <c r="A840" s="674"/>
      <c r="B840" s="674"/>
      <c r="C840" s="674"/>
      <c r="D840" s="674"/>
      <c r="E840" s="674"/>
      <c r="F840" s="683"/>
      <c r="G840" s="674"/>
      <c r="H840" s="674"/>
      <c r="I840" s="674"/>
      <c r="J840" s="674"/>
      <c r="K840" s="674"/>
      <c r="L840" s="674"/>
      <c r="M840" s="674"/>
      <c r="N840" s="669"/>
      <c r="O840" s="670"/>
      <c r="P840" s="674"/>
      <c r="Q840" s="674"/>
    </row>
    <row r="841">
      <c r="A841" s="674"/>
      <c r="B841" s="674"/>
      <c r="C841" s="674"/>
      <c r="D841" s="674"/>
      <c r="E841" s="674"/>
      <c r="F841" s="683"/>
      <c r="G841" s="674"/>
      <c r="H841" s="674"/>
      <c r="I841" s="674"/>
      <c r="J841" s="674"/>
      <c r="K841" s="674"/>
      <c r="L841" s="674"/>
      <c r="M841" s="674"/>
      <c r="N841" s="669"/>
      <c r="O841" s="670"/>
      <c r="P841" s="674"/>
      <c r="Q841" s="674"/>
    </row>
    <row r="842">
      <c r="A842" s="674"/>
      <c r="B842" s="674"/>
      <c r="C842" s="674"/>
      <c r="D842" s="674"/>
      <c r="E842" s="674"/>
      <c r="F842" s="683"/>
      <c r="G842" s="674"/>
      <c r="H842" s="674"/>
      <c r="I842" s="674"/>
      <c r="J842" s="674"/>
      <c r="K842" s="674"/>
      <c r="L842" s="674"/>
      <c r="M842" s="674"/>
      <c r="N842" s="669"/>
      <c r="O842" s="670"/>
      <c r="P842" s="674"/>
      <c r="Q842" s="674"/>
    </row>
    <row r="843">
      <c r="A843" s="674"/>
      <c r="B843" s="674"/>
      <c r="C843" s="674"/>
      <c r="D843" s="674"/>
      <c r="E843" s="674"/>
      <c r="F843" s="683"/>
      <c r="G843" s="674"/>
      <c r="H843" s="674"/>
      <c r="I843" s="674"/>
      <c r="J843" s="674"/>
      <c r="K843" s="674"/>
      <c r="L843" s="674"/>
      <c r="M843" s="674"/>
      <c r="N843" s="669"/>
      <c r="O843" s="670"/>
      <c r="P843" s="674"/>
      <c r="Q843" s="674"/>
    </row>
    <row r="844">
      <c r="A844" s="674"/>
      <c r="B844" s="674"/>
      <c r="C844" s="674"/>
      <c r="D844" s="674"/>
      <c r="E844" s="674"/>
      <c r="F844" s="683"/>
      <c r="G844" s="674"/>
      <c r="H844" s="674"/>
      <c r="I844" s="674"/>
      <c r="J844" s="674"/>
      <c r="K844" s="674"/>
      <c r="L844" s="674"/>
      <c r="M844" s="674"/>
      <c r="N844" s="669"/>
      <c r="O844" s="670"/>
      <c r="P844" s="674"/>
      <c r="Q844" s="674"/>
    </row>
    <row r="845">
      <c r="A845" s="674"/>
      <c r="B845" s="674"/>
      <c r="C845" s="674"/>
      <c r="D845" s="674"/>
      <c r="E845" s="674"/>
      <c r="F845" s="683"/>
      <c r="G845" s="674"/>
      <c r="H845" s="674"/>
      <c r="I845" s="674"/>
      <c r="J845" s="674"/>
      <c r="K845" s="674"/>
      <c r="L845" s="674"/>
      <c r="M845" s="674"/>
      <c r="N845" s="669"/>
      <c r="O845" s="670"/>
      <c r="P845" s="674"/>
      <c r="Q845" s="674"/>
    </row>
    <row r="846">
      <c r="A846" s="674"/>
      <c r="B846" s="674"/>
      <c r="C846" s="674"/>
      <c r="D846" s="674"/>
      <c r="E846" s="674"/>
      <c r="F846" s="683"/>
      <c r="G846" s="674"/>
      <c r="H846" s="674"/>
      <c r="I846" s="674"/>
      <c r="J846" s="674"/>
      <c r="K846" s="674"/>
      <c r="L846" s="674"/>
      <c r="M846" s="674"/>
      <c r="N846" s="669"/>
      <c r="O846" s="670"/>
      <c r="P846" s="674"/>
      <c r="Q846" s="674"/>
    </row>
    <row r="847">
      <c r="A847" s="674"/>
      <c r="B847" s="674"/>
      <c r="C847" s="674"/>
      <c r="D847" s="674"/>
      <c r="E847" s="674"/>
      <c r="F847" s="683"/>
      <c r="G847" s="674"/>
      <c r="H847" s="674"/>
      <c r="I847" s="674"/>
      <c r="J847" s="674"/>
      <c r="K847" s="674"/>
      <c r="L847" s="674"/>
      <c r="M847" s="674"/>
      <c r="N847" s="669"/>
      <c r="O847" s="670"/>
      <c r="P847" s="674"/>
      <c r="Q847" s="674"/>
    </row>
    <row r="848">
      <c r="A848" s="674"/>
      <c r="B848" s="674"/>
      <c r="C848" s="674"/>
      <c r="D848" s="674"/>
      <c r="E848" s="674"/>
      <c r="F848" s="683"/>
      <c r="G848" s="674"/>
      <c r="H848" s="674"/>
      <c r="I848" s="674"/>
      <c r="J848" s="674"/>
      <c r="K848" s="674"/>
      <c r="L848" s="674"/>
      <c r="M848" s="674"/>
      <c r="N848" s="669"/>
      <c r="O848" s="670"/>
      <c r="P848" s="674"/>
      <c r="Q848" s="674"/>
    </row>
    <row r="849">
      <c r="A849" s="674"/>
      <c r="B849" s="674"/>
      <c r="C849" s="674"/>
      <c r="D849" s="674"/>
      <c r="E849" s="674"/>
      <c r="F849" s="683"/>
      <c r="G849" s="674"/>
      <c r="H849" s="674"/>
      <c r="I849" s="674"/>
      <c r="J849" s="674"/>
      <c r="K849" s="674"/>
      <c r="L849" s="674"/>
      <c r="M849" s="674"/>
      <c r="N849" s="669"/>
      <c r="O849" s="670"/>
      <c r="P849" s="674"/>
      <c r="Q849" s="674"/>
    </row>
    <row r="850">
      <c r="A850" s="674"/>
      <c r="B850" s="674"/>
      <c r="C850" s="674"/>
      <c r="D850" s="674"/>
      <c r="E850" s="674"/>
      <c r="F850" s="683"/>
      <c r="G850" s="674"/>
      <c r="H850" s="674"/>
      <c r="I850" s="674"/>
      <c r="J850" s="674"/>
      <c r="K850" s="674"/>
      <c r="L850" s="674"/>
      <c r="M850" s="674"/>
      <c r="N850" s="669"/>
      <c r="O850" s="670"/>
      <c r="P850" s="674"/>
      <c r="Q850" s="674"/>
    </row>
    <row r="851">
      <c r="A851" s="674"/>
      <c r="B851" s="674"/>
      <c r="C851" s="674"/>
      <c r="D851" s="674"/>
      <c r="E851" s="674"/>
      <c r="F851" s="683"/>
      <c r="G851" s="674"/>
      <c r="H851" s="674"/>
      <c r="I851" s="674"/>
      <c r="J851" s="674"/>
      <c r="K851" s="674"/>
      <c r="L851" s="674"/>
      <c r="M851" s="674"/>
      <c r="N851" s="669"/>
      <c r="O851" s="670"/>
      <c r="P851" s="674"/>
      <c r="Q851" s="674"/>
    </row>
    <row r="852">
      <c r="A852" s="674"/>
      <c r="B852" s="674"/>
      <c r="C852" s="674"/>
      <c r="D852" s="674"/>
      <c r="E852" s="674"/>
      <c r="F852" s="683"/>
      <c r="G852" s="674"/>
      <c r="H852" s="674"/>
      <c r="I852" s="674"/>
      <c r="J852" s="674"/>
      <c r="K852" s="674"/>
      <c r="L852" s="674"/>
      <c r="M852" s="674"/>
      <c r="N852" s="669"/>
      <c r="O852" s="670"/>
      <c r="P852" s="674"/>
      <c r="Q852" s="674"/>
    </row>
    <row r="853">
      <c r="A853" s="674"/>
      <c r="B853" s="674"/>
      <c r="C853" s="674"/>
      <c r="D853" s="674"/>
      <c r="E853" s="674"/>
      <c r="F853" s="683"/>
      <c r="G853" s="674"/>
      <c r="H853" s="674"/>
      <c r="I853" s="674"/>
      <c r="J853" s="674"/>
      <c r="K853" s="674"/>
      <c r="L853" s="674"/>
      <c r="M853" s="674"/>
      <c r="N853" s="669"/>
      <c r="O853" s="670"/>
      <c r="P853" s="674"/>
      <c r="Q853" s="674"/>
    </row>
    <row r="854">
      <c r="A854" s="674"/>
      <c r="B854" s="674"/>
      <c r="C854" s="674"/>
      <c r="D854" s="674"/>
      <c r="E854" s="674"/>
      <c r="F854" s="683"/>
      <c r="G854" s="674"/>
      <c r="H854" s="674"/>
      <c r="I854" s="674"/>
      <c r="J854" s="674"/>
      <c r="K854" s="674"/>
      <c r="L854" s="674"/>
      <c r="M854" s="674"/>
      <c r="N854" s="669"/>
      <c r="O854" s="670"/>
      <c r="P854" s="674"/>
      <c r="Q854" s="674"/>
    </row>
    <row r="855">
      <c r="A855" s="674"/>
      <c r="B855" s="674"/>
      <c r="C855" s="674"/>
      <c r="D855" s="674"/>
      <c r="E855" s="674"/>
      <c r="F855" s="683"/>
      <c r="G855" s="674"/>
      <c r="H855" s="674"/>
      <c r="I855" s="674"/>
      <c r="J855" s="674"/>
      <c r="K855" s="674"/>
      <c r="L855" s="674"/>
      <c r="M855" s="674"/>
      <c r="N855" s="669"/>
      <c r="O855" s="670"/>
      <c r="P855" s="674"/>
      <c r="Q855" s="674"/>
    </row>
    <row r="856">
      <c r="A856" s="674"/>
      <c r="B856" s="674"/>
      <c r="C856" s="674"/>
      <c r="D856" s="674"/>
      <c r="E856" s="674"/>
      <c r="F856" s="683"/>
      <c r="G856" s="674"/>
      <c r="H856" s="674"/>
      <c r="I856" s="674"/>
      <c r="J856" s="674"/>
      <c r="K856" s="674"/>
      <c r="L856" s="674"/>
      <c r="M856" s="674"/>
      <c r="N856" s="669"/>
      <c r="O856" s="670"/>
      <c r="P856" s="674"/>
      <c r="Q856" s="674"/>
    </row>
    <row r="857">
      <c r="A857" s="674"/>
      <c r="B857" s="674"/>
      <c r="C857" s="674"/>
      <c r="D857" s="674"/>
      <c r="E857" s="674"/>
      <c r="F857" s="683"/>
      <c r="G857" s="674"/>
      <c r="H857" s="674"/>
      <c r="I857" s="674"/>
      <c r="J857" s="674"/>
      <c r="K857" s="674"/>
      <c r="L857" s="674"/>
      <c r="M857" s="674"/>
      <c r="N857" s="669"/>
      <c r="O857" s="670"/>
      <c r="P857" s="674"/>
      <c r="Q857" s="674"/>
    </row>
    <row r="858">
      <c r="A858" s="674"/>
      <c r="B858" s="674"/>
      <c r="C858" s="674"/>
      <c r="D858" s="674"/>
      <c r="E858" s="674"/>
      <c r="F858" s="683"/>
      <c r="G858" s="674"/>
      <c r="H858" s="674"/>
      <c r="I858" s="674"/>
      <c r="J858" s="674"/>
      <c r="K858" s="674"/>
      <c r="L858" s="674"/>
      <c r="M858" s="674"/>
      <c r="N858" s="669"/>
      <c r="O858" s="670"/>
      <c r="P858" s="674"/>
      <c r="Q858" s="674"/>
    </row>
    <row r="859">
      <c r="A859" s="674"/>
      <c r="B859" s="674"/>
      <c r="C859" s="674"/>
      <c r="D859" s="674"/>
      <c r="E859" s="674"/>
      <c r="F859" s="683"/>
      <c r="G859" s="674"/>
      <c r="H859" s="674"/>
      <c r="I859" s="674"/>
      <c r="J859" s="674"/>
      <c r="K859" s="674"/>
      <c r="L859" s="674"/>
      <c r="M859" s="674"/>
      <c r="N859" s="669"/>
      <c r="O859" s="670"/>
      <c r="P859" s="674"/>
      <c r="Q859" s="674"/>
    </row>
    <row r="860">
      <c r="A860" s="674"/>
      <c r="B860" s="674"/>
      <c r="C860" s="674"/>
      <c r="D860" s="674"/>
      <c r="E860" s="674"/>
      <c r="F860" s="683"/>
      <c r="G860" s="674"/>
      <c r="H860" s="674"/>
      <c r="I860" s="674"/>
      <c r="J860" s="674"/>
      <c r="K860" s="674"/>
      <c r="L860" s="674"/>
      <c r="M860" s="674"/>
      <c r="N860" s="669"/>
      <c r="O860" s="670"/>
      <c r="P860" s="674"/>
      <c r="Q860" s="674"/>
    </row>
    <row r="861">
      <c r="A861" s="674"/>
      <c r="B861" s="674"/>
      <c r="C861" s="674"/>
      <c r="D861" s="674"/>
      <c r="E861" s="674"/>
      <c r="F861" s="683"/>
      <c r="G861" s="674"/>
      <c r="H861" s="674"/>
      <c r="I861" s="674"/>
      <c r="J861" s="674"/>
      <c r="K861" s="674"/>
      <c r="L861" s="674"/>
      <c r="M861" s="674"/>
      <c r="N861" s="669"/>
      <c r="O861" s="670"/>
      <c r="P861" s="674"/>
      <c r="Q861" s="674"/>
    </row>
    <row r="862">
      <c r="A862" s="674"/>
      <c r="B862" s="674"/>
      <c r="C862" s="674"/>
      <c r="D862" s="674"/>
      <c r="E862" s="674"/>
      <c r="F862" s="683"/>
      <c r="G862" s="674"/>
      <c r="H862" s="674"/>
      <c r="I862" s="674"/>
      <c r="J862" s="674"/>
      <c r="K862" s="674"/>
      <c r="L862" s="674"/>
      <c r="M862" s="674"/>
      <c r="N862" s="669"/>
      <c r="O862" s="670"/>
      <c r="P862" s="674"/>
      <c r="Q862" s="674"/>
    </row>
    <row r="863">
      <c r="A863" s="674"/>
      <c r="B863" s="674"/>
      <c r="C863" s="674"/>
      <c r="D863" s="674"/>
      <c r="E863" s="674"/>
      <c r="F863" s="683"/>
      <c r="G863" s="674"/>
      <c r="H863" s="674"/>
      <c r="I863" s="674"/>
      <c r="J863" s="674"/>
      <c r="K863" s="674"/>
      <c r="L863" s="674"/>
      <c r="M863" s="674"/>
      <c r="N863" s="669"/>
      <c r="O863" s="670"/>
      <c r="P863" s="674"/>
      <c r="Q863" s="674"/>
    </row>
    <row r="864">
      <c r="A864" s="674"/>
      <c r="B864" s="674"/>
      <c r="C864" s="674"/>
      <c r="D864" s="674"/>
      <c r="E864" s="674"/>
      <c r="F864" s="683"/>
      <c r="G864" s="674"/>
      <c r="H864" s="674"/>
      <c r="I864" s="674"/>
      <c r="J864" s="674"/>
      <c r="K864" s="674"/>
      <c r="L864" s="674"/>
      <c r="M864" s="674"/>
      <c r="N864" s="669"/>
      <c r="O864" s="670"/>
      <c r="P864" s="674"/>
      <c r="Q864" s="674"/>
    </row>
    <row r="865">
      <c r="A865" s="674"/>
      <c r="B865" s="674"/>
      <c r="C865" s="674"/>
      <c r="D865" s="674"/>
      <c r="E865" s="674"/>
      <c r="F865" s="683"/>
      <c r="G865" s="674"/>
      <c r="H865" s="674"/>
      <c r="I865" s="674"/>
      <c r="J865" s="674"/>
      <c r="K865" s="674"/>
      <c r="L865" s="674"/>
      <c r="M865" s="674"/>
      <c r="N865" s="669"/>
      <c r="O865" s="670"/>
      <c r="P865" s="674"/>
      <c r="Q865" s="674"/>
    </row>
    <row r="866">
      <c r="A866" s="674"/>
      <c r="B866" s="674"/>
      <c r="C866" s="674"/>
      <c r="D866" s="674"/>
      <c r="E866" s="674"/>
      <c r="F866" s="683"/>
      <c r="G866" s="674"/>
      <c r="H866" s="674"/>
      <c r="I866" s="674"/>
      <c r="J866" s="674"/>
      <c r="K866" s="674"/>
      <c r="L866" s="674"/>
      <c r="M866" s="674"/>
      <c r="N866" s="669"/>
      <c r="O866" s="670"/>
      <c r="P866" s="674"/>
      <c r="Q866" s="674"/>
    </row>
    <row r="867">
      <c r="A867" s="674"/>
      <c r="B867" s="674"/>
      <c r="C867" s="674"/>
      <c r="D867" s="674"/>
      <c r="E867" s="674"/>
      <c r="F867" s="683"/>
      <c r="G867" s="674"/>
      <c r="H867" s="674"/>
      <c r="I867" s="674"/>
      <c r="J867" s="674"/>
      <c r="K867" s="674"/>
      <c r="L867" s="674"/>
      <c r="M867" s="674"/>
      <c r="N867" s="669"/>
      <c r="O867" s="670"/>
      <c r="P867" s="674"/>
      <c r="Q867" s="674"/>
    </row>
    <row r="868">
      <c r="A868" s="674"/>
      <c r="B868" s="674"/>
      <c r="C868" s="674"/>
      <c r="D868" s="674"/>
      <c r="E868" s="674"/>
      <c r="F868" s="683"/>
      <c r="G868" s="674"/>
      <c r="H868" s="674"/>
      <c r="I868" s="674"/>
      <c r="J868" s="674"/>
      <c r="K868" s="674"/>
      <c r="L868" s="674"/>
      <c r="M868" s="674"/>
      <c r="N868" s="669"/>
      <c r="O868" s="670"/>
      <c r="P868" s="674"/>
      <c r="Q868" s="674"/>
    </row>
    <row r="869">
      <c r="A869" s="674"/>
      <c r="B869" s="674"/>
      <c r="C869" s="674"/>
      <c r="D869" s="674"/>
      <c r="E869" s="674"/>
      <c r="F869" s="683"/>
      <c r="G869" s="674"/>
      <c r="H869" s="674"/>
      <c r="I869" s="674"/>
      <c r="J869" s="674"/>
      <c r="K869" s="674"/>
      <c r="L869" s="674"/>
      <c r="M869" s="674"/>
      <c r="N869" s="669"/>
      <c r="O869" s="670"/>
      <c r="P869" s="674"/>
      <c r="Q869" s="674"/>
    </row>
    <row r="870">
      <c r="A870" s="674"/>
      <c r="B870" s="674"/>
      <c r="C870" s="674"/>
      <c r="D870" s="674"/>
      <c r="E870" s="674"/>
      <c r="F870" s="683"/>
      <c r="G870" s="674"/>
      <c r="H870" s="674"/>
      <c r="I870" s="674"/>
      <c r="J870" s="674"/>
      <c r="K870" s="674"/>
      <c r="L870" s="674"/>
      <c r="M870" s="674"/>
      <c r="N870" s="669"/>
      <c r="O870" s="670"/>
      <c r="P870" s="674"/>
      <c r="Q870" s="674"/>
    </row>
    <row r="871">
      <c r="A871" s="674"/>
      <c r="B871" s="674"/>
      <c r="C871" s="674"/>
      <c r="D871" s="674"/>
      <c r="E871" s="674"/>
      <c r="F871" s="683"/>
      <c r="G871" s="674"/>
      <c r="H871" s="674"/>
      <c r="I871" s="674"/>
      <c r="J871" s="674"/>
      <c r="K871" s="674"/>
      <c r="L871" s="674"/>
      <c r="M871" s="674"/>
      <c r="N871" s="669"/>
      <c r="O871" s="670"/>
      <c r="P871" s="674"/>
      <c r="Q871" s="674"/>
    </row>
    <row r="872">
      <c r="A872" s="674"/>
      <c r="B872" s="674"/>
      <c r="C872" s="674"/>
      <c r="D872" s="674"/>
      <c r="E872" s="674"/>
      <c r="F872" s="683"/>
      <c r="G872" s="674"/>
      <c r="H872" s="674"/>
      <c r="I872" s="674"/>
      <c r="J872" s="674"/>
      <c r="K872" s="674"/>
      <c r="L872" s="674"/>
      <c r="M872" s="674"/>
      <c r="N872" s="669"/>
      <c r="O872" s="670"/>
      <c r="P872" s="674"/>
      <c r="Q872" s="674"/>
    </row>
    <row r="873">
      <c r="A873" s="674"/>
      <c r="B873" s="674"/>
      <c r="C873" s="674"/>
      <c r="D873" s="674"/>
      <c r="E873" s="674"/>
      <c r="F873" s="683"/>
      <c r="G873" s="674"/>
      <c r="H873" s="674"/>
      <c r="I873" s="674"/>
      <c r="J873" s="674"/>
      <c r="K873" s="674"/>
      <c r="L873" s="674"/>
      <c r="M873" s="674"/>
      <c r="N873" s="669"/>
      <c r="O873" s="670"/>
      <c r="P873" s="674"/>
      <c r="Q873" s="674"/>
    </row>
    <row r="874">
      <c r="A874" s="674"/>
      <c r="B874" s="674"/>
      <c r="C874" s="674"/>
      <c r="D874" s="674"/>
      <c r="E874" s="674"/>
      <c r="F874" s="683"/>
      <c r="G874" s="674"/>
      <c r="H874" s="674"/>
      <c r="I874" s="674"/>
      <c r="J874" s="674"/>
      <c r="K874" s="674"/>
      <c r="L874" s="674"/>
      <c r="M874" s="674"/>
      <c r="N874" s="669"/>
      <c r="O874" s="670"/>
      <c r="P874" s="674"/>
      <c r="Q874" s="674"/>
    </row>
    <row r="875">
      <c r="A875" s="674"/>
      <c r="B875" s="674"/>
      <c r="C875" s="674"/>
      <c r="D875" s="674"/>
      <c r="E875" s="674"/>
      <c r="F875" s="683"/>
      <c r="G875" s="674"/>
      <c r="H875" s="674"/>
      <c r="I875" s="674"/>
      <c r="J875" s="674"/>
      <c r="K875" s="674"/>
      <c r="L875" s="674"/>
      <c r="M875" s="674"/>
      <c r="N875" s="669"/>
      <c r="O875" s="670"/>
      <c r="P875" s="674"/>
      <c r="Q875" s="674"/>
    </row>
    <row r="876">
      <c r="A876" s="674"/>
      <c r="B876" s="674"/>
      <c r="C876" s="674"/>
      <c r="D876" s="674"/>
      <c r="E876" s="674"/>
      <c r="F876" s="683"/>
      <c r="G876" s="674"/>
      <c r="H876" s="674"/>
      <c r="I876" s="674"/>
      <c r="J876" s="674"/>
      <c r="K876" s="674"/>
      <c r="L876" s="674"/>
      <c r="M876" s="674"/>
      <c r="N876" s="669"/>
      <c r="O876" s="670"/>
      <c r="P876" s="674"/>
      <c r="Q876" s="674"/>
    </row>
    <row r="877">
      <c r="A877" s="674"/>
      <c r="B877" s="674"/>
      <c r="C877" s="674"/>
      <c r="D877" s="674"/>
      <c r="E877" s="674"/>
      <c r="F877" s="683"/>
      <c r="G877" s="674"/>
      <c r="H877" s="674"/>
      <c r="I877" s="674"/>
      <c r="J877" s="674"/>
      <c r="K877" s="674"/>
      <c r="L877" s="674"/>
      <c r="M877" s="674"/>
      <c r="N877" s="669"/>
      <c r="O877" s="670"/>
      <c r="P877" s="674"/>
      <c r="Q877" s="674"/>
    </row>
    <row r="878">
      <c r="A878" s="674"/>
      <c r="B878" s="674"/>
      <c r="C878" s="674"/>
      <c r="D878" s="674"/>
      <c r="E878" s="674"/>
      <c r="F878" s="683"/>
      <c r="G878" s="674"/>
      <c r="H878" s="674"/>
      <c r="I878" s="674"/>
      <c r="J878" s="674"/>
      <c r="K878" s="674"/>
      <c r="L878" s="674"/>
      <c r="M878" s="674"/>
      <c r="N878" s="669"/>
      <c r="O878" s="670"/>
      <c r="P878" s="674"/>
      <c r="Q878" s="674"/>
    </row>
    <row r="879">
      <c r="A879" s="674"/>
      <c r="B879" s="674"/>
      <c r="C879" s="674"/>
      <c r="D879" s="674"/>
      <c r="E879" s="674"/>
      <c r="F879" s="683"/>
      <c r="G879" s="674"/>
      <c r="H879" s="674"/>
      <c r="I879" s="674"/>
      <c r="J879" s="674"/>
      <c r="K879" s="674"/>
      <c r="L879" s="674"/>
      <c r="M879" s="674"/>
      <c r="N879" s="669"/>
      <c r="O879" s="670"/>
      <c r="P879" s="674"/>
      <c r="Q879" s="674"/>
    </row>
    <row r="880">
      <c r="A880" s="674"/>
      <c r="B880" s="674"/>
      <c r="C880" s="674"/>
      <c r="D880" s="674"/>
      <c r="E880" s="674"/>
      <c r="F880" s="683"/>
      <c r="G880" s="674"/>
      <c r="H880" s="674"/>
      <c r="I880" s="674"/>
      <c r="J880" s="674"/>
      <c r="K880" s="674"/>
      <c r="L880" s="674"/>
      <c r="M880" s="674"/>
      <c r="N880" s="669"/>
      <c r="O880" s="670"/>
      <c r="P880" s="674"/>
      <c r="Q880" s="674"/>
    </row>
    <row r="881">
      <c r="A881" s="674"/>
      <c r="B881" s="674"/>
      <c r="C881" s="674"/>
      <c r="D881" s="674"/>
      <c r="E881" s="674"/>
      <c r="F881" s="683"/>
      <c r="G881" s="674"/>
      <c r="H881" s="674"/>
      <c r="I881" s="674"/>
      <c r="J881" s="674"/>
      <c r="K881" s="674"/>
      <c r="L881" s="674"/>
      <c r="M881" s="674"/>
      <c r="N881" s="669"/>
      <c r="O881" s="670"/>
      <c r="P881" s="674"/>
      <c r="Q881" s="674"/>
    </row>
    <row r="882">
      <c r="A882" s="674"/>
      <c r="B882" s="674"/>
      <c r="C882" s="674"/>
      <c r="D882" s="674"/>
      <c r="E882" s="674"/>
      <c r="F882" s="683"/>
      <c r="G882" s="674"/>
      <c r="H882" s="674"/>
      <c r="I882" s="674"/>
      <c r="J882" s="674"/>
      <c r="K882" s="674"/>
      <c r="L882" s="674"/>
      <c r="M882" s="674"/>
      <c r="N882" s="669"/>
      <c r="O882" s="670"/>
      <c r="P882" s="674"/>
      <c r="Q882" s="674"/>
    </row>
    <row r="883">
      <c r="A883" s="674"/>
      <c r="B883" s="674"/>
      <c r="C883" s="674"/>
      <c r="D883" s="674"/>
      <c r="E883" s="674"/>
      <c r="F883" s="683"/>
      <c r="G883" s="674"/>
      <c r="H883" s="674"/>
      <c r="I883" s="674"/>
      <c r="J883" s="674"/>
      <c r="K883" s="674"/>
      <c r="L883" s="674"/>
      <c r="M883" s="674"/>
      <c r="N883" s="669"/>
      <c r="O883" s="670"/>
      <c r="P883" s="674"/>
      <c r="Q883" s="674"/>
    </row>
    <row r="884">
      <c r="A884" s="674"/>
      <c r="B884" s="674"/>
      <c r="C884" s="674"/>
      <c r="D884" s="674"/>
      <c r="E884" s="674"/>
      <c r="F884" s="683"/>
      <c r="G884" s="674"/>
      <c r="H884" s="674"/>
      <c r="I884" s="674"/>
      <c r="J884" s="674"/>
      <c r="K884" s="674"/>
      <c r="L884" s="674"/>
      <c r="M884" s="674"/>
      <c r="N884" s="669"/>
      <c r="O884" s="670"/>
      <c r="P884" s="674"/>
      <c r="Q884" s="674"/>
    </row>
    <row r="885">
      <c r="A885" s="674"/>
      <c r="B885" s="674"/>
      <c r="C885" s="674"/>
      <c r="D885" s="674"/>
      <c r="E885" s="674"/>
      <c r="F885" s="683"/>
      <c r="G885" s="674"/>
      <c r="H885" s="674"/>
      <c r="I885" s="674"/>
      <c r="J885" s="674"/>
      <c r="K885" s="674"/>
      <c r="L885" s="674"/>
      <c r="M885" s="674"/>
      <c r="N885" s="669"/>
      <c r="O885" s="670"/>
      <c r="P885" s="674"/>
      <c r="Q885" s="674"/>
    </row>
    <row r="886">
      <c r="A886" s="674"/>
      <c r="B886" s="674"/>
      <c r="C886" s="674"/>
      <c r="D886" s="674"/>
      <c r="E886" s="674"/>
      <c r="F886" s="683"/>
      <c r="G886" s="674"/>
      <c r="H886" s="674"/>
      <c r="I886" s="674"/>
      <c r="J886" s="674"/>
      <c r="K886" s="674"/>
      <c r="L886" s="674"/>
      <c r="M886" s="674"/>
      <c r="N886" s="669"/>
      <c r="O886" s="670"/>
      <c r="P886" s="674"/>
      <c r="Q886" s="674"/>
    </row>
    <row r="887">
      <c r="A887" s="674"/>
      <c r="B887" s="674"/>
      <c r="C887" s="674"/>
      <c r="D887" s="674"/>
      <c r="E887" s="674"/>
      <c r="F887" s="683"/>
      <c r="G887" s="674"/>
      <c r="H887" s="674"/>
      <c r="I887" s="674"/>
      <c r="J887" s="674"/>
      <c r="K887" s="674"/>
      <c r="L887" s="674"/>
      <c r="M887" s="674"/>
      <c r="N887" s="669"/>
      <c r="O887" s="670"/>
      <c r="P887" s="674"/>
      <c r="Q887" s="674"/>
    </row>
    <row r="888">
      <c r="A888" s="674"/>
      <c r="B888" s="674"/>
      <c r="C888" s="674"/>
      <c r="D888" s="674"/>
      <c r="E888" s="674"/>
      <c r="F888" s="683"/>
      <c r="G888" s="674"/>
      <c r="H888" s="674"/>
      <c r="I888" s="674"/>
      <c r="J888" s="674"/>
      <c r="K888" s="674"/>
      <c r="L888" s="674"/>
      <c r="M888" s="674"/>
      <c r="N888" s="669"/>
      <c r="O888" s="670"/>
      <c r="P888" s="674"/>
      <c r="Q888" s="674"/>
    </row>
    <row r="889">
      <c r="A889" s="674"/>
      <c r="B889" s="674"/>
      <c r="C889" s="674"/>
      <c r="D889" s="674"/>
      <c r="E889" s="674"/>
      <c r="F889" s="683"/>
      <c r="G889" s="674"/>
      <c r="H889" s="674"/>
      <c r="I889" s="674"/>
      <c r="J889" s="674"/>
      <c r="K889" s="674"/>
      <c r="L889" s="674"/>
      <c r="M889" s="674"/>
      <c r="N889" s="669"/>
      <c r="O889" s="670"/>
      <c r="P889" s="674"/>
      <c r="Q889" s="674"/>
    </row>
    <row r="890">
      <c r="A890" s="674"/>
      <c r="B890" s="674"/>
      <c r="C890" s="674"/>
      <c r="D890" s="674"/>
      <c r="E890" s="674"/>
      <c r="F890" s="683"/>
      <c r="G890" s="674"/>
      <c r="H890" s="674"/>
      <c r="I890" s="674"/>
      <c r="J890" s="674"/>
      <c r="K890" s="674"/>
      <c r="L890" s="674"/>
      <c r="M890" s="674"/>
      <c r="N890" s="669"/>
      <c r="O890" s="670"/>
      <c r="P890" s="674"/>
      <c r="Q890" s="674"/>
    </row>
    <row r="891">
      <c r="A891" s="674"/>
      <c r="B891" s="674"/>
      <c r="C891" s="674"/>
      <c r="D891" s="674"/>
      <c r="E891" s="674"/>
      <c r="F891" s="683"/>
      <c r="G891" s="674"/>
      <c r="H891" s="674"/>
      <c r="I891" s="674"/>
      <c r="J891" s="674"/>
      <c r="K891" s="674"/>
      <c r="L891" s="674"/>
      <c r="M891" s="674"/>
      <c r="N891" s="669"/>
      <c r="O891" s="670"/>
      <c r="P891" s="674"/>
      <c r="Q891" s="674"/>
    </row>
    <row r="892">
      <c r="A892" s="674"/>
      <c r="B892" s="674"/>
      <c r="C892" s="674"/>
      <c r="D892" s="674"/>
      <c r="E892" s="674"/>
      <c r="F892" s="683"/>
      <c r="G892" s="674"/>
      <c r="H892" s="674"/>
      <c r="I892" s="674"/>
      <c r="J892" s="674"/>
      <c r="K892" s="674"/>
      <c r="L892" s="674"/>
      <c r="M892" s="674"/>
      <c r="N892" s="669"/>
      <c r="O892" s="670"/>
      <c r="P892" s="674"/>
      <c r="Q892" s="674"/>
    </row>
    <row r="893">
      <c r="A893" s="674"/>
      <c r="B893" s="674"/>
      <c r="C893" s="674"/>
      <c r="D893" s="674"/>
      <c r="E893" s="674"/>
      <c r="F893" s="683"/>
      <c r="G893" s="674"/>
      <c r="H893" s="674"/>
      <c r="I893" s="674"/>
      <c r="J893" s="674"/>
      <c r="K893" s="674"/>
      <c r="L893" s="674"/>
      <c r="M893" s="674"/>
      <c r="N893" s="669"/>
      <c r="O893" s="670"/>
      <c r="P893" s="674"/>
      <c r="Q893" s="674"/>
    </row>
    <row r="894">
      <c r="A894" s="674"/>
      <c r="B894" s="674"/>
      <c r="C894" s="674"/>
      <c r="D894" s="674"/>
      <c r="E894" s="674"/>
      <c r="F894" s="683"/>
      <c r="G894" s="674"/>
      <c r="H894" s="674"/>
      <c r="I894" s="674"/>
      <c r="J894" s="674"/>
      <c r="K894" s="674"/>
      <c r="L894" s="674"/>
      <c r="M894" s="674"/>
      <c r="N894" s="669"/>
      <c r="O894" s="670"/>
      <c r="P894" s="674"/>
      <c r="Q894" s="674"/>
    </row>
    <row r="895">
      <c r="A895" s="674"/>
      <c r="B895" s="674"/>
      <c r="C895" s="674"/>
      <c r="D895" s="674"/>
      <c r="E895" s="674"/>
      <c r="F895" s="683"/>
      <c r="G895" s="674"/>
      <c r="H895" s="674"/>
      <c r="I895" s="674"/>
      <c r="J895" s="674"/>
      <c r="K895" s="674"/>
      <c r="L895" s="674"/>
      <c r="M895" s="674"/>
      <c r="N895" s="669"/>
      <c r="O895" s="670"/>
      <c r="P895" s="674"/>
      <c r="Q895" s="674"/>
    </row>
    <row r="896">
      <c r="A896" s="674"/>
      <c r="B896" s="674"/>
      <c r="C896" s="674"/>
      <c r="D896" s="674"/>
      <c r="E896" s="674"/>
      <c r="F896" s="683"/>
      <c r="G896" s="674"/>
      <c r="H896" s="674"/>
      <c r="I896" s="674"/>
      <c r="J896" s="674"/>
      <c r="K896" s="674"/>
      <c r="L896" s="674"/>
      <c r="M896" s="674"/>
      <c r="N896" s="669"/>
      <c r="O896" s="670"/>
      <c r="P896" s="674"/>
      <c r="Q896" s="674"/>
    </row>
    <row r="897">
      <c r="A897" s="674"/>
      <c r="B897" s="674"/>
      <c r="C897" s="674"/>
      <c r="D897" s="674"/>
      <c r="E897" s="674"/>
      <c r="F897" s="683"/>
      <c r="G897" s="674"/>
      <c r="H897" s="674"/>
      <c r="I897" s="674"/>
      <c r="J897" s="674"/>
      <c r="K897" s="674"/>
      <c r="L897" s="674"/>
      <c r="M897" s="674"/>
      <c r="N897" s="669"/>
      <c r="O897" s="670"/>
      <c r="P897" s="674"/>
      <c r="Q897" s="674"/>
    </row>
    <row r="898">
      <c r="A898" s="674"/>
      <c r="B898" s="674"/>
      <c r="C898" s="674"/>
      <c r="D898" s="674"/>
      <c r="E898" s="674"/>
      <c r="F898" s="683"/>
      <c r="G898" s="674"/>
      <c r="H898" s="674"/>
      <c r="I898" s="674"/>
      <c r="J898" s="674"/>
      <c r="K898" s="674"/>
      <c r="L898" s="674"/>
      <c r="M898" s="674"/>
      <c r="N898" s="669"/>
      <c r="O898" s="670"/>
      <c r="P898" s="674"/>
      <c r="Q898" s="674"/>
    </row>
    <row r="899">
      <c r="A899" s="674"/>
      <c r="B899" s="674"/>
      <c r="C899" s="674"/>
      <c r="D899" s="674"/>
      <c r="E899" s="674"/>
      <c r="F899" s="683"/>
      <c r="G899" s="674"/>
      <c r="H899" s="674"/>
      <c r="I899" s="674"/>
      <c r="J899" s="674"/>
      <c r="K899" s="674"/>
      <c r="L899" s="674"/>
      <c r="M899" s="674"/>
      <c r="N899" s="669"/>
      <c r="O899" s="670"/>
      <c r="P899" s="674"/>
      <c r="Q899" s="674"/>
    </row>
    <row r="900">
      <c r="A900" s="674"/>
      <c r="B900" s="674"/>
      <c r="C900" s="674"/>
      <c r="D900" s="674"/>
      <c r="E900" s="674"/>
      <c r="F900" s="683"/>
      <c r="G900" s="674"/>
      <c r="H900" s="674"/>
      <c r="I900" s="674"/>
      <c r="J900" s="674"/>
      <c r="K900" s="674"/>
      <c r="L900" s="674"/>
      <c r="M900" s="674"/>
      <c r="N900" s="669"/>
      <c r="O900" s="670"/>
      <c r="P900" s="674"/>
      <c r="Q900" s="674"/>
    </row>
    <row r="901">
      <c r="A901" s="674"/>
      <c r="B901" s="674"/>
      <c r="C901" s="674"/>
      <c r="D901" s="674"/>
      <c r="E901" s="674"/>
      <c r="F901" s="683"/>
      <c r="G901" s="674"/>
      <c r="H901" s="674"/>
      <c r="I901" s="674"/>
      <c r="J901" s="674"/>
      <c r="K901" s="674"/>
      <c r="L901" s="674"/>
      <c r="M901" s="674"/>
      <c r="N901" s="669"/>
      <c r="O901" s="670"/>
      <c r="P901" s="674"/>
      <c r="Q901" s="674"/>
    </row>
    <row r="902">
      <c r="A902" s="674"/>
      <c r="B902" s="674"/>
      <c r="C902" s="674"/>
      <c r="D902" s="674"/>
      <c r="E902" s="674"/>
      <c r="F902" s="683"/>
      <c r="G902" s="674"/>
      <c r="H902" s="674"/>
      <c r="I902" s="674"/>
      <c r="J902" s="674"/>
      <c r="K902" s="674"/>
      <c r="L902" s="674"/>
      <c r="M902" s="674"/>
      <c r="N902" s="669"/>
      <c r="O902" s="670"/>
      <c r="P902" s="674"/>
      <c r="Q902" s="674"/>
    </row>
    <row r="903">
      <c r="A903" s="674"/>
      <c r="B903" s="674"/>
      <c r="C903" s="674"/>
      <c r="D903" s="674"/>
      <c r="E903" s="674"/>
      <c r="F903" s="683"/>
      <c r="G903" s="674"/>
      <c r="H903" s="674"/>
      <c r="I903" s="674"/>
      <c r="J903" s="674"/>
      <c r="K903" s="674"/>
      <c r="L903" s="674"/>
      <c r="M903" s="674"/>
      <c r="N903" s="669"/>
      <c r="O903" s="670"/>
      <c r="P903" s="674"/>
      <c r="Q903" s="674"/>
    </row>
    <row r="904">
      <c r="A904" s="674"/>
      <c r="B904" s="674"/>
      <c r="C904" s="674"/>
      <c r="D904" s="674"/>
      <c r="E904" s="674"/>
      <c r="F904" s="683"/>
      <c r="G904" s="674"/>
      <c r="H904" s="674"/>
      <c r="I904" s="674"/>
      <c r="J904" s="674"/>
      <c r="K904" s="674"/>
      <c r="L904" s="674"/>
      <c r="M904" s="674"/>
      <c r="N904" s="669"/>
      <c r="O904" s="670"/>
      <c r="P904" s="674"/>
      <c r="Q904" s="674"/>
    </row>
    <row r="905">
      <c r="A905" s="674"/>
      <c r="B905" s="674"/>
      <c r="C905" s="674"/>
      <c r="D905" s="674"/>
      <c r="E905" s="674"/>
      <c r="F905" s="683"/>
      <c r="G905" s="674"/>
      <c r="H905" s="674"/>
      <c r="I905" s="674"/>
      <c r="J905" s="674"/>
      <c r="K905" s="674"/>
      <c r="L905" s="674"/>
      <c r="M905" s="674"/>
      <c r="N905" s="669"/>
      <c r="O905" s="670"/>
      <c r="P905" s="674"/>
      <c r="Q905" s="674"/>
    </row>
    <row r="906">
      <c r="A906" s="674"/>
      <c r="B906" s="674"/>
      <c r="C906" s="674"/>
      <c r="D906" s="674"/>
      <c r="E906" s="674"/>
      <c r="F906" s="683"/>
      <c r="G906" s="674"/>
      <c r="H906" s="674"/>
      <c r="I906" s="674"/>
      <c r="J906" s="674"/>
      <c r="K906" s="674"/>
      <c r="L906" s="674"/>
      <c r="M906" s="674"/>
      <c r="N906" s="669"/>
      <c r="O906" s="670"/>
      <c r="P906" s="674"/>
      <c r="Q906" s="674"/>
    </row>
    <row r="907">
      <c r="A907" s="674"/>
      <c r="B907" s="674"/>
      <c r="C907" s="674"/>
      <c r="D907" s="674"/>
      <c r="E907" s="674"/>
      <c r="F907" s="683"/>
      <c r="G907" s="674"/>
      <c r="H907" s="674"/>
      <c r="I907" s="674"/>
      <c r="J907" s="674"/>
      <c r="K907" s="674"/>
      <c r="L907" s="674"/>
      <c r="M907" s="674"/>
      <c r="N907" s="669"/>
      <c r="O907" s="670"/>
      <c r="P907" s="674"/>
      <c r="Q907" s="674"/>
    </row>
    <row r="908">
      <c r="A908" s="674"/>
      <c r="B908" s="674"/>
      <c r="C908" s="674"/>
      <c r="D908" s="674"/>
      <c r="E908" s="674"/>
      <c r="F908" s="683"/>
      <c r="G908" s="674"/>
      <c r="H908" s="674"/>
      <c r="I908" s="674"/>
      <c r="J908" s="674"/>
      <c r="K908" s="674"/>
      <c r="L908" s="674"/>
      <c r="M908" s="674"/>
      <c r="N908" s="669"/>
      <c r="O908" s="670"/>
      <c r="P908" s="674"/>
      <c r="Q908" s="674"/>
    </row>
    <row r="909">
      <c r="A909" s="674"/>
      <c r="B909" s="674"/>
      <c r="C909" s="674"/>
      <c r="D909" s="674"/>
      <c r="E909" s="674"/>
      <c r="F909" s="683"/>
      <c r="G909" s="674"/>
      <c r="H909" s="674"/>
      <c r="I909" s="674"/>
      <c r="J909" s="674"/>
      <c r="K909" s="674"/>
      <c r="L909" s="674"/>
      <c r="M909" s="674"/>
      <c r="N909" s="669"/>
      <c r="O909" s="670"/>
      <c r="P909" s="674"/>
      <c r="Q909" s="674"/>
    </row>
    <row r="910">
      <c r="A910" s="674"/>
      <c r="B910" s="674"/>
      <c r="C910" s="674"/>
      <c r="D910" s="674"/>
      <c r="E910" s="674"/>
      <c r="F910" s="683"/>
      <c r="G910" s="674"/>
      <c r="H910" s="674"/>
      <c r="I910" s="674"/>
      <c r="J910" s="674"/>
      <c r="K910" s="674"/>
      <c r="L910" s="674"/>
      <c r="M910" s="674"/>
      <c r="N910" s="669"/>
      <c r="O910" s="670"/>
      <c r="P910" s="674"/>
      <c r="Q910" s="674"/>
    </row>
    <row r="911">
      <c r="A911" s="674"/>
      <c r="B911" s="674"/>
      <c r="C911" s="674"/>
      <c r="D911" s="674"/>
      <c r="E911" s="674"/>
      <c r="F911" s="683"/>
      <c r="G911" s="674"/>
      <c r="H911" s="674"/>
      <c r="I911" s="674"/>
      <c r="J911" s="674"/>
      <c r="K911" s="674"/>
      <c r="L911" s="674"/>
      <c r="M911" s="674"/>
      <c r="N911" s="669"/>
      <c r="O911" s="670"/>
      <c r="P911" s="674"/>
      <c r="Q911" s="674"/>
    </row>
    <row r="912">
      <c r="A912" s="674"/>
      <c r="B912" s="674"/>
      <c r="C912" s="674"/>
      <c r="D912" s="674"/>
      <c r="E912" s="674"/>
      <c r="F912" s="683"/>
      <c r="G912" s="674"/>
      <c r="H912" s="674"/>
      <c r="I912" s="674"/>
      <c r="J912" s="674"/>
      <c r="K912" s="674"/>
      <c r="L912" s="674"/>
      <c r="M912" s="674"/>
      <c r="N912" s="669"/>
      <c r="O912" s="670"/>
      <c r="P912" s="674"/>
      <c r="Q912" s="674"/>
    </row>
    <row r="913">
      <c r="A913" s="674"/>
      <c r="B913" s="674"/>
      <c r="C913" s="674"/>
      <c r="D913" s="674"/>
      <c r="E913" s="674"/>
      <c r="F913" s="683"/>
      <c r="G913" s="674"/>
      <c r="H913" s="674"/>
      <c r="I913" s="674"/>
      <c r="J913" s="674"/>
      <c r="K913" s="674"/>
      <c r="L913" s="674"/>
      <c r="M913" s="674"/>
      <c r="N913" s="669"/>
      <c r="O913" s="670"/>
      <c r="P913" s="674"/>
      <c r="Q913" s="674"/>
    </row>
    <row r="914">
      <c r="A914" s="674"/>
      <c r="B914" s="674"/>
      <c r="C914" s="674"/>
      <c r="D914" s="674"/>
      <c r="E914" s="674"/>
      <c r="F914" s="683"/>
      <c r="G914" s="674"/>
      <c r="H914" s="674"/>
      <c r="I914" s="674"/>
      <c r="J914" s="674"/>
      <c r="K914" s="674"/>
      <c r="L914" s="674"/>
      <c r="M914" s="674"/>
      <c r="N914" s="669"/>
      <c r="O914" s="670"/>
      <c r="P914" s="674"/>
      <c r="Q914" s="674"/>
    </row>
    <row r="915">
      <c r="A915" s="674"/>
      <c r="B915" s="674"/>
      <c r="C915" s="674"/>
      <c r="D915" s="674"/>
      <c r="E915" s="674"/>
      <c r="F915" s="683"/>
      <c r="G915" s="674"/>
      <c r="H915" s="674"/>
      <c r="I915" s="674"/>
      <c r="J915" s="674"/>
      <c r="K915" s="674"/>
      <c r="L915" s="674"/>
      <c r="M915" s="674"/>
      <c r="N915" s="669"/>
      <c r="O915" s="670"/>
      <c r="P915" s="674"/>
      <c r="Q915" s="674"/>
    </row>
    <row r="916">
      <c r="A916" s="674"/>
      <c r="B916" s="674"/>
      <c r="C916" s="674"/>
      <c r="D916" s="674"/>
      <c r="E916" s="674"/>
      <c r="F916" s="683"/>
      <c r="G916" s="674"/>
      <c r="H916" s="674"/>
      <c r="I916" s="674"/>
      <c r="J916" s="674"/>
      <c r="K916" s="674"/>
      <c r="L916" s="674"/>
      <c r="M916" s="674"/>
      <c r="N916" s="669"/>
      <c r="O916" s="670"/>
      <c r="P916" s="674"/>
      <c r="Q916" s="674"/>
    </row>
    <row r="917">
      <c r="A917" s="674"/>
      <c r="B917" s="674"/>
      <c r="C917" s="674"/>
      <c r="D917" s="674"/>
      <c r="E917" s="674"/>
      <c r="F917" s="683"/>
      <c r="G917" s="674"/>
      <c r="H917" s="674"/>
      <c r="I917" s="674"/>
      <c r="J917" s="674"/>
      <c r="K917" s="674"/>
      <c r="L917" s="674"/>
      <c r="M917" s="674"/>
      <c r="N917" s="669"/>
      <c r="O917" s="670"/>
      <c r="P917" s="674"/>
      <c r="Q917" s="674"/>
    </row>
    <row r="918">
      <c r="A918" s="674"/>
      <c r="B918" s="674"/>
      <c r="C918" s="674"/>
      <c r="D918" s="674"/>
      <c r="E918" s="674"/>
      <c r="F918" s="683"/>
      <c r="G918" s="674"/>
      <c r="H918" s="674"/>
      <c r="I918" s="674"/>
      <c r="J918" s="674"/>
      <c r="K918" s="674"/>
      <c r="L918" s="674"/>
      <c r="M918" s="674"/>
      <c r="N918" s="669"/>
      <c r="O918" s="670"/>
      <c r="P918" s="674"/>
      <c r="Q918" s="674"/>
    </row>
    <row r="919">
      <c r="A919" s="674"/>
      <c r="B919" s="674"/>
      <c r="C919" s="674"/>
      <c r="D919" s="674"/>
      <c r="E919" s="674"/>
      <c r="F919" s="683"/>
      <c r="G919" s="674"/>
      <c r="H919" s="674"/>
      <c r="I919" s="674"/>
      <c r="J919" s="674"/>
      <c r="K919" s="674"/>
      <c r="L919" s="674"/>
      <c r="M919" s="674"/>
      <c r="N919" s="669"/>
      <c r="O919" s="670"/>
      <c r="P919" s="674"/>
      <c r="Q919" s="674"/>
    </row>
    <row r="920">
      <c r="A920" s="674"/>
      <c r="B920" s="674"/>
      <c r="C920" s="674"/>
      <c r="D920" s="674"/>
      <c r="E920" s="674"/>
      <c r="F920" s="683"/>
      <c r="G920" s="674"/>
      <c r="H920" s="674"/>
      <c r="I920" s="674"/>
      <c r="J920" s="674"/>
      <c r="K920" s="674"/>
      <c r="L920" s="674"/>
      <c r="M920" s="674"/>
      <c r="N920" s="669"/>
      <c r="O920" s="670"/>
      <c r="P920" s="674"/>
      <c r="Q920" s="674"/>
    </row>
    <row r="921">
      <c r="A921" s="674"/>
      <c r="B921" s="674"/>
      <c r="C921" s="674"/>
      <c r="D921" s="674"/>
      <c r="E921" s="674"/>
      <c r="F921" s="683"/>
      <c r="G921" s="674"/>
      <c r="H921" s="674"/>
      <c r="I921" s="674"/>
      <c r="J921" s="674"/>
      <c r="K921" s="674"/>
      <c r="L921" s="674"/>
      <c r="M921" s="674"/>
      <c r="N921" s="669"/>
      <c r="O921" s="670"/>
      <c r="P921" s="674"/>
      <c r="Q921" s="674"/>
    </row>
    <row r="922">
      <c r="A922" s="674"/>
      <c r="B922" s="674"/>
      <c r="C922" s="674"/>
      <c r="D922" s="674"/>
      <c r="E922" s="674"/>
      <c r="F922" s="683"/>
      <c r="G922" s="674"/>
      <c r="H922" s="674"/>
      <c r="I922" s="674"/>
      <c r="J922" s="674"/>
      <c r="K922" s="674"/>
      <c r="L922" s="674"/>
      <c r="M922" s="674"/>
      <c r="N922" s="669"/>
      <c r="O922" s="670"/>
      <c r="P922" s="674"/>
      <c r="Q922" s="674"/>
    </row>
    <row r="923">
      <c r="A923" s="674"/>
      <c r="B923" s="674"/>
      <c r="C923" s="674"/>
      <c r="D923" s="674"/>
      <c r="E923" s="674"/>
      <c r="F923" s="683"/>
      <c r="G923" s="674"/>
      <c r="H923" s="674"/>
      <c r="I923" s="674"/>
      <c r="J923" s="674"/>
      <c r="K923" s="674"/>
      <c r="L923" s="674"/>
      <c r="M923" s="674"/>
      <c r="N923" s="669"/>
      <c r="O923" s="670"/>
      <c r="P923" s="674"/>
      <c r="Q923" s="674"/>
    </row>
    <row r="924">
      <c r="A924" s="674"/>
      <c r="B924" s="674"/>
      <c r="C924" s="674"/>
      <c r="D924" s="674"/>
      <c r="E924" s="674"/>
      <c r="F924" s="683"/>
      <c r="G924" s="674"/>
      <c r="H924" s="674"/>
      <c r="I924" s="674"/>
      <c r="J924" s="674"/>
      <c r="K924" s="674"/>
      <c r="L924" s="674"/>
      <c r="M924" s="674"/>
      <c r="N924" s="669"/>
      <c r="O924" s="670"/>
      <c r="P924" s="674"/>
      <c r="Q924" s="674"/>
    </row>
    <row r="925">
      <c r="A925" s="674"/>
      <c r="B925" s="674"/>
      <c r="C925" s="674"/>
      <c r="D925" s="674"/>
      <c r="E925" s="674"/>
      <c r="F925" s="683"/>
      <c r="G925" s="674"/>
      <c r="H925" s="674"/>
      <c r="I925" s="674"/>
      <c r="J925" s="674"/>
      <c r="K925" s="674"/>
      <c r="L925" s="674"/>
      <c r="M925" s="674"/>
      <c r="N925" s="669"/>
      <c r="O925" s="670"/>
      <c r="P925" s="674"/>
      <c r="Q925" s="674"/>
    </row>
    <row r="926">
      <c r="A926" s="674"/>
      <c r="B926" s="674"/>
      <c r="C926" s="674"/>
      <c r="D926" s="674"/>
      <c r="E926" s="674"/>
      <c r="F926" s="683"/>
      <c r="G926" s="674"/>
      <c r="H926" s="674"/>
      <c r="I926" s="674"/>
      <c r="J926" s="674"/>
      <c r="K926" s="674"/>
      <c r="L926" s="674"/>
      <c r="M926" s="674"/>
      <c r="N926" s="669"/>
      <c r="O926" s="670"/>
      <c r="P926" s="674"/>
      <c r="Q926" s="674"/>
    </row>
    <row r="927">
      <c r="A927" s="674"/>
      <c r="B927" s="674"/>
      <c r="C927" s="674"/>
      <c r="D927" s="674"/>
      <c r="E927" s="674"/>
      <c r="F927" s="683"/>
      <c r="G927" s="674"/>
      <c r="H927" s="674"/>
      <c r="I927" s="674"/>
      <c r="J927" s="674"/>
      <c r="K927" s="674"/>
      <c r="L927" s="674"/>
      <c r="M927" s="674"/>
      <c r="N927" s="669"/>
      <c r="O927" s="670"/>
      <c r="P927" s="674"/>
      <c r="Q927" s="674"/>
    </row>
    <row r="928">
      <c r="A928" s="674"/>
      <c r="B928" s="674"/>
      <c r="C928" s="674"/>
      <c r="D928" s="674"/>
      <c r="E928" s="674"/>
      <c r="F928" s="683"/>
      <c r="G928" s="674"/>
      <c r="H928" s="674"/>
      <c r="I928" s="674"/>
      <c r="J928" s="674"/>
      <c r="K928" s="674"/>
      <c r="L928" s="674"/>
      <c r="M928" s="674"/>
      <c r="N928" s="669"/>
      <c r="O928" s="670"/>
      <c r="P928" s="674"/>
      <c r="Q928" s="674"/>
    </row>
    <row r="929">
      <c r="A929" s="674"/>
      <c r="B929" s="674"/>
      <c r="C929" s="674"/>
      <c r="D929" s="674"/>
      <c r="E929" s="674"/>
      <c r="F929" s="683"/>
      <c r="G929" s="674"/>
      <c r="H929" s="674"/>
      <c r="I929" s="674"/>
      <c r="J929" s="674"/>
      <c r="K929" s="674"/>
      <c r="L929" s="674"/>
      <c r="M929" s="674"/>
      <c r="N929" s="669"/>
      <c r="O929" s="670"/>
      <c r="P929" s="674"/>
      <c r="Q929" s="674"/>
    </row>
    <row r="930">
      <c r="A930" s="674"/>
      <c r="B930" s="674"/>
      <c r="C930" s="674"/>
      <c r="D930" s="674"/>
      <c r="E930" s="674"/>
      <c r="F930" s="683"/>
      <c r="G930" s="674"/>
      <c r="H930" s="674"/>
      <c r="I930" s="674"/>
      <c r="J930" s="674"/>
      <c r="K930" s="674"/>
      <c r="L930" s="674"/>
      <c r="M930" s="674"/>
      <c r="N930" s="669"/>
      <c r="O930" s="670"/>
      <c r="P930" s="674"/>
      <c r="Q930" s="674"/>
    </row>
    <row r="931">
      <c r="A931" s="674"/>
      <c r="B931" s="674"/>
      <c r="C931" s="674"/>
      <c r="D931" s="674"/>
      <c r="E931" s="674"/>
      <c r="F931" s="683"/>
      <c r="G931" s="674"/>
      <c r="H931" s="674"/>
      <c r="I931" s="674"/>
      <c r="J931" s="674"/>
      <c r="K931" s="674"/>
      <c r="L931" s="674"/>
      <c r="M931" s="674"/>
      <c r="N931" s="669"/>
      <c r="O931" s="670"/>
      <c r="P931" s="674"/>
      <c r="Q931" s="674"/>
    </row>
    <row r="932">
      <c r="A932" s="674"/>
      <c r="B932" s="674"/>
      <c r="C932" s="674"/>
      <c r="D932" s="674"/>
      <c r="E932" s="674"/>
      <c r="F932" s="683"/>
      <c r="G932" s="674"/>
      <c r="H932" s="674"/>
      <c r="I932" s="674"/>
      <c r="J932" s="674"/>
      <c r="K932" s="674"/>
      <c r="L932" s="674"/>
      <c r="M932" s="674"/>
      <c r="N932" s="669"/>
      <c r="O932" s="670"/>
      <c r="P932" s="674"/>
      <c r="Q932" s="674"/>
    </row>
    <row r="933">
      <c r="A933" s="674"/>
      <c r="B933" s="674"/>
      <c r="C933" s="674"/>
      <c r="D933" s="674"/>
      <c r="E933" s="674"/>
      <c r="F933" s="683"/>
      <c r="G933" s="674"/>
      <c r="H933" s="674"/>
      <c r="I933" s="674"/>
      <c r="J933" s="674"/>
      <c r="K933" s="674"/>
      <c r="L933" s="674"/>
      <c r="M933" s="674"/>
      <c r="N933" s="669"/>
      <c r="O933" s="670"/>
      <c r="P933" s="674"/>
      <c r="Q933" s="674"/>
    </row>
    <row r="934">
      <c r="A934" s="674"/>
      <c r="B934" s="674"/>
      <c r="C934" s="674"/>
      <c r="D934" s="674"/>
      <c r="E934" s="674"/>
      <c r="F934" s="683"/>
      <c r="G934" s="674"/>
      <c r="H934" s="674"/>
      <c r="I934" s="674"/>
      <c r="J934" s="674"/>
      <c r="K934" s="674"/>
      <c r="L934" s="674"/>
      <c r="M934" s="674"/>
      <c r="N934" s="669"/>
      <c r="O934" s="670"/>
      <c r="P934" s="674"/>
      <c r="Q934" s="674"/>
    </row>
    <row r="935">
      <c r="A935" s="674"/>
      <c r="B935" s="674"/>
      <c r="C935" s="674"/>
      <c r="D935" s="674"/>
      <c r="E935" s="674"/>
      <c r="F935" s="683"/>
      <c r="G935" s="674"/>
      <c r="H935" s="674"/>
      <c r="I935" s="674"/>
      <c r="J935" s="674"/>
      <c r="K935" s="674"/>
      <c r="L935" s="674"/>
      <c r="M935" s="674"/>
      <c r="N935" s="669"/>
      <c r="O935" s="670"/>
      <c r="P935" s="674"/>
      <c r="Q935" s="674"/>
    </row>
    <row r="936">
      <c r="A936" s="674"/>
      <c r="B936" s="674"/>
      <c r="C936" s="674"/>
      <c r="D936" s="674"/>
      <c r="E936" s="674"/>
      <c r="F936" s="683"/>
      <c r="G936" s="674"/>
      <c r="H936" s="674"/>
      <c r="I936" s="674"/>
      <c r="J936" s="674"/>
      <c r="K936" s="674"/>
      <c r="L936" s="674"/>
      <c r="M936" s="674"/>
      <c r="N936" s="669"/>
      <c r="O936" s="670"/>
      <c r="P936" s="674"/>
      <c r="Q936" s="674"/>
    </row>
    <row r="937">
      <c r="A937" s="674"/>
      <c r="B937" s="674"/>
      <c r="C937" s="674"/>
      <c r="D937" s="674"/>
      <c r="E937" s="674"/>
      <c r="F937" s="683"/>
      <c r="G937" s="674"/>
      <c r="H937" s="674"/>
      <c r="I937" s="674"/>
      <c r="J937" s="674"/>
      <c r="K937" s="674"/>
      <c r="L937" s="674"/>
      <c r="M937" s="674"/>
      <c r="N937" s="669"/>
      <c r="O937" s="670"/>
      <c r="P937" s="674"/>
      <c r="Q937" s="674"/>
    </row>
    <row r="938">
      <c r="A938" s="674"/>
      <c r="B938" s="674"/>
      <c r="C938" s="674"/>
      <c r="D938" s="674"/>
      <c r="E938" s="674"/>
      <c r="F938" s="683"/>
      <c r="G938" s="674"/>
      <c r="H938" s="674"/>
      <c r="I938" s="674"/>
      <c r="J938" s="674"/>
      <c r="K938" s="674"/>
      <c r="L938" s="674"/>
      <c r="M938" s="674"/>
      <c r="N938" s="669"/>
      <c r="O938" s="670"/>
      <c r="P938" s="674"/>
      <c r="Q938" s="674"/>
    </row>
    <row r="939">
      <c r="A939" s="674"/>
      <c r="B939" s="674"/>
      <c r="C939" s="674"/>
      <c r="D939" s="674"/>
      <c r="E939" s="674"/>
      <c r="F939" s="683"/>
      <c r="G939" s="674"/>
      <c r="H939" s="674"/>
      <c r="I939" s="674"/>
      <c r="J939" s="674"/>
      <c r="K939" s="674"/>
      <c r="L939" s="674"/>
      <c r="M939" s="674"/>
      <c r="N939" s="669"/>
      <c r="O939" s="670"/>
      <c r="P939" s="674"/>
      <c r="Q939" s="674"/>
    </row>
    <row r="940">
      <c r="A940" s="674"/>
      <c r="B940" s="674"/>
      <c r="C940" s="674"/>
      <c r="D940" s="674"/>
      <c r="E940" s="674"/>
      <c r="F940" s="683"/>
      <c r="G940" s="674"/>
      <c r="H940" s="674"/>
      <c r="I940" s="674"/>
      <c r="J940" s="674"/>
      <c r="K940" s="674"/>
      <c r="L940" s="674"/>
      <c r="M940" s="674"/>
      <c r="N940" s="669"/>
      <c r="O940" s="670"/>
      <c r="P940" s="674"/>
      <c r="Q940" s="674"/>
    </row>
    <row r="941">
      <c r="A941" s="674"/>
      <c r="B941" s="674"/>
      <c r="C941" s="674"/>
      <c r="D941" s="674"/>
      <c r="E941" s="674"/>
      <c r="F941" s="683"/>
      <c r="G941" s="674"/>
      <c r="H941" s="674"/>
      <c r="I941" s="674"/>
      <c r="J941" s="674"/>
      <c r="K941" s="674"/>
      <c r="L941" s="674"/>
      <c r="M941" s="674"/>
      <c r="N941" s="669"/>
      <c r="O941" s="670"/>
      <c r="P941" s="674"/>
      <c r="Q941" s="674"/>
    </row>
    <row r="942">
      <c r="A942" s="674"/>
      <c r="B942" s="674"/>
      <c r="C942" s="674"/>
      <c r="D942" s="674"/>
      <c r="E942" s="674"/>
      <c r="F942" s="683"/>
      <c r="G942" s="674"/>
      <c r="H942" s="674"/>
      <c r="I942" s="674"/>
      <c r="J942" s="674"/>
      <c r="K942" s="674"/>
      <c r="L942" s="674"/>
      <c r="M942" s="674"/>
      <c r="N942" s="669"/>
      <c r="O942" s="670"/>
      <c r="P942" s="674"/>
      <c r="Q942" s="674"/>
    </row>
    <row r="943">
      <c r="A943" s="674"/>
      <c r="B943" s="674"/>
      <c r="C943" s="674"/>
      <c r="D943" s="674"/>
      <c r="E943" s="674"/>
      <c r="F943" s="683"/>
      <c r="G943" s="674"/>
      <c r="H943" s="674"/>
      <c r="I943" s="674"/>
      <c r="J943" s="674"/>
      <c r="K943" s="674"/>
      <c r="L943" s="674"/>
      <c r="M943" s="674"/>
      <c r="N943" s="669"/>
      <c r="O943" s="670"/>
      <c r="P943" s="674"/>
      <c r="Q943" s="674"/>
    </row>
    <row r="944">
      <c r="A944" s="674"/>
      <c r="B944" s="674"/>
      <c r="C944" s="674"/>
      <c r="D944" s="674"/>
      <c r="E944" s="674"/>
      <c r="F944" s="683"/>
      <c r="G944" s="674"/>
      <c r="H944" s="674"/>
      <c r="I944" s="674"/>
      <c r="J944" s="674"/>
      <c r="K944" s="674"/>
      <c r="L944" s="674"/>
      <c r="M944" s="674"/>
      <c r="N944" s="669"/>
      <c r="O944" s="670"/>
      <c r="P944" s="674"/>
      <c r="Q944" s="674"/>
    </row>
    <row r="945">
      <c r="A945" s="674"/>
      <c r="B945" s="674"/>
      <c r="C945" s="674"/>
      <c r="D945" s="674"/>
      <c r="E945" s="674"/>
      <c r="F945" s="683"/>
      <c r="G945" s="674"/>
      <c r="H945" s="674"/>
      <c r="I945" s="674"/>
      <c r="J945" s="674"/>
      <c r="K945" s="674"/>
      <c r="L945" s="674"/>
      <c r="M945" s="674"/>
      <c r="N945" s="669"/>
      <c r="O945" s="670"/>
      <c r="P945" s="674"/>
      <c r="Q945" s="674"/>
    </row>
    <row r="946">
      <c r="A946" s="674"/>
      <c r="B946" s="674"/>
      <c r="C946" s="674"/>
      <c r="D946" s="674"/>
      <c r="E946" s="674"/>
      <c r="F946" s="683"/>
      <c r="G946" s="674"/>
      <c r="H946" s="674"/>
      <c r="I946" s="674"/>
      <c r="J946" s="674"/>
      <c r="K946" s="674"/>
      <c r="L946" s="674"/>
      <c r="M946" s="674"/>
      <c r="N946" s="669"/>
      <c r="O946" s="670"/>
      <c r="P946" s="674"/>
      <c r="Q946" s="674"/>
    </row>
    <row r="947">
      <c r="A947" s="674"/>
      <c r="B947" s="674"/>
      <c r="C947" s="674"/>
      <c r="D947" s="674"/>
      <c r="E947" s="674"/>
      <c r="F947" s="683"/>
      <c r="G947" s="674"/>
      <c r="H947" s="674"/>
      <c r="I947" s="674"/>
      <c r="J947" s="674"/>
      <c r="K947" s="674"/>
      <c r="L947" s="674"/>
      <c r="M947" s="674"/>
      <c r="N947" s="669"/>
      <c r="O947" s="670"/>
      <c r="P947" s="674"/>
      <c r="Q947" s="674"/>
    </row>
    <row r="948">
      <c r="A948" s="674"/>
      <c r="B948" s="674"/>
      <c r="C948" s="674"/>
      <c r="D948" s="674"/>
      <c r="E948" s="674"/>
      <c r="F948" s="683"/>
      <c r="G948" s="674"/>
      <c r="H948" s="674"/>
      <c r="I948" s="674"/>
      <c r="J948" s="674"/>
      <c r="K948" s="674"/>
      <c r="L948" s="674"/>
      <c r="M948" s="674"/>
      <c r="N948" s="669"/>
      <c r="O948" s="670"/>
      <c r="P948" s="674"/>
      <c r="Q948" s="674"/>
    </row>
    <row r="949">
      <c r="A949" s="674"/>
      <c r="B949" s="674"/>
      <c r="C949" s="674"/>
      <c r="D949" s="674"/>
      <c r="E949" s="674"/>
      <c r="F949" s="683"/>
      <c r="G949" s="674"/>
      <c r="H949" s="674"/>
      <c r="I949" s="674"/>
      <c r="J949" s="674"/>
      <c r="K949" s="674"/>
      <c r="L949" s="674"/>
      <c r="M949" s="674"/>
      <c r="N949" s="669"/>
      <c r="O949" s="670"/>
      <c r="P949" s="674"/>
      <c r="Q949" s="674"/>
    </row>
    <row r="950">
      <c r="A950" s="674"/>
      <c r="B950" s="674"/>
      <c r="C950" s="674"/>
      <c r="D950" s="674"/>
      <c r="E950" s="674"/>
      <c r="F950" s="683"/>
      <c r="G950" s="674"/>
      <c r="H950" s="674"/>
      <c r="I950" s="674"/>
      <c r="J950" s="674"/>
      <c r="K950" s="674"/>
      <c r="L950" s="674"/>
      <c r="M950" s="674"/>
      <c r="N950" s="669"/>
      <c r="O950" s="670"/>
      <c r="P950" s="674"/>
      <c r="Q950" s="674"/>
    </row>
    <row r="951">
      <c r="A951" s="674"/>
      <c r="B951" s="674"/>
      <c r="C951" s="674"/>
      <c r="D951" s="674"/>
      <c r="E951" s="674"/>
      <c r="F951" s="683"/>
      <c r="G951" s="674"/>
      <c r="H951" s="674"/>
      <c r="I951" s="674"/>
      <c r="J951" s="674"/>
      <c r="K951" s="674"/>
      <c r="L951" s="674"/>
      <c r="M951" s="674"/>
      <c r="N951" s="669"/>
      <c r="O951" s="670"/>
      <c r="P951" s="674"/>
      <c r="Q951" s="674"/>
    </row>
    <row r="952">
      <c r="A952" s="674"/>
      <c r="B952" s="674"/>
      <c r="C952" s="674"/>
      <c r="D952" s="674"/>
      <c r="E952" s="674"/>
      <c r="F952" s="683"/>
      <c r="G952" s="674"/>
      <c r="H952" s="674"/>
      <c r="I952" s="674"/>
      <c r="J952" s="674"/>
      <c r="K952" s="674"/>
      <c r="L952" s="674"/>
      <c r="M952" s="674"/>
      <c r="N952" s="669"/>
      <c r="O952" s="670"/>
      <c r="P952" s="674"/>
      <c r="Q952" s="674"/>
    </row>
    <row r="953">
      <c r="A953" s="674"/>
      <c r="B953" s="674"/>
      <c r="C953" s="674"/>
      <c r="D953" s="674"/>
      <c r="E953" s="674"/>
      <c r="F953" s="683"/>
      <c r="G953" s="674"/>
      <c r="H953" s="674"/>
      <c r="I953" s="674"/>
      <c r="J953" s="674"/>
      <c r="K953" s="674"/>
      <c r="L953" s="674"/>
      <c r="M953" s="674"/>
      <c r="N953" s="669"/>
      <c r="O953" s="670"/>
      <c r="P953" s="674"/>
      <c r="Q953" s="674"/>
    </row>
    <row r="954">
      <c r="A954" s="674"/>
      <c r="B954" s="674"/>
      <c r="C954" s="674"/>
      <c r="D954" s="674"/>
      <c r="E954" s="674"/>
      <c r="F954" s="683"/>
      <c r="G954" s="674"/>
      <c r="H954" s="674"/>
      <c r="I954" s="674"/>
      <c r="J954" s="674"/>
      <c r="K954" s="674"/>
      <c r="L954" s="674"/>
      <c r="M954" s="674"/>
      <c r="N954" s="669"/>
      <c r="O954" s="670"/>
      <c r="P954" s="674"/>
      <c r="Q954" s="674"/>
    </row>
    <row r="955">
      <c r="A955" s="674"/>
      <c r="B955" s="674"/>
      <c r="C955" s="674"/>
      <c r="D955" s="674"/>
      <c r="E955" s="674"/>
      <c r="F955" s="683"/>
      <c r="G955" s="674"/>
      <c r="H955" s="674"/>
      <c r="I955" s="674"/>
      <c r="J955" s="674"/>
      <c r="K955" s="674"/>
      <c r="L955" s="674"/>
      <c r="M955" s="674"/>
      <c r="N955" s="669"/>
      <c r="O955" s="670"/>
      <c r="P955" s="674"/>
      <c r="Q955" s="674"/>
    </row>
    <row r="956">
      <c r="A956" s="674"/>
      <c r="B956" s="674"/>
      <c r="C956" s="674"/>
      <c r="D956" s="674"/>
      <c r="E956" s="674"/>
      <c r="F956" s="683"/>
      <c r="G956" s="674"/>
      <c r="H956" s="674"/>
      <c r="I956" s="674"/>
      <c r="J956" s="674"/>
      <c r="K956" s="674"/>
      <c r="L956" s="674"/>
      <c r="M956" s="674"/>
      <c r="N956" s="669"/>
      <c r="O956" s="670"/>
      <c r="P956" s="674"/>
      <c r="Q956" s="674"/>
    </row>
    <row r="957">
      <c r="A957" s="674"/>
      <c r="B957" s="674"/>
      <c r="C957" s="674"/>
      <c r="D957" s="674"/>
      <c r="E957" s="674"/>
      <c r="F957" s="683"/>
      <c r="G957" s="674"/>
      <c r="H957" s="674"/>
      <c r="I957" s="674"/>
      <c r="J957" s="674"/>
      <c r="K957" s="674"/>
      <c r="L957" s="674"/>
      <c r="M957" s="674"/>
      <c r="N957" s="669"/>
      <c r="O957" s="670"/>
      <c r="P957" s="674"/>
      <c r="Q957" s="674"/>
    </row>
    <row r="958">
      <c r="A958" s="674"/>
      <c r="B958" s="674"/>
      <c r="C958" s="674"/>
      <c r="D958" s="674"/>
      <c r="E958" s="674"/>
      <c r="F958" s="683"/>
      <c r="G958" s="674"/>
      <c r="H958" s="674"/>
      <c r="I958" s="674"/>
      <c r="J958" s="674"/>
      <c r="K958" s="674"/>
      <c r="L958" s="674"/>
      <c r="M958" s="674"/>
      <c r="N958" s="669"/>
      <c r="O958" s="670"/>
      <c r="P958" s="674"/>
      <c r="Q958" s="674"/>
    </row>
    <row r="959">
      <c r="A959" s="674"/>
      <c r="B959" s="674"/>
      <c r="C959" s="674"/>
      <c r="D959" s="674"/>
      <c r="E959" s="674"/>
      <c r="F959" s="683"/>
      <c r="G959" s="674"/>
      <c r="H959" s="674"/>
      <c r="I959" s="674"/>
      <c r="J959" s="674"/>
      <c r="K959" s="674"/>
      <c r="L959" s="674"/>
      <c r="M959" s="674"/>
      <c r="N959" s="669"/>
      <c r="O959" s="670"/>
      <c r="P959" s="674"/>
      <c r="Q959" s="674"/>
    </row>
    <row r="960">
      <c r="A960" s="674"/>
      <c r="B960" s="674"/>
      <c r="C960" s="674"/>
      <c r="D960" s="674"/>
      <c r="E960" s="674"/>
      <c r="F960" s="683"/>
      <c r="G960" s="674"/>
      <c r="H960" s="674"/>
      <c r="I960" s="674"/>
      <c r="J960" s="674"/>
      <c r="K960" s="674"/>
      <c r="L960" s="674"/>
      <c r="M960" s="674"/>
      <c r="N960" s="669"/>
      <c r="O960" s="670"/>
      <c r="P960" s="674"/>
      <c r="Q960" s="674"/>
    </row>
    <row r="961">
      <c r="A961" s="674"/>
      <c r="B961" s="674"/>
      <c r="C961" s="674"/>
      <c r="D961" s="674"/>
      <c r="E961" s="674"/>
      <c r="F961" s="683"/>
      <c r="G961" s="674"/>
      <c r="H961" s="674"/>
      <c r="I961" s="674"/>
      <c r="J961" s="674"/>
      <c r="K961" s="674"/>
      <c r="L961" s="674"/>
      <c r="M961" s="674"/>
      <c r="N961" s="669"/>
      <c r="O961" s="670"/>
      <c r="P961" s="674"/>
      <c r="Q961" s="674"/>
    </row>
    <row r="962">
      <c r="A962" s="674"/>
      <c r="B962" s="674"/>
      <c r="C962" s="674"/>
      <c r="D962" s="674"/>
      <c r="E962" s="674"/>
      <c r="F962" s="683"/>
      <c r="G962" s="674"/>
      <c r="H962" s="674"/>
      <c r="I962" s="674"/>
      <c r="J962" s="674"/>
      <c r="K962" s="674"/>
      <c r="L962" s="674"/>
      <c r="M962" s="674"/>
      <c r="N962" s="669"/>
      <c r="O962" s="670"/>
      <c r="P962" s="674"/>
      <c r="Q962" s="674"/>
    </row>
    <row r="963">
      <c r="A963" s="674"/>
      <c r="B963" s="674"/>
      <c r="C963" s="674"/>
      <c r="D963" s="674"/>
      <c r="E963" s="674"/>
      <c r="F963" s="683"/>
      <c r="G963" s="674"/>
      <c r="H963" s="674"/>
      <c r="I963" s="674"/>
      <c r="J963" s="674"/>
      <c r="K963" s="674"/>
      <c r="L963" s="674"/>
      <c r="M963" s="674"/>
      <c r="N963" s="669"/>
      <c r="O963" s="670"/>
      <c r="P963" s="674"/>
      <c r="Q963" s="674"/>
    </row>
    <row r="964">
      <c r="A964" s="674"/>
      <c r="B964" s="674"/>
      <c r="C964" s="674"/>
      <c r="D964" s="674"/>
      <c r="E964" s="674"/>
      <c r="F964" s="683"/>
      <c r="G964" s="674"/>
      <c r="H964" s="674"/>
      <c r="I964" s="674"/>
      <c r="J964" s="674"/>
      <c r="K964" s="674"/>
      <c r="L964" s="674"/>
      <c r="M964" s="674"/>
      <c r="N964" s="669"/>
      <c r="O964" s="670"/>
      <c r="P964" s="674"/>
      <c r="Q964" s="674"/>
    </row>
    <row r="965">
      <c r="A965" s="674"/>
      <c r="B965" s="674"/>
      <c r="C965" s="674"/>
      <c r="D965" s="674"/>
      <c r="E965" s="674"/>
      <c r="F965" s="683"/>
      <c r="G965" s="674"/>
      <c r="H965" s="674"/>
      <c r="I965" s="674"/>
      <c r="J965" s="674"/>
      <c r="K965" s="674"/>
      <c r="L965" s="674"/>
      <c r="M965" s="674"/>
      <c r="N965" s="669"/>
      <c r="O965" s="670"/>
      <c r="P965" s="674"/>
      <c r="Q965" s="674"/>
    </row>
    <row r="966">
      <c r="A966" s="674"/>
      <c r="B966" s="674"/>
      <c r="C966" s="674"/>
      <c r="D966" s="674"/>
      <c r="E966" s="674"/>
      <c r="F966" s="683"/>
      <c r="G966" s="674"/>
      <c r="H966" s="674"/>
      <c r="I966" s="674"/>
      <c r="J966" s="674"/>
      <c r="K966" s="674"/>
      <c r="L966" s="674"/>
      <c r="M966" s="674"/>
      <c r="N966" s="669"/>
      <c r="O966" s="670"/>
      <c r="P966" s="674"/>
      <c r="Q966" s="674"/>
    </row>
    <row r="967">
      <c r="A967" s="674"/>
      <c r="B967" s="674"/>
      <c r="C967" s="674"/>
      <c r="D967" s="674"/>
      <c r="E967" s="674"/>
      <c r="F967" s="683"/>
      <c r="G967" s="674"/>
      <c r="H967" s="674"/>
      <c r="I967" s="674"/>
      <c r="J967" s="674"/>
      <c r="K967" s="674"/>
      <c r="L967" s="674"/>
      <c r="M967" s="674"/>
      <c r="N967" s="669"/>
      <c r="O967" s="670"/>
      <c r="P967" s="674"/>
      <c r="Q967" s="674"/>
    </row>
    <row r="968">
      <c r="A968" s="674"/>
      <c r="B968" s="674"/>
      <c r="C968" s="674"/>
      <c r="D968" s="674"/>
      <c r="E968" s="674"/>
      <c r="F968" s="683"/>
      <c r="G968" s="674"/>
      <c r="H968" s="674"/>
      <c r="I968" s="674"/>
      <c r="J968" s="674"/>
      <c r="K968" s="674"/>
      <c r="L968" s="674"/>
      <c r="M968" s="674"/>
      <c r="N968" s="669"/>
      <c r="O968" s="670"/>
      <c r="P968" s="674"/>
      <c r="Q968" s="674"/>
    </row>
    <row r="969">
      <c r="A969" s="674"/>
      <c r="B969" s="674"/>
      <c r="C969" s="674"/>
      <c r="D969" s="674"/>
      <c r="E969" s="674"/>
      <c r="F969" s="683"/>
      <c r="G969" s="674"/>
      <c r="H969" s="674"/>
      <c r="I969" s="674"/>
      <c r="J969" s="674"/>
      <c r="K969" s="674"/>
      <c r="L969" s="674"/>
      <c r="M969" s="674"/>
      <c r="N969" s="669"/>
      <c r="O969" s="670"/>
      <c r="P969" s="674"/>
      <c r="Q969" s="674"/>
    </row>
    <row r="970">
      <c r="A970" s="674"/>
      <c r="B970" s="674"/>
      <c r="C970" s="674"/>
      <c r="D970" s="674"/>
      <c r="E970" s="674"/>
      <c r="F970" s="683"/>
      <c r="G970" s="674"/>
      <c r="H970" s="674"/>
      <c r="I970" s="674"/>
      <c r="J970" s="674"/>
      <c r="K970" s="674"/>
      <c r="L970" s="674"/>
      <c r="M970" s="674"/>
      <c r="N970" s="669"/>
      <c r="O970" s="670"/>
      <c r="P970" s="674"/>
      <c r="Q970" s="674"/>
    </row>
    <row r="971">
      <c r="A971" s="674"/>
      <c r="B971" s="674"/>
      <c r="C971" s="674"/>
      <c r="D971" s="674"/>
      <c r="E971" s="674"/>
      <c r="F971" s="683"/>
      <c r="G971" s="674"/>
      <c r="H971" s="674"/>
      <c r="I971" s="674"/>
      <c r="J971" s="674"/>
      <c r="K971" s="674"/>
      <c r="L971" s="674"/>
      <c r="M971" s="674"/>
      <c r="N971" s="669"/>
      <c r="O971" s="670"/>
      <c r="P971" s="674"/>
      <c r="Q971" s="674"/>
    </row>
    <row r="972">
      <c r="A972" s="674"/>
      <c r="B972" s="674"/>
      <c r="C972" s="674"/>
      <c r="D972" s="674"/>
      <c r="E972" s="674"/>
      <c r="F972" s="683"/>
      <c r="G972" s="674"/>
      <c r="H972" s="674"/>
      <c r="I972" s="674"/>
      <c r="J972" s="674"/>
      <c r="K972" s="674"/>
      <c r="L972" s="674"/>
      <c r="M972" s="674"/>
      <c r="N972" s="669"/>
      <c r="O972" s="670"/>
      <c r="P972" s="674"/>
      <c r="Q972" s="674"/>
    </row>
    <row r="973">
      <c r="A973" s="674"/>
      <c r="B973" s="674"/>
      <c r="C973" s="674"/>
      <c r="D973" s="674"/>
      <c r="E973" s="674"/>
      <c r="F973" s="683"/>
      <c r="G973" s="674"/>
      <c r="H973" s="674"/>
      <c r="I973" s="674"/>
      <c r="J973" s="674"/>
      <c r="K973" s="674"/>
      <c r="L973" s="674"/>
      <c r="M973" s="674"/>
      <c r="N973" s="669"/>
      <c r="O973" s="670"/>
      <c r="P973" s="674"/>
      <c r="Q973" s="674"/>
    </row>
    <row r="974">
      <c r="A974" s="674"/>
      <c r="B974" s="674"/>
      <c r="C974" s="674"/>
      <c r="D974" s="674"/>
      <c r="E974" s="674"/>
      <c r="F974" s="683"/>
      <c r="G974" s="674"/>
      <c r="H974" s="674"/>
      <c r="I974" s="674"/>
      <c r="J974" s="674"/>
      <c r="K974" s="674"/>
      <c r="L974" s="674"/>
      <c r="M974" s="674"/>
      <c r="N974" s="669"/>
      <c r="O974" s="670"/>
      <c r="P974" s="674"/>
      <c r="Q974" s="674"/>
    </row>
    <row r="975">
      <c r="A975" s="674"/>
      <c r="B975" s="674"/>
      <c r="C975" s="674"/>
      <c r="D975" s="674"/>
      <c r="E975" s="674"/>
      <c r="F975" s="683"/>
      <c r="G975" s="674"/>
      <c r="H975" s="674"/>
      <c r="I975" s="674"/>
      <c r="J975" s="674"/>
      <c r="K975" s="674"/>
      <c r="L975" s="674"/>
      <c r="M975" s="674"/>
      <c r="N975" s="669"/>
      <c r="O975" s="670"/>
      <c r="P975" s="674"/>
      <c r="Q975" s="674"/>
    </row>
    <row r="976">
      <c r="A976" s="674"/>
      <c r="B976" s="674"/>
      <c r="C976" s="674"/>
      <c r="D976" s="674"/>
      <c r="E976" s="674"/>
      <c r="F976" s="683"/>
      <c r="G976" s="674"/>
      <c r="H976" s="674"/>
      <c r="I976" s="674"/>
      <c r="J976" s="674"/>
      <c r="K976" s="674"/>
      <c r="L976" s="674"/>
      <c r="M976" s="674"/>
      <c r="N976" s="669"/>
      <c r="O976" s="670"/>
      <c r="P976" s="674"/>
      <c r="Q976" s="674"/>
    </row>
    <row r="977">
      <c r="A977" s="674"/>
      <c r="B977" s="674"/>
      <c r="C977" s="674"/>
      <c r="D977" s="674"/>
      <c r="E977" s="674"/>
      <c r="F977" s="683"/>
      <c r="G977" s="674"/>
      <c r="H977" s="674"/>
      <c r="I977" s="674"/>
      <c r="J977" s="674"/>
      <c r="K977" s="674"/>
      <c r="L977" s="674"/>
      <c r="M977" s="674"/>
      <c r="N977" s="669"/>
      <c r="O977" s="670"/>
      <c r="P977" s="674"/>
      <c r="Q977" s="674"/>
    </row>
    <row r="978">
      <c r="A978" s="674"/>
      <c r="B978" s="674"/>
      <c r="C978" s="674"/>
      <c r="D978" s="674"/>
      <c r="E978" s="674"/>
      <c r="F978" s="683"/>
      <c r="G978" s="674"/>
      <c r="H978" s="674"/>
      <c r="I978" s="674"/>
      <c r="J978" s="674"/>
      <c r="K978" s="674"/>
      <c r="L978" s="674"/>
      <c r="M978" s="674"/>
      <c r="N978" s="669"/>
      <c r="O978" s="670"/>
      <c r="P978" s="674"/>
      <c r="Q978" s="674"/>
    </row>
    <row r="979">
      <c r="A979" s="674"/>
      <c r="B979" s="674"/>
      <c r="C979" s="674"/>
      <c r="D979" s="674"/>
      <c r="E979" s="674"/>
      <c r="F979" s="683"/>
      <c r="G979" s="674"/>
      <c r="H979" s="674"/>
      <c r="I979" s="674"/>
      <c r="J979" s="674"/>
      <c r="K979" s="674"/>
      <c r="L979" s="674"/>
      <c r="M979" s="674"/>
      <c r="N979" s="669"/>
      <c r="O979" s="670"/>
      <c r="P979" s="674"/>
      <c r="Q979" s="674"/>
    </row>
    <row r="980">
      <c r="A980" s="674"/>
      <c r="B980" s="674"/>
      <c r="C980" s="674"/>
      <c r="D980" s="674"/>
      <c r="E980" s="674"/>
      <c r="F980" s="683"/>
      <c r="G980" s="674"/>
      <c r="H980" s="674"/>
      <c r="I980" s="674"/>
      <c r="J980" s="674"/>
      <c r="K980" s="674"/>
      <c r="L980" s="674"/>
      <c r="M980" s="674"/>
      <c r="N980" s="669"/>
      <c r="O980" s="670"/>
      <c r="P980" s="674"/>
      <c r="Q980" s="674"/>
    </row>
    <row r="981">
      <c r="A981" s="674"/>
      <c r="B981" s="674"/>
      <c r="C981" s="674"/>
      <c r="D981" s="674"/>
      <c r="E981" s="674"/>
      <c r="F981" s="683"/>
      <c r="G981" s="674"/>
      <c r="H981" s="674"/>
      <c r="I981" s="674"/>
      <c r="J981" s="674"/>
      <c r="K981" s="674"/>
      <c r="L981" s="674"/>
      <c r="M981" s="674"/>
      <c r="N981" s="669"/>
      <c r="O981" s="670"/>
      <c r="P981" s="674"/>
      <c r="Q981" s="674"/>
    </row>
    <row r="982">
      <c r="A982" s="674"/>
      <c r="B982" s="674"/>
      <c r="C982" s="674"/>
      <c r="D982" s="674"/>
      <c r="E982" s="674"/>
      <c r="F982" s="683"/>
      <c r="G982" s="674"/>
      <c r="H982" s="674"/>
      <c r="I982" s="674"/>
      <c r="J982" s="674"/>
      <c r="K982" s="674"/>
      <c r="L982" s="674"/>
      <c r="M982" s="674"/>
      <c r="N982" s="669"/>
      <c r="O982" s="670"/>
      <c r="P982" s="674"/>
      <c r="Q982" s="674"/>
    </row>
    <row r="983">
      <c r="A983" s="674"/>
      <c r="B983" s="674"/>
      <c r="C983" s="674"/>
      <c r="D983" s="674"/>
      <c r="E983" s="674"/>
      <c r="F983" s="683"/>
      <c r="G983" s="674"/>
      <c r="H983" s="674"/>
      <c r="I983" s="674"/>
      <c r="J983" s="674"/>
      <c r="K983" s="674"/>
      <c r="L983" s="674"/>
      <c r="M983" s="674"/>
      <c r="N983" s="669"/>
      <c r="O983" s="670"/>
      <c r="P983" s="674"/>
      <c r="Q983" s="674"/>
    </row>
    <row r="984">
      <c r="A984" s="674"/>
      <c r="B984" s="674"/>
      <c r="C984" s="674"/>
      <c r="D984" s="674"/>
      <c r="E984" s="674"/>
      <c r="F984" s="683"/>
      <c r="G984" s="674"/>
      <c r="H984" s="674"/>
      <c r="I984" s="674"/>
      <c r="J984" s="674"/>
      <c r="K984" s="674"/>
      <c r="L984" s="674"/>
      <c r="M984" s="674"/>
      <c r="N984" s="669"/>
      <c r="O984" s="670"/>
      <c r="P984" s="674"/>
      <c r="Q984" s="674"/>
    </row>
    <row r="985">
      <c r="A985" s="674"/>
      <c r="B985" s="674"/>
      <c r="C985" s="674"/>
      <c r="D985" s="674"/>
      <c r="E985" s="674"/>
      <c r="F985" s="683"/>
      <c r="G985" s="674"/>
      <c r="H985" s="674"/>
      <c r="I985" s="674"/>
      <c r="J985" s="674"/>
      <c r="K985" s="674"/>
      <c r="L985" s="674"/>
      <c r="M985" s="674"/>
      <c r="N985" s="669"/>
      <c r="O985" s="670"/>
      <c r="P985" s="674"/>
      <c r="Q985" s="674"/>
    </row>
    <row r="986">
      <c r="A986" s="674"/>
      <c r="B986" s="674"/>
      <c r="C986" s="674"/>
      <c r="D986" s="674"/>
      <c r="E986" s="674"/>
      <c r="F986" s="683"/>
      <c r="G986" s="674"/>
      <c r="H986" s="674"/>
      <c r="I986" s="674"/>
      <c r="J986" s="674"/>
      <c r="K986" s="674"/>
      <c r="L986" s="674"/>
      <c r="M986" s="674"/>
      <c r="N986" s="669"/>
      <c r="O986" s="670"/>
      <c r="P986" s="674"/>
      <c r="Q986" s="674"/>
    </row>
    <row r="987">
      <c r="A987" s="674"/>
      <c r="B987" s="674"/>
      <c r="C987" s="674"/>
      <c r="D987" s="674"/>
      <c r="E987" s="674"/>
      <c r="F987" s="683"/>
      <c r="G987" s="674"/>
      <c r="H987" s="674"/>
      <c r="I987" s="674"/>
      <c r="J987" s="674"/>
      <c r="K987" s="674"/>
      <c r="L987" s="674"/>
      <c r="M987" s="674"/>
      <c r="N987" s="669"/>
      <c r="O987" s="670"/>
      <c r="P987" s="674"/>
      <c r="Q987" s="674"/>
    </row>
    <row r="988">
      <c r="A988" s="674"/>
      <c r="B988" s="674"/>
      <c r="C988" s="674"/>
      <c r="D988" s="674"/>
      <c r="E988" s="674"/>
      <c r="F988" s="683"/>
      <c r="G988" s="674"/>
      <c r="H988" s="674"/>
      <c r="I988" s="674"/>
      <c r="J988" s="674"/>
      <c r="K988" s="674"/>
      <c r="L988" s="674"/>
      <c r="M988" s="674"/>
      <c r="N988" s="669"/>
      <c r="O988" s="670"/>
      <c r="P988" s="674"/>
      <c r="Q988" s="674"/>
    </row>
    <row r="989">
      <c r="A989" s="674"/>
      <c r="B989" s="674"/>
      <c r="C989" s="674"/>
      <c r="D989" s="674"/>
      <c r="E989" s="674"/>
      <c r="F989" s="683"/>
      <c r="G989" s="674"/>
      <c r="H989" s="674"/>
      <c r="I989" s="674"/>
      <c r="J989" s="674"/>
      <c r="K989" s="674"/>
      <c r="L989" s="674"/>
      <c r="M989" s="674"/>
      <c r="N989" s="669"/>
      <c r="O989" s="670"/>
      <c r="P989" s="674"/>
      <c r="Q989" s="674"/>
    </row>
    <row r="990">
      <c r="A990" s="674"/>
      <c r="B990" s="674"/>
      <c r="C990" s="674"/>
      <c r="D990" s="674"/>
      <c r="E990" s="674"/>
      <c r="F990" s="683"/>
      <c r="G990" s="674"/>
      <c r="H990" s="674"/>
      <c r="I990" s="674"/>
      <c r="J990" s="674"/>
      <c r="K990" s="674"/>
      <c r="L990" s="674"/>
      <c r="M990" s="674"/>
      <c r="N990" s="669"/>
      <c r="O990" s="670"/>
      <c r="P990" s="674"/>
      <c r="Q990" s="674"/>
    </row>
    <row r="991">
      <c r="A991" s="674"/>
      <c r="B991" s="674"/>
      <c r="C991" s="674"/>
      <c r="D991" s="674"/>
      <c r="E991" s="674"/>
      <c r="F991" s="683"/>
      <c r="G991" s="674"/>
      <c r="H991" s="674"/>
      <c r="I991" s="674"/>
      <c r="J991" s="674"/>
      <c r="K991" s="674"/>
      <c r="L991" s="674"/>
      <c r="M991" s="674"/>
      <c r="N991" s="669"/>
      <c r="O991" s="670"/>
      <c r="P991" s="674"/>
      <c r="Q991" s="674"/>
    </row>
    <row r="992">
      <c r="A992" s="674"/>
      <c r="B992" s="674"/>
      <c r="C992" s="674"/>
      <c r="D992" s="674"/>
      <c r="E992" s="674"/>
      <c r="F992" s="683"/>
      <c r="G992" s="674"/>
      <c r="H992" s="674"/>
      <c r="I992" s="674"/>
      <c r="J992" s="674"/>
      <c r="K992" s="674"/>
      <c r="L992" s="674"/>
      <c r="M992" s="674"/>
      <c r="N992" s="669"/>
      <c r="O992" s="670"/>
      <c r="P992" s="674"/>
      <c r="Q992" s="674"/>
    </row>
    <row r="993">
      <c r="A993" s="674"/>
      <c r="B993" s="674"/>
      <c r="C993" s="674"/>
      <c r="D993" s="674"/>
      <c r="E993" s="674"/>
      <c r="F993" s="683"/>
      <c r="G993" s="674"/>
      <c r="H993" s="674"/>
      <c r="I993" s="674"/>
      <c r="J993" s="674"/>
      <c r="K993" s="674"/>
      <c r="L993" s="674"/>
      <c r="M993" s="674"/>
      <c r="N993" s="669"/>
      <c r="O993" s="670"/>
      <c r="P993" s="674"/>
      <c r="Q993" s="674"/>
    </row>
    <row r="994">
      <c r="A994" s="674"/>
      <c r="B994" s="674"/>
      <c r="C994" s="674"/>
      <c r="D994" s="674"/>
      <c r="E994" s="674"/>
      <c r="F994" s="683"/>
      <c r="G994" s="674"/>
      <c r="H994" s="674"/>
      <c r="I994" s="674"/>
      <c r="J994" s="674"/>
      <c r="K994" s="674"/>
      <c r="L994" s="674"/>
      <c r="M994" s="674"/>
      <c r="N994" s="669"/>
      <c r="O994" s="670"/>
      <c r="P994" s="674"/>
      <c r="Q994" s="674"/>
    </row>
    <row r="995">
      <c r="A995" s="674"/>
      <c r="B995" s="674"/>
      <c r="C995" s="674"/>
      <c r="D995" s="674"/>
      <c r="E995" s="674"/>
      <c r="F995" s="683"/>
      <c r="G995" s="674"/>
      <c r="H995" s="674"/>
      <c r="I995" s="674"/>
      <c r="J995" s="674"/>
      <c r="K995" s="674"/>
      <c r="L995" s="674"/>
      <c r="M995" s="674"/>
      <c r="N995" s="669"/>
      <c r="O995" s="670"/>
      <c r="P995" s="674"/>
      <c r="Q995" s="674"/>
    </row>
    <row r="996">
      <c r="A996" s="674"/>
      <c r="B996" s="674"/>
      <c r="C996" s="674"/>
      <c r="D996" s="674"/>
      <c r="E996" s="674"/>
      <c r="F996" s="683"/>
      <c r="G996" s="674"/>
      <c r="H996" s="674"/>
      <c r="I996" s="674"/>
      <c r="J996" s="674"/>
      <c r="K996" s="674"/>
      <c r="L996" s="674"/>
      <c r="M996" s="674"/>
      <c r="N996" s="669"/>
      <c r="O996" s="670"/>
      <c r="P996" s="674"/>
      <c r="Q996" s="674"/>
    </row>
    <row r="997">
      <c r="A997" s="674"/>
      <c r="B997" s="674"/>
      <c r="C997" s="674"/>
      <c r="D997" s="674"/>
      <c r="E997" s="674"/>
      <c r="F997" s="683"/>
      <c r="G997" s="674"/>
      <c r="H997" s="674"/>
      <c r="I997" s="674"/>
      <c r="J997" s="674"/>
      <c r="K997" s="674"/>
      <c r="L997" s="674"/>
      <c r="M997" s="674"/>
      <c r="N997" s="669"/>
      <c r="O997" s="670"/>
      <c r="P997" s="674"/>
      <c r="Q997" s="674"/>
    </row>
    <row r="998">
      <c r="A998" s="674"/>
      <c r="B998" s="674"/>
      <c r="C998" s="674"/>
      <c r="D998" s="674"/>
      <c r="E998" s="674"/>
      <c r="F998" s="683"/>
      <c r="G998" s="674"/>
      <c r="H998" s="674"/>
      <c r="I998" s="674"/>
      <c r="J998" s="674"/>
      <c r="K998" s="674"/>
      <c r="L998" s="674"/>
      <c r="M998" s="674"/>
      <c r="N998" s="669"/>
      <c r="O998" s="670"/>
      <c r="P998" s="674"/>
      <c r="Q998" s="674"/>
    </row>
    <row r="999">
      <c r="A999" s="674"/>
      <c r="B999" s="674"/>
      <c r="C999" s="674"/>
      <c r="D999" s="674"/>
      <c r="E999" s="674"/>
      <c r="F999" s="683"/>
      <c r="G999" s="674"/>
      <c r="H999" s="674"/>
      <c r="I999" s="674"/>
      <c r="J999" s="674"/>
      <c r="K999" s="674"/>
      <c r="L999" s="674"/>
      <c r="M999" s="674"/>
      <c r="N999" s="669"/>
      <c r="O999" s="670"/>
      <c r="P999" s="674"/>
      <c r="Q999" s="674"/>
    </row>
    <row r="1000">
      <c r="A1000" s="674"/>
      <c r="B1000" s="674"/>
      <c r="C1000" s="674"/>
      <c r="D1000" s="674"/>
      <c r="E1000" s="674"/>
      <c r="F1000" s="683"/>
      <c r="G1000" s="674"/>
      <c r="H1000" s="674"/>
      <c r="I1000" s="674"/>
      <c r="J1000" s="674"/>
      <c r="K1000" s="674"/>
      <c r="L1000" s="674"/>
      <c r="M1000" s="674"/>
      <c r="N1000" s="669"/>
      <c r="O1000" s="670"/>
      <c r="P1000" s="674"/>
      <c r="Q1000" s="674"/>
    </row>
  </sheetData>
  <mergeCells count="2">
    <mergeCell ref="A1:B1"/>
    <mergeCell ref="P1:Q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7.29" defaultRowHeight="15.0"/>
  <cols>
    <col customWidth="1" min="1" max="1" width="21.71"/>
    <col customWidth="1" min="2" max="15" width="11.43"/>
    <col customWidth="1" min="16" max="16" width="6.14"/>
    <col customWidth="1" min="17" max="18" width="15.14"/>
    <col customWidth="1" min="19" max="19" width="14.71"/>
    <col customWidth="1" min="20" max="20" width="14.57"/>
    <col customWidth="1" min="21" max="27" width="11.43"/>
  </cols>
  <sheetData>
    <row r="1">
      <c r="A1" s="674"/>
      <c r="B1" s="687">
        <v>2019.0</v>
      </c>
      <c r="D1" s="688">
        <v>2021.0</v>
      </c>
      <c r="O1" s="62"/>
    </row>
    <row r="2">
      <c r="A2" s="674"/>
      <c r="B2" s="687" t="s">
        <v>66</v>
      </c>
      <c r="C2" s="687" t="s">
        <v>67</v>
      </c>
      <c r="D2" s="687" t="s">
        <v>56</v>
      </c>
      <c r="E2" s="687" t="s">
        <v>57</v>
      </c>
      <c r="F2" s="687" t="s">
        <v>58</v>
      </c>
      <c r="G2" s="687" t="s">
        <v>59</v>
      </c>
      <c r="H2" s="687" t="s">
        <v>60</v>
      </c>
      <c r="I2" s="687" t="s">
        <v>61</v>
      </c>
      <c r="J2" s="687" t="s">
        <v>62</v>
      </c>
      <c r="K2" s="687" t="s">
        <v>3392</v>
      </c>
      <c r="L2" s="687" t="s">
        <v>64</v>
      </c>
      <c r="M2" s="687" t="s">
        <v>65</v>
      </c>
      <c r="N2" s="687" t="s">
        <v>66</v>
      </c>
      <c r="O2" s="687" t="s">
        <v>67</v>
      </c>
    </row>
    <row r="3">
      <c r="A3" s="689" t="s">
        <v>3393</v>
      </c>
      <c r="B3" s="690"/>
      <c r="C3" s="691"/>
      <c r="D3" s="692">
        <v>966.91</v>
      </c>
      <c r="E3" s="692">
        <v>1075.14</v>
      </c>
      <c r="F3" s="692">
        <v>1247.53</v>
      </c>
      <c r="G3" s="693"/>
      <c r="H3" s="693"/>
      <c r="I3" s="693"/>
      <c r="J3" s="693"/>
      <c r="K3" s="693"/>
      <c r="L3" s="693"/>
      <c r="M3" s="693"/>
      <c r="N3" s="693"/>
      <c r="O3" s="693"/>
    </row>
    <row r="4">
      <c r="A4" s="674" t="s">
        <v>3394</v>
      </c>
      <c r="B4" s="690">
        <v>432.32</v>
      </c>
      <c r="C4" s="690">
        <v>432.32</v>
      </c>
      <c r="D4" s="692">
        <v>503.19</v>
      </c>
      <c r="E4" s="692">
        <v>525.48</v>
      </c>
      <c r="F4" s="692">
        <v>525.66</v>
      </c>
      <c r="G4" s="693">
        <v>0.0</v>
      </c>
      <c r="H4" s="693">
        <v>0.0</v>
      </c>
      <c r="I4" s="693">
        <v>0.0</v>
      </c>
      <c r="J4" s="693">
        <v>0.0</v>
      </c>
      <c r="K4" s="693">
        <v>0.0</v>
      </c>
      <c r="L4" s="693">
        <v>0.0</v>
      </c>
      <c r="M4" s="693">
        <v>0.0</v>
      </c>
      <c r="N4" s="693">
        <v>0.0</v>
      </c>
      <c r="O4" s="693">
        <v>0.0</v>
      </c>
    </row>
    <row r="5">
      <c r="A5" s="674" t="s">
        <v>3395</v>
      </c>
      <c r="B5" s="690">
        <v>200.0</v>
      </c>
      <c r="C5" s="690">
        <v>200.0</v>
      </c>
      <c r="D5" s="693">
        <v>0.0</v>
      </c>
      <c r="E5" s="692">
        <v>101.04</v>
      </c>
      <c r="F5" s="693">
        <v>0.0</v>
      </c>
      <c r="G5" s="693">
        <v>0.0</v>
      </c>
      <c r="H5" s="693">
        <v>0.0</v>
      </c>
      <c r="I5" s="693">
        <v>0.0</v>
      </c>
      <c r="J5" s="693">
        <v>0.0</v>
      </c>
      <c r="K5" s="693">
        <v>0.0</v>
      </c>
      <c r="L5" s="693">
        <v>0.0</v>
      </c>
      <c r="M5" s="693">
        <v>0.0</v>
      </c>
      <c r="N5" s="693">
        <v>0.0</v>
      </c>
      <c r="O5" s="693">
        <v>0.0</v>
      </c>
    </row>
    <row r="6">
      <c r="A6" s="674" t="s">
        <v>3396</v>
      </c>
      <c r="B6" s="691">
        <v>0.0</v>
      </c>
      <c r="C6" s="690">
        <v>29.43</v>
      </c>
      <c r="D6" s="692">
        <v>22.68</v>
      </c>
      <c r="E6" s="692">
        <v>216.55</v>
      </c>
      <c r="F6" s="692">
        <v>24.22</v>
      </c>
      <c r="G6" s="693">
        <v>0.0</v>
      </c>
      <c r="H6" s="693">
        <v>0.0</v>
      </c>
      <c r="I6" s="693">
        <v>0.0</v>
      </c>
      <c r="J6" s="693">
        <v>0.0</v>
      </c>
      <c r="K6" s="693">
        <v>0.0</v>
      </c>
      <c r="L6" s="693">
        <v>0.0</v>
      </c>
      <c r="M6" s="693">
        <v>0.0</v>
      </c>
      <c r="N6" s="693">
        <v>0.0</v>
      </c>
      <c r="O6" s="693">
        <v>0.0</v>
      </c>
    </row>
    <row r="7">
      <c r="A7" s="673" t="s">
        <v>3397</v>
      </c>
      <c r="B7" s="691">
        <v>0.0</v>
      </c>
      <c r="C7" s="691">
        <v>0.0</v>
      </c>
      <c r="D7" s="693">
        <v>0.0</v>
      </c>
      <c r="E7" s="693">
        <v>0.0</v>
      </c>
      <c r="F7" s="693">
        <v>0.0</v>
      </c>
      <c r="G7" s="693">
        <v>0.0</v>
      </c>
      <c r="H7" s="693">
        <v>0.0</v>
      </c>
      <c r="I7" s="693">
        <v>0.0</v>
      </c>
      <c r="J7" s="693">
        <v>0.0</v>
      </c>
      <c r="K7" s="693">
        <v>0.0</v>
      </c>
      <c r="L7" s="693">
        <v>0.0</v>
      </c>
      <c r="M7" s="693">
        <v>0.0</v>
      </c>
      <c r="N7" s="693">
        <v>0.0</v>
      </c>
      <c r="O7" s="693">
        <v>0.0</v>
      </c>
    </row>
    <row r="8">
      <c r="A8" s="674" t="s">
        <v>3398</v>
      </c>
      <c r="B8" s="691">
        <v>0.0</v>
      </c>
      <c r="C8" s="691">
        <v>0.0</v>
      </c>
      <c r="D8" s="693">
        <v>0.0</v>
      </c>
      <c r="E8" s="693">
        <v>0.0</v>
      </c>
      <c r="F8" s="693">
        <v>0.0</v>
      </c>
      <c r="G8" s="693">
        <v>0.0</v>
      </c>
      <c r="H8" s="693">
        <v>0.0</v>
      </c>
      <c r="I8" s="693">
        <v>0.0</v>
      </c>
      <c r="J8" s="693">
        <v>0.0</v>
      </c>
      <c r="K8" s="693">
        <v>0.0</v>
      </c>
      <c r="L8" s="693">
        <v>0.0</v>
      </c>
      <c r="M8" s="693">
        <v>0.0</v>
      </c>
      <c r="N8" s="693">
        <v>0.0</v>
      </c>
      <c r="O8" s="693">
        <v>0.0</v>
      </c>
    </row>
    <row r="9">
      <c r="A9" s="674" t="s">
        <v>3399</v>
      </c>
      <c r="B9" s="694">
        <v>150.0</v>
      </c>
      <c r="C9" s="694">
        <v>150.0</v>
      </c>
      <c r="D9" s="695">
        <v>151.14</v>
      </c>
      <c r="E9" s="696">
        <v>0.0</v>
      </c>
      <c r="F9" s="696">
        <v>0.0</v>
      </c>
      <c r="G9" s="696">
        <v>0.0</v>
      </c>
      <c r="H9" s="696">
        <v>0.0</v>
      </c>
      <c r="I9" s="696">
        <v>0.0</v>
      </c>
      <c r="J9" s="696">
        <v>0.0</v>
      </c>
      <c r="K9" s="696">
        <v>0.0</v>
      </c>
      <c r="L9" s="696">
        <v>0.0</v>
      </c>
      <c r="M9" s="696">
        <v>0.0</v>
      </c>
      <c r="N9" s="696">
        <v>0.0</v>
      </c>
      <c r="O9" s="696">
        <v>0.0</v>
      </c>
    </row>
    <row r="10">
      <c r="A10" s="673" t="s">
        <v>3400</v>
      </c>
      <c r="B10" s="694">
        <v>21.41</v>
      </c>
      <c r="C10" s="697">
        <v>0.0</v>
      </c>
      <c r="D10" s="695">
        <v>23.25</v>
      </c>
      <c r="E10" s="695">
        <v>12.8</v>
      </c>
      <c r="F10" s="696">
        <v>0.0</v>
      </c>
      <c r="G10" s="696">
        <v>0.0</v>
      </c>
      <c r="H10" s="696">
        <v>0.0</v>
      </c>
      <c r="I10" s="696">
        <v>0.0</v>
      </c>
      <c r="J10" s="696">
        <v>0.0</v>
      </c>
      <c r="K10" s="696">
        <v>0.0</v>
      </c>
      <c r="L10" s="696">
        <v>0.0</v>
      </c>
      <c r="M10" s="696">
        <v>0.0</v>
      </c>
      <c r="N10" s="696">
        <v>0.0</v>
      </c>
      <c r="O10" s="696">
        <v>0.0</v>
      </c>
    </row>
    <row r="11">
      <c r="A11" s="673" t="s">
        <v>3401</v>
      </c>
      <c r="B11" s="694">
        <v>15.99</v>
      </c>
      <c r="C11" s="694">
        <v>15.99</v>
      </c>
      <c r="D11" s="695">
        <f>20.99+23.25</f>
        <v>44.24</v>
      </c>
      <c r="E11" s="696">
        <v>0.0</v>
      </c>
      <c r="F11" s="695">
        <v>10.99</v>
      </c>
      <c r="G11" s="696">
        <v>0.0</v>
      </c>
      <c r="H11" s="696">
        <v>0.0</v>
      </c>
      <c r="I11" s="696">
        <v>0.0</v>
      </c>
      <c r="J11" s="696">
        <v>0.0</v>
      </c>
      <c r="K11" s="696">
        <v>0.0</v>
      </c>
      <c r="L11" s="696">
        <v>0.0</v>
      </c>
      <c r="M11" s="696">
        <v>0.0</v>
      </c>
      <c r="N11" s="696">
        <v>0.0</v>
      </c>
      <c r="O11" s="696">
        <v>0.0</v>
      </c>
    </row>
    <row r="12">
      <c r="A12" s="51" t="s">
        <v>3402</v>
      </c>
      <c r="B12" s="694">
        <v>20.31</v>
      </c>
      <c r="C12" s="694">
        <v>12.89</v>
      </c>
      <c r="D12" s="695">
        <v>9.99</v>
      </c>
      <c r="E12" s="695">
        <v>9.99</v>
      </c>
      <c r="F12" s="696">
        <v>0.0</v>
      </c>
      <c r="G12" s="696">
        <v>0.0</v>
      </c>
      <c r="H12" s="696">
        <v>0.0</v>
      </c>
      <c r="I12" s="696">
        <v>0.0</v>
      </c>
      <c r="J12" s="696">
        <v>0.0</v>
      </c>
      <c r="K12" s="696">
        <v>0.0</v>
      </c>
      <c r="L12" s="696">
        <v>0.0</v>
      </c>
      <c r="M12" s="696">
        <v>0.0</v>
      </c>
      <c r="N12" s="696">
        <v>0.0</v>
      </c>
      <c r="O12" s="696">
        <v>0.0</v>
      </c>
    </row>
    <row r="13">
      <c r="A13" s="674" t="s">
        <v>3403</v>
      </c>
      <c r="B13" s="694">
        <v>224.0</v>
      </c>
      <c r="C13" s="697">
        <v>0.0</v>
      </c>
      <c r="D13" s="695">
        <v>44.0</v>
      </c>
      <c r="E13" s="695">
        <v>134.0</v>
      </c>
      <c r="F13" s="695">
        <v>44.0</v>
      </c>
      <c r="G13" s="695">
        <v>44.0</v>
      </c>
      <c r="H13" s="695">
        <v>44.0</v>
      </c>
      <c r="I13" s="695">
        <v>44.0</v>
      </c>
      <c r="J13" s="696">
        <v>0.0</v>
      </c>
      <c r="K13" s="696">
        <v>0.0</v>
      </c>
      <c r="L13" s="696">
        <v>0.0</v>
      </c>
      <c r="M13" s="696">
        <v>0.0</v>
      </c>
      <c r="N13" s="696">
        <v>0.0</v>
      </c>
      <c r="O13" s="696">
        <v>0.0</v>
      </c>
    </row>
    <row r="14">
      <c r="A14" s="673" t="s">
        <v>3404</v>
      </c>
      <c r="B14" s="694">
        <v>75.0</v>
      </c>
      <c r="C14" s="697">
        <v>0.0</v>
      </c>
      <c r="D14" s="695">
        <v>72.95</v>
      </c>
      <c r="E14" s="696">
        <f>15+128.7</f>
        <v>143.7</v>
      </c>
      <c r="F14" s="696">
        <v>0.0</v>
      </c>
      <c r="G14" s="696">
        <v>0.0</v>
      </c>
      <c r="H14" s="696">
        <v>0.0</v>
      </c>
      <c r="I14" s="696">
        <v>0.0</v>
      </c>
      <c r="J14" s="696">
        <v>0.0</v>
      </c>
      <c r="K14" s="696">
        <v>0.0</v>
      </c>
      <c r="L14" s="696">
        <v>0.0</v>
      </c>
      <c r="M14" s="696">
        <v>0.0</v>
      </c>
      <c r="N14" s="696">
        <v>0.0</v>
      </c>
      <c r="O14" s="696">
        <v>0.0</v>
      </c>
    </row>
    <row r="15">
      <c r="A15" s="673" t="s">
        <v>3405</v>
      </c>
      <c r="B15" s="694">
        <v>13.0</v>
      </c>
      <c r="C15" s="697">
        <v>0.0</v>
      </c>
      <c r="D15" s="695">
        <v>13.0</v>
      </c>
      <c r="E15" s="695">
        <v>13.0</v>
      </c>
      <c r="F15" s="695">
        <v>13.0</v>
      </c>
      <c r="G15" s="696">
        <v>0.0</v>
      </c>
      <c r="H15" s="696">
        <v>0.0</v>
      </c>
      <c r="I15" s="696">
        <v>0.0</v>
      </c>
      <c r="J15" s="696">
        <v>0.0</v>
      </c>
      <c r="K15" s="696">
        <v>0.0</v>
      </c>
      <c r="L15" s="696">
        <v>0.0</v>
      </c>
      <c r="M15" s="696">
        <v>0.0</v>
      </c>
      <c r="N15" s="696">
        <v>0.0</v>
      </c>
      <c r="O15" s="696">
        <v>0.0</v>
      </c>
    </row>
    <row r="16">
      <c r="A16" s="673" t="s">
        <v>3406</v>
      </c>
      <c r="B16" s="694">
        <v>5.99</v>
      </c>
      <c r="C16" s="697">
        <v>0.0</v>
      </c>
      <c r="D16" s="695">
        <v>5.99</v>
      </c>
      <c r="E16" s="695">
        <v>49.0</v>
      </c>
      <c r="F16" s="696">
        <v>0.0</v>
      </c>
      <c r="G16" s="696">
        <v>0.0</v>
      </c>
      <c r="H16" s="696">
        <v>0.0</v>
      </c>
      <c r="I16" s="696">
        <v>0.0</v>
      </c>
      <c r="J16" s="696">
        <v>0.0</v>
      </c>
      <c r="K16" s="696">
        <v>0.0</v>
      </c>
      <c r="L16" s="696">
        <v>0.0</v>
      </c>
      <c r="M16" s="696">
        <v>0.0</v>
      </c>
      <c r="N16" s="696">
        <v>0.0</v>
      </c>
      <c r="O16" s="696">
        <v>0.0</v>
      </c>
    </row>
    <row r="17">
      <c r="A17" s="673" t="s">
        <v>3407</v>
      </c>
      <c r="B17" s="697">
        <v>0.0</v>
      </c>
      <c r="C17" s="694">
        <v>25.0</v>
      </c>
      <c r="D17" s="696">
        <v>0.0</v>
      </c>
      <c r="E17" s="696">
        <v>0.0</v>
      </c>
      <c r="F17" s="695">
        <v>37.46</v>
      </c>
      <c r="G17" s="696">
        <v>0.0</v>
      </c>
      <c r="H17" s="696">
        <v>0.0</v>
      </c>
      <c r="I17" s="696">
        <v>0.0</v>
      </c>
      <c r="J17" s="696">
        <v>0.0</v>
      </c>
      <c r="K17" s="696">
        <v>0.0</v>
      </c>
      <c r="L17" s="696">
        <v>0.0</v>
      </c>
      <c r="M17" s="696">
        <v>0.0</v>
      </c>
      <c r="N17" s="696">
        <v>0.0</v>
      </c>
      <c r="O17" s="696">
        <v>0.0</v>
      </c>
    </row>
    <row r="18">
      <c r="A18" s="673" t="s">
        <v>3408</v>
      </c>
      <c r="B18" s="694">
        <v>7.96</v>
      </c>
      <c r="C18" s="697">
        <v>0.0</v>
      </c>
      <c r="D18" s="696">
        <v>0.0</v>
      </c>
      <c r="E18" s="696">
        <v>0.0</v>
      </c>
      <c r="F18" s="696">
        <v>0.0</v>
      </c>
      <c r="G18" s="696">
        <v>0.0</v>
      </c>
      <c r="H18" s="696">
        <v>0.0</v>
      </c>
      <c r="I18" s="696">
        <v>0.0</v>
      </c>
      <c r="J18" s="696">
        <v>0.0</v>
      </c>
      <c r="K18" s="696">
        <v>0.0</v>
      </c>
      <c r="L18" s="696">
        <v>0.0</v>
      </c>
      <c r="M18" s="696">
        <v>0.0</v>
      </c>
      <c r="N18" s="696">
        <v>0.0</v>
      </c>
      <c r="O18" s="696">
        <v>0.0</v>
      </c>
    </row>
    <row r="19">
      <c r="A19" s="673" t="s">
        <v>3409</v>
      </c>
      <c r="B19" s="697">
        <v>0.0</v>
      </c>
      <c r="C19" s="697">
        <v>0.0</v>
      </c>
      <c r="D19" s="696">
        <v>0.0</v>
      </c>
      <c r="E19" s="696">
        <v>0.0</v>
      </c>
      <c r="F19" s="696">
        <v>0.0</v>
      </c>
      <c r="G19" s="696">
        <v>0.0</v>
      </c>
      <c r="H19" s="696">
        <v>0.0</v>
      </c>
      <c r="I19" s="696">
        <v>0.0</v>
      </c>
      <c r="J19" s="696">
        <v>0.0</v>
      </c>
      <c r="K19" s="696">
        <v>0.0</v>
      </c>
      <c r="L19" s="696">
        <v>0.0</v>
      </c>
      <c r="M19" s="696">
        <v>0.0</v>
      </c>
      <c r="N19" s="696">
        <v>0.0</v>
      </c>
      <c r="O19" s="696">
        <v>0.0</v>
      </c>
    </row>
    <row r="20" ht="27.75" customHeight="1">
      <c r="A20" s="689" t="s">
        <v>3410</v>
      </c>
      <c r="B20" s="697">
        <v>0.0</v>
      </c>
      <c r="C20" s="697">
        <v>0.0</v>
      </c>
      <c r="D20" s="696">
        <v>0.0</v>
      </c>
      <c r="E20" s="696">
        <v>0.0</v>
      </c>
      <c r="F20" s="696">
        <v>0.0</v>
      </c>
      <c r="G20" s="696">
        <v>0.0</v>
      </c>
      <c r="H20" s="696">
        <v>0.0</v>
      </c>
      <c r="I20" s="696">
        <v>0.0</v>
      </c>
      <c r="J20" s="696">
        <v>0.0</v>
      </c>
      <c r="K20" s="696">
        <v>0.0</v>
      </c>
      <c r="L20" s="696">
        <v>0.0</v>
      </c>
      <c r="M20" s="696">
        <v>0.0</v>
      </c>
      <c r="N20" s="696">
        <v>0.0</v>
      </c>
      <c r="O20" s="696">
        <v>0.0</v>
      </c>
    </row>
    <row r="21">
      <c r="A21" s="673" t="s">
        <v>3411</v>
      </c>
      <c r="B21" s="694">
        <v>388.4</v>
      </c>
      <c r="C21" s="697">
        <v>0.0</v>
      </c>
      <c r="D21" s="696">
        <v>0.0</v>
      </c>
      <c r="E21" s="695">
        <f>8.2+48.06+20.16+40.57</f>
        <v>116.99</v>
      </c>
      <c r="F21" s="695">
        <v>71.19</v>
      </c>
      <c r="G21" s="696">
        <v>0.0</v>
      </c>
      <c r="H21" s="696">
        <v>0.0</v>
      </c>
      <c r="I21" s="696">
        <v>0.0</v>
      </c>
      <c r="J21" s="696">
        <v>0.0</v>
      </c>
      <c r="K21" s="696">
        <v>0.0</v>
      </c>
      <c r="L21" s="696">
        <v>0.0</v>
      </c>
      <c r="M21" s="696">
        <v>0.0</v>
      </c>
      <c r="N21" s="696">
        <v>0.0</v>
      </c>
      <c r="O21" s="696">
        <v>0.0</v>
      </c>
    </row>
    <row r="22">
      <c r="A22" s="674" t="s">
        <v>3412</v>
      </c>
      <c r="B22" s="694">
        <v>40.37</v>
      </c>
      <c r="C22" s="697">
        <v>0.0</v>
      </c>
      <c r="D22" s="696">
        <v>0.0</v>
      </c>
      <c r="E22" s="696">
        <f>10.2</f>
        <v>10.2</v>
      </c>
      <c r="F22" s="695">
        <v>25.49</v>
      </c>
      <c r="G22" s="696">
        <v>0.0</v>
      </c>
      <c r="H22" s="696">
        <v>0.0</v>
      </c>
      <c r="I22" s="696">
        <v>0.0</v>
      </c>
      <c r="J22" s="696">
        <v>0.0</v>
      </c>
      <c r="K22" s="696">
        <v>0.0</v>
      </c>
      <c r="L22" s="696">
        <v>0.0</v>
      </c>
      <c r="M22" s="696">
        <v>0.0</v>
      </c>
      <c r="N22" s="696">
        <v>0.0</v>
      </c>
      <c r="O22" s="696">
        <v>0.0</v>
      </c>
    </row>
    <row r="23">
      <c r="A23" s="674" t="s">
        <v>3413</v>
      </c>
      <c r="B23" s="694">
        <v>17.3</v>
      </c>
      <c r="C23" s="697">
        <v>0.0</v>
      </c>
      <c r="D23" s="695">
        <v>139.9</v>
      </c>
      <c r="E23" s="696">
        <v>0.0</v>
      </c>
      <c r="F23" s="696">
        <v>0.0</v>
      </c>
      <c r="G23" s="696">
        <v>0.0</v>
      </c>
      <c r="H23" s="696">
        <v>0.0</v>
      </c>
      <c r="I23" s="696">
        <v>0.0</v>
      </c>
      <c r="J23" s="696">
        <v>0.0</v>
      </c>
      <c r="K23" s="696">
        <v>0.0</v>
      </c>
      <c r="L23" s="696">
        <v>0.0</v>
      </c>
      <c r="M23" s="696">
        <v>0.0</v>
      </c>
      <c r="N23" s="696">
        <v>0.0</v>
      </c>
      <c r="O23" s="696">
        <v>0.0</v>
      </c>
    </row>
    <row r="24">
      <c r="A24" s="674" t="s">
        <v>3414</v>
      </c>
      <c r="B24" s="697">
        <v>0.0</v>
      </c>
      <c r="C24" s="694">
        <v>261.0</v>
      </c>
      <c r="D24" s="695">
        <v>0.0</v>
      </c>
      <c r="E24" s="696">
        <v>0.0</v>
      </c>
      <c r="F24" s="696">
        <v>0.0</v>
      </c>
      <c r="G24" s="696">
        <v>0.0</v>
      </c>
      <c r="H24" s="696">
        <v>0.0</v>
      </c>
      <c r="I24" s="696">
        <v>0.0</v>
      </c>
      <c r="J24" s="696">
        <v>0.0</v>
      </c>
      <c r="K24" s="696">
        <v>0.0</v>
      </c>
      <c r="L24" s="696">
        <v>0.0</v>
      </c>
      <c r="M24" s="696">
        <v>0.0</v>
      </c>
      <c r="N24" s="696">
        <v>0.0</v>
      </c>
      <c r="O24" s="696">
        <v>0.0</v>
      </c>
    </row>
    <row r="25">
      <c r="A25" s="673" t="s">
        <v>3415</v>
      </c>
      <c r="B25" s="697">
        <v>0.0</v>
      </c>
      <c r="C25" s="697">
        <v>0.0</v>
      </c>
      <c r="D25" s="696">
        <v>0.0</v>
      </c>
      <c r="E25" s="696">
        <v>0.0</v>
      </c>
      <c r="F25" s="696">
        <v>0.0</v>
      </c>
      <c r="G25" s="696">
        <v>0.0</v>
      </c>
      <c r="H25" s="696">
        <v>0.0</v>
      </c>
      <c r="I25" s="696">
        <v>0.0</v>
      </c>
      <c r="J25" s="696">
        <v>0.0</v>
      </c>
      <c r="K25" s="696">
        <v>0.0</v>
      </c>
      <c r="L25" s="696">
        <v>0.0</v>
      </c>
      <c r="M25" s="696">
        <v>0.0</v>
      </c>
      <c r="N25" s="696">
        <v>0.0</v>
      </c>
      <c r="O25" s="696">
        <v>0.0</v>
      </c>
    </row>
    <row r="26">
      <c r="A26" s="698" t="s">
        <v>3416</v>
      </c>
      <c r="B26" s="694">
        <v>6.26</v>
      </c>
      <c r="C26" s="694">
        <v>2.7</v>
      </c>
      <c r="D26" s="695">
        <v>15.02</v>
      </c>
      <c r="E26" s="695">
        <v>15.22</v>
      </c>
      <c r="F26" s="696">
        <v>0.0</v>
      </c>
      <c r="G26" s="696">
        <v>0.0</v>
      </c>
      <c r="H26" s="696">
        <v>0.0</v>
      </c>
      <c r="I26" s="696">
        <v>0.0</v>
      </c>
      <c r="J26" s="696">
        <v>0.0</v>
      </c>
      <c r="K26" s="696">
        <v>0.0</v>
      </c>
      <c r="L26" s="696">
        <v>0.0</v>
      </c>
      <c r="M26" s="696">
        <v>0.0</v>
      </c>
      <c r="N26" s="696">
        <v>0.0</v>
      </c>
      <c r="O26" s="696">
        <v>0.0</v>
      </c>
    </row>
    <row r="27">
      <c r="A27" s="698" t="s">
        <v>3398</v>
      </c>
      <c r="B27" s="694">
        <v>132.88</v>
      </c>
      <c r="C27" s="697">
        <v>0.0</v>
      </c>
      <c r="D27" s="696">
        <v>0.0</v>
      </c>
      <c r="E27" s="695">
        <v>92.29</v>
      </c>
      <c r="F27" s="696">
        <v>0.0</v>
      </c>
      <c r="G27" s="696">
        <v>0.0</v>
      </c>
      <c r="H27" s="696">
        <v>0.0</v>
      </c>
      <c r="I27" s="696">
        <v>0.0</v>
      </c>
      <c r="J27" s="696">
        <v>0.0</v>
      </c>
      <c r="K27" s="696">
        <v>0.0</v>
      </c>
      <c r="L27" s="696">
        <v>0.0</v>
      </c>
      <c r="M27" s="696">
        <v>0.0</v>
      </c>
      <c r="N27" s="696">
        <v>0.0</v>
      </c>
      <c r="O27" s="696">
        <v>0.0</v>
      </c>
    </row>
    <row r="28">
      <c r="A28" s="673" t="s">
        <v>3417</v>
      </c>
      <c r="B28" s="697"/>
      <c r="C28" s="697"/>
      <c r="D28" s="696">
        <v>0.0</v>
      </c>
      <c r="E28" s="695">
        <v>195.0</v>
      </c>
      <c r="F28" s="696">
        <v>0.0</v>
      </c>
      <c r="G28" s="696">
        <v>0.0</v>
      </c>
      <c r="H28" s="696">
        <v>0.0</v>
      </c>
      <c r="I28" s="696">
        <v>0.0</v>
      </c>
      <c r="J28" s="696">
        <v>0.0</v>
      </c>
      <c r="K28" s="696">
        <v>0.0</v>
      </c>
      <c r="L28" s="696">
        <v>0.0</v>
      </c>
      <c r="M28" s="696">
        <v>0.0</v>
      </c>
      <c r="N28" s="696">
        <v>0.0</v>
      </c>
      <c r="O28" s="696">
        <v>0.0</v>
      </c>
    </row>
    <row r="29">
      <c r="A29" s="674" t="s">
        <v>3418</v>
      </c>
      <c r="B29" s="699">
        <f t="shared" ref="B29:O29" si="1">SUM(B3:B8)</f>
        <v>632.32</v>
      </c>
      <c r="C29" s="699">
        <f t="shared" si="1"/>
        <v>661.75</v>
      </c>
      <c r="D29" s="699">
        <f t="shared" si="1"/>
        <v>1492.78</v>
      </c>
      <c r="E29" s="699">
        <f t="shared" si="1"/>
        <v>1918.21</v>
      </c>
      <c r="F29" s="699">
        <f t="shared" si="1"/>
        <v>1797.41</v>
      </c>
      <c r="G29" s="699">
        <f t="shared" si="1"/>
        <v>0</v>
      </c>
      <c r="H29" s="699">
        <f t="shared" si="1"/>
        <v>0</v>
      </c>
      <c r="I29" s="699">
        <f t="shared" si="1"/>
        <v>0</v>
      </c>
      <c r="J29" s="699">
        <f t="shared" si="1"/>
        <v>0</v>
      </c>
      <c r="K29" s="699">
        <f t="shared" si="1"/>
        <v>0</v>
      </c>
      <c r="L29" s="699">
        <f t="shared" si="1"/>
        <v>0</v>
      </c>
      <c r="M29" s="699">
        <f t="shared" si="1"/>
        <v>0</v>
      </c>
      <c r="N29" s="699">
        <f t="shared" si="1"/>
        <v>0</v>
      </c>
      <c r="O29" s="699">
        <f t="shared" si="1"/>
        <v>0</v>
      </c>
    </row>
    <row r="30">
      <c r="A30" s="674" t="s">
        <v>3419</v>
      </c>
      <c r="B30" s="700">
        <f t="shared" ref="B30:O30" si="2">SUM(B9:B28)</f>
        <v>1118.87</v>
      </c>
      <c r="C30" s="700">
        <f t="shared" si="2"/>
        <v>467.58</v>
      </c>
      <c r="D30" s="700">
        <f t="shared" si="2"/>
        <v>519.48</v>
      </c>
      <c r="E30" s="700">
        <f t="shared" si="2"/>
        <v>792.19</v>
      </c>
      <c r="F30" s="700">
        <f t="shared" si="2"/>
        <v>202.13</v>
      </c>
      <c r="G30" s="700">
        <f t="shared" si="2"/>
        <v>44</v>
      </c>
      <c r="H30" s="700">
        <f t="shared" si="2"/>
        <v>44</v>
      </c>
      <c r="I30" s="700">
        <f t="shared" si="2"/>
        <v>44</v>
      </c>
      <c r="J30" s="700">
        <f t="shared" si="2"/>
        <v>0</v>
      </c>
      <c r="K30" s="700">
        <f t="shared" si="2"/>
        <v>0</v>
      </c>
      <c r="L30" s="700">
        <f t="shared" si="2"/>
        <v>0</v>
      </c>
      <c r="M30" s="700">
        <f t="shared" si="2"/>
        <v>0</v>
      </c>
      <c r="N30" s="700">
        <f t="shared" si="2"/>
        <v>0</v>
      </c>
      <c r="O30" s="700">
        <f t="shared" si="2"/>
        <v>0</v>
      </c>
    </row>
    <row r="31">
      <c r="A31" s="674" t="s">
        <v>3420</v>
      </c>
      <c r="B31" s="701">
        <f t="shared" ref="B31:O31" si="3">B29-B30</f>
        <v>-486.55</v>
      </c>
      <c r="C31" s="701">
        <f t="shared" si="3"/>
        <v>194.17</v>
      </c>
      <c r="D31" s="701">
        <f t="shared" si="3"/>
        <v>973.3</v>
      </c>
      <c r="E31" s="701">
        <f t="shared" si="3"/>
        <v>1126.02</v>
      </c>
      <c r="F31" s="701">
        <f t="shared" si="3"/>
        <v>1595.28</v>
      </c>
      <c r="G31" s="701">
        <f t="shared" si="3"/>
        <v>-44</v>
      </c>
      <c r="H31" s="701">
        <f t="shared" si="3"/>
        <v>-44</v>
      </c>
      <c r="I31" s="701">
        <f t="shared" si="3"/>
        <v>-44</v>
      </c>
      <c r="J31" s="701">
        <f t="shared" si="3"/>
        <v>0</v>
      </c>
      <c r="K31" s="701">
        <f t="shared" si="3"/>
        <v>0</v>
      </c>
      <c r="L31" s="701">
        <f t="shared" si="3"/>
        <v>0</v>
      </c>
      <c r="M31" s="701">
        <f t="shared" si="3"/>
        <v>0</v>
      </c>
      <c r="N31" s="701">
        <f t="shared" si="3"/>
        <v>0</v>
      </c>
      <c r="O31" s="701">
        <f t="shared" si="3"/>
        <v>0</v>
      </c>
    </row>
    <row r="32">
      <c r="A32" s="674"/>
    </row>
    <row r="33">
      <c r="A33" s="674"/>
      <c r="B33" s="702"/>
      <c r="C33" s="702"/>
      <c r="D33" s="702"/>
      <c r="E33" s="702"/>
      <c r="F33" s="702"/>
      <c r="G33" s="702"/>
      <c r="H33" s="702"/>
      <c r="I33" s="702"/>
      <c r="J33" s="702"/>
      <c r="K33" s="702"/>
      <c r="L33" s="702"/>
      <c r="M33" s="702"/>
      <c r="N33" s="702"/>
      <c r="O33" s="702"/>
    </row>
    <row r="34">
      <c r="A34" s="674"/>
      <c r="B34" s="703"/>
      <c r="C34" s="703"/>
    </row>
    <row r="35">
      <c r="A35" s="674"/>
      <c r="B35" s="703"/>
      <c r="C35" s="703"/>
    </row>
    <row r="36">
      <c r="A36" s="674"/>
      <c r="B36" s="703"/>
      <c r="C36" s="703"/>
    </row>
    <row r="37">
      <c r="A37" s="674"/>
      <c r="B37" s="703"/>
      <c r="C37" s="703"/>
    </row>
    <row r="38">
      <c r="A38" s="674"/>
      <c r="B38" s="703"/>
      <c r="C38" s="703"/>
    </row>
    <row r="39">
      <c r="A39" s="674"/>
      <c r="B39" s="703"/>
      <c r="C39" s="703"/>
    </row>
    <row r="40">
      <c r="A40" s="674"/>
      <c r="B40" s="703"/>
      <c r="C40" s="703"/>
    </row>
    <row r="41">
      <c r="A41" s="674"/>
      <c r="B41" s="703"/>
      <c r="C41" s="703"/>
    </row>
    <row r="42">
      <c r="A42" s="674"/>
      <c r="B42" s="703"/>
      <c r="C42" s="703"/>
    </row>
    <row r="43">
      <c r="A43" s="674"/>
      <c r="B43" s="703"/>
      <c r="C43" s="703"/>
    </row>
    <row r="44">
      <c r="A44" s="674"/>
      <c r="B44" s="703"/>
      <c r="C44" s="703"/>
    </row>
    <row r="45">
      <c r="A45" s="674"/>
      <c r="B45" s="703"/>
      <c r="C45" s="703"/>
    </row>
    <row r="46">
      <c r="A46" s="674"/>
      <c r="B46" s="703"/>
      <c r="C46" s="703"/>
    </row>
    <row r="47">
      <c r="A47" s="674"/>
      <c r="B47" s="703"/>
      <c r="C47" s="703"/>
    </row>
    <row r="48">
      <c r="A48" s="674"/>
      <c r="B48" s="703"/>
      <c r="C48" s="703"/>
    </row>
    <row r="49">
      <c r="A49" s="674"/>
      <c r="B49" s="703"/>
      <c r="C49" s="703"/>
    </row>
    <row r="50">
      <c r="A50" s="674"/>
      <c r="B50" s="703"/>
      <c r="C50" s="703"/>
    </row>
    <row r="51">
      <c r="A51" s="674"/>
      <c r="B51" s="703"/>
      <c r="C51" s="703"/>
    </row>
    <row r="52">
      <c r="A52" s="674"/>
      <c r="B52" s="703"/>
      <c r="C52" s="703"/>
    </row>
    <row r="53">
      <c r="A53" s="674"/>
      <c r="B53" s="703"/>
      <c r="C53" s="703"/>
    </row>
    <row r="54">
      <c r="A54" s="674"/>
      <c r="B54" s="703"/>
      <c r="C54" s="703"/>
    </row>
    <row r="55">
      <c r="A55" s="674"/>
      <c r="B55" s="703"/>
      <c r="C55" s="703"/>
    </row>
    <row r="56">
      <c r="A56" s="674"/>
      <c r="B56" s="703"/>
      <c r="C56" s="703"/>
    </row>
    <row r="57">
      <c r="A57" s="674"/>
      <c r="B57" s="703"/>
      <c r="C57" s="703"/>
    </row>
    <row r="58">
      <c r="A58" s="674"/>
      <c r="B58" s="703"/>
      <c r="C58" s="703"/>
    </row>
    <row r="59">
      <c r="A59" s="674"/>
      <c r="B59" s="703"/>
      <c r="C59" s="703"/>
    </row>
    <row r="60">
      <c r="A60" s="674"/>
      <c r="B60" s="703"/>
      <c r="C60" s="703"/>
    </row>
    <row r="61">
      <c r="A61" s="674"/>
      <c r="B61" s="703"/>
      <c r="C61" s="703"/>
    </row>
    <row r="62">
      <c r="A62" s="674"/>
      <c r="B62" s="703"/>
      <c r="C62" s="703"/>
    </row>
    <row r="63">
      <c r="A63" s="674"/>
      <c r="B63" s="703"/>
      <c r="C63" s="703"/>
    </row>
    <row r="64">
      <c r="A64" s="674"/>
      <c r="B64" s="703"/>
      <c r="C64" s="703"/>
    </row>
    <row r="65">
      <c r="A65" s="674"/>
      <c r="B65" s="703"/>
      <c r="C65" s="703"/>
    </row>
    <row r="66">
      <c r="A66" s="674"/>
      <c r="B66" s="703"/>
      <c r="C66" s="703"/>
    </row>
    <row r="67">
      <c r="A67" s="674"/>
      <c r="B67" s="703"/>
      <c r="C67" s="703"/>
    </row>
    <row r="68">
      <c r="A68" s="674"/>
      <c r="B68" s="703"/>
      <c r="C68" s="703"/>
    </row>
    <row r="69">
      <c r="A69" s="674"/>
      <c r="B69" s="703"/>
      <c r="C69" s="703"/>
    </row>
    <row r="70">
      <c r="A70" s="674"/>
      <c r="B70" s="703"/>
      <c r="C70" s="703"/>
    </row>
    <row r="71">
      <c r="A71" s="674"/>
      <c r="B71" s="703"/>
      <c r="C71" s="703"/>
    </row>
    <row r="72">
      <c r="A72" s="674"/>
      <c r="B72" s="703"/>
      <c r="C72" s="703"/>
    </row>
    <row r="73">
      <c r="A73" s="674"/>
      <c r="B73" s="703"/>
      <c r="C73" s="703"/>
    </row>
    <row r="74">
      <c r="A74" s="674"/>
      <c r="B74" s="703"/>
      <c r="C74" s="703"/>
    </row>
    <row r="75">
      <c r="A75" s="674"/>
      <c r="B75" s="703"/>
      <c r="C75" s="703"/>
    </row>
    <row r="76">
      <c r="A76" s="674"/>
      <c r="B76" s="703"/>
      <c r="C76" s="703"/>
    </row>
    <row r="77">
      <c r="A77" s="674"/>
      <c r="B77" s="703"/>
      <c r="C77" s="703"/>
    </row>
    <row r="78">
      <c r="A78" s="674"/>
      <c r="B78" s="703"/>
      <c r="C78" s="703"/>
    </row>
    <row r="79">
      <c r="A79" s="674"/>
      <c r="B79" s="703"/>
      <c r="C79" s="703"/>
    </row>
    <row r="80">
      <c r="A80" s="674"/>
      <c r="B80" s="703"/>
      <c r="C80" s="703"/>
    </row>
    <row r="81">
      <c r="A81" s="674"/>
      <c r="B81" s="703"/>
      <c r="C81" s="703"/>
    </row>
    <row r="82">
      <c r="A82" s="674"/>
      <c r="B82" s="703"/>
      <c r="C82" s="703"/>
    </row>
    <row r="83">
      <c r="A83" s="674"/>
      <c r="B83" s="703"/>
      <c r="C83" s="703"/>
    </row>
    <row r="84">
      <c r="A84" s="674"/>
      <c r="B84" s="703"/>
      <c r="C84" s="703"/>
    </row>
    <row r="85">
      <c r="A85" s="674"/>
      <c r="B85" s="703"/>
      <c r="C85" s="703"/>
    </row>
    <row r="86">
      <c r="A86" s="674"/>
      <c r="B86" s="703"/>
      <c r="C86" s="703"/>
    </row>
    <row r="87">
      <c r="A87" s="674"/>
      <c r="B87" s="703"/>
      <c r="C87" s="703"/>
    </row>
    <row r="88">
      <c r="A88" s="674"/>
      <c r="B88" s="703"/>
      <c r="C88" s="703"/>
    </row>
    <row r="89">
      <c r="A89" s="674"/>
      <c r="B89" s="703"/>
      <c r="C89" s="703"/>
    </row>
    <row r="90">
      <c r="A90" s="674"/>
      <c r="B90" s="703"/>
      <c r="C90" s="703"/>
    </row>
    <row r="91">
      <c r="A91" s="674"/>
      <c r="B91" s="703"/>
      <c r="C91" s="703"/>
    </row>
    <row r="92">
      <c r="A92" s="674"/>
      <c r="B92" s="703"/>
      <c r="C92" s="703"/>
    </row>
    <row r="93">
      <c r="A93" s="674"/>
      <c r="B93" s="703"/>
      <c r="C93" s="703"/>
    </row>
    <row r="94">
      <c r="A94" s="674"/>
      <c r="B94" s="703"/>
      <c r="C94" s="703"/>
    </row>
    <row r="95">
      <c r="A95" s="674"/>
      <c r="B95" s="703"/>
      <c r="C95" s="703"/>
    </row>
    <row r="96">
      <c r="A96" s="674"/>
      <c r="B96" s="703"/>
      <c r="C96" s="703"/>
    </row>
    <row r="97">
      <c r="A97" s="674"/>
      <c r="B97" s="703"/>
      <c r="C97" s="703"/>
    </row>
    <row r="98">
      <c r="A98" s="674"/>
      <c r="B98" s="703"/>
      <c r="C98" s="703"/>
    </row>
    <row r="99">
      <c r="A99" s="674"/>
      <c r="B99" s="703"/>
      <c r="C99" s="703"/>
    </row>
    <row r="100">
      <c r="A100" s="674"/>
      <c r="B100" s="703"/>
      <c r="C100" s="703"/>
    </row>
    <row r="101">
      <c r="A101" s="674"/>
      <c r="B101" s="703"/>
      <c r="C101" s="703"/>
    </row>
    <row r="102">
      <c r="A102" s="674"/>
      <c r="B102" s="703"/>
      <c r="C102" s="703"/>
    </row>
    <row r="103">
      <c r="A103" s="674"/>
      <c r="B103" s="703"/>
      <c r="C103" s="703"/>
    </row>
    <row r="104">
      <c r="A104" s="674"/>
      <c r="B104" s="703"/>
      <c r="C104" s="703"/>
    </row>
    <row r="105">
      <c r="A105" s="674"/>
      <c r="B105" s="703"/>
      <c r="C105" s="703"/>
    </row>
    <row r="106">
      <c r="A106" s="674"/>
      <c r="B106" s="703"/>
      <c r="C106" s="703"/>
    </row>
    <row r="107">
      <c r="A107" s="674"/>
      <c r="B107" s="703"/>
      <c r="C107" s="703"/>
    </row>
    <row r="108">
      <c r="A108" s="674"/>
      <c r="B108" s="703"/>
      <c r="C108" s="703"/>
    </row>
    <row r="109">
      <c r="A109" s="674"/>
      <c r="B109" s="703"/>
      <c r="C109" s="703"/>
    </row>
    <row r="110">
      <c r="A110" s="674"/>
      <c r="B110" s="703"/>
      <c r="C110" s="703"/>
    </row>
    <row r="111">
      <c r="A111" s="674"/>
      <c r="B111" s="703"/>
      <c r="C111" s="703"/>
    </row>
    <row r="112">
      <c r="A112" s="674"/>
      <c r="B112" s="703"/>
      <c r="C112" s="703"/>
    </row>
    <row r="113">
      <c r="A113" s="674"/>
      <c r="B113" s="703"/>
      <c r="C113" s="703"/>
    </row>
    <row r="114">
      <c r="A114" s="674"/>
      <c r="B114" s="703"/>
      <c r="C114" s="703"/>
    </row>
    <row r="115">
      <c r="A115" s="674"/>
      <c r="B115" s="703"/>
      <c r="C115" s="703"/>
    </row>
    <row r="116">
      <c r="A116" s="674"/>
      <c r="B116" s="703"/>
      <c r="C116" s="703"/>
    </row>
    <row r="117">
      <c r="A117" s="674"/>
      <c r="B117" s="703"/>
      <c r="C117" s="703"/>
    </row>
    <row r="118">
      <c r="A118" s="674"/>
      <c r="B118" s="703"/>
      <c r="C118" s="703"/>
    </row>
    <row r="119">
      <c r="A119" s="674"/>
      <c r="B119" s="703"/>
      <c r="C119" s="703"/>
    </row>
    <row r="120">
      <c r="A120" s="674"/>
      <c r="B120" s="703"/>
      <c r="C120" s="703"/>
    </row>
    <row r="121">
      <c r="A121" s="674"/>
      <c r="B121" s="703"/>
      <c r="C121" s="703"/>
    </row>
    <row r="122">
      <c r="A122" s="674"/>
      <c r="B122" s="703"/>
      <c r="C122" s="703"/>
    </row>
    <row r="123">
      <c r="A123" s="674"/>
      <c r="B123" s="703"/>
      <c r="C123" s="703"/>
    </row>
    <row r="124">
      <c r="A124" s="674"/>
      <c r="B124" s="703"/>
      <c r="C124" s="703"/>
    </row>
    <row r="125">
      <c r="A125" s="674"/>
      <c r="B125" s="703"/>
      <c r="C125" s="703"/>
    </row>
    <row r="126">
      <c r="A126" s="674"/>
      <c r="B126" s="703"/>
      <c r="C126" s="703"/>
    </row>
    <row r="127">
      <c r="A127" s="674"/>
      <c r="B127" s="703"/>
      <c r="C127" s="703"/>
    </row>
    <row r="128">
      <c r="A128" s="674"/>
      <c r="B128" s="703"/>
      <c r="C128" s="703"/>
    </row>
    <row r="129">
      <c r="A129" s="674"/>
      <c r="B129" s="703"/>
      <c r="C129" s="703"/>
    </row>
    <row r="130">
      <c r="A130" s="674"/>
      <c r="B130" s="703"/>
      <c r="C130" s="703"/>
    </row>
    <row r="131">
      <c r="A131" s="674"/>
      <c r="B131" s="703"/>
      <c r="C131" s="703"/>
    </row>
    <row r="132">
      <c r="A132" s="674"/>
      <c r="B132" s="703"/>
      <c r="C132" s="703"/>
    </row>
    <row r="133">
      <c r="A133" s="674"/>
      <c r="B133" s="703"/>
      <c r="C133" s="703"/>
    </row>
    <row r="134">
      <c r="A134" s="674"/>
      <c r="B134" s="703"/>
      <c r="C134" s="703"/>
    </row>
    <row r="135">
      <c r="A135" s="674"/>
      <c r="B135" s="703"/>
      <c r="C135" s="703"/>
    </row>
    <row r="136">
      <c r="A136" s="674"/>
      <c r="B136" s="703"/>
      <c r="C136" s="703"/>
    </row>
    <row r="137">
      <c r="A137" s="674"/>
      <c r="B137" s="703"/>
      <c r="C137" s="703"/>
    </row>
    <row r="138">
      <c r="A138" s="674"/>
      <c r="B138" s="703"/>
      <c r="C138" s="703"/>
    </row>
    <row r="139">
      <c r="A139" s="674"/>
      <c r="B139" s="703"/>
      <c r="C139" s="703"/>
    </row>
    <row r="140">
      <c r="A140" s="674"/>
      <c r="B140" s="703"/>
      <c r="C140" s="703"/>
    </row>
    <row r="141">
      <c r="A141" s="674"/>
      <c r="B141" s="703"/>
      <c r="C141" s="703"/>
    </row>
    <row r="142">
      <c r="A142" s="674"/>
      <c r="B142" s="703"/>
      <c r="C142" s="703"/>
    </row>
    <row r="143">
      <c r="A143" s="674"/>
      <c r="B143" s="703"/>
      <c r="C143" s="703"/>
    </row>
    <row r="144">
      <c r="A144" s="674"/>
      <c r="B144" s="703"/>
      <c r="C144" s="703"/>
    </row>
    <row r="145">
      <c r="A145" s="674"/>
      <c r="B145" s="703"/>
      <c r="C145" s="703"/>
    </row>
    <row r="146">
      <c r="A146" s="674"/>
      <c r="B146" s="703"/>
      <c r="C146" s="703"/>
    </row>
    <row r="147">
      <c r="A147" s="674"/>
      <c r="B147" s="703"/>
      <c r="C147" s="703"/>
    </row>
    <row r="148">
      <c r="A148" s="674"/>
      <c r="B148" s="703"/>
      <c r="C148" s="703"/>
    </row>
    <row r="149">
      <c r="A149" s="674"/>
      <c r="B149" s="703"/>
      <c r="C149" s="703"/>
    </row>
    <row r="150">
      <c r="A150" s="674"/>
      <c r="B150" s="703"/>
      <c r="C150" s="703"/>
    </row>
    <row r="151">
      <c r="A151" s="674"/>
      <c r="B151" s="703"/>
      <c r="C151" s="703"/>
    </row>
    <row r="152">
      <c r="A152" s="674"/>
      <c r="B152" s="703"/>
      <c r="C152" s="703"/>
    </row>
    <row r="153">
      <c r="A153" s="674"/>
      <c r="B153" s="703"/>
      <c r="C153" s="703"/>
    </row>
    <row r="154">
      <c r="A154" s="674"/>
      <c r="B154" s="703"/>
      <c r="C154" s="703"/>
    </row>
    <row r="155">
      <c r="A155" s="674"/>
      <c r="B155" s="703"/>
      <c r="C155" s="703"/>
    </row>
    <row r="156">
      <c r="A156" s="674"/>
      <c r="B156" s="703"/>
      <c r="C156" s="703"/>
    </row>
    <row r="157">
      <c r="A157" s="674"/>
      <c r="B157" s="703"/>
      <c r="C157" s="703"/>
    </row>
    <row r="158">
      <c r="A158" s="674"/>
      <c r="B158" s="703"/>
      <c r="C158" s="703"/>
    </row>
    <row r="159">
      <c r="A159" s="674"/>
      <c r="B159" s="703"/>
      <c r="C159" s="703"/>
    </row>
    <row r="160">
      <c r="A160" s="674"/>
      <c r="B160" s="703"/>
      <c r="C160" s="703"/>
    </row>
    <row r="161">
      <c r="A161" s="674"/>
      <c r="B161" s="703"/>
      <c r="C161" s="703"/>
    </row>
    <row r="162">
      <c r="A162" s="674"/>
      <c r="B162" s="703"/>
      <c r="C162" s="703"/>
    </row>
    <row r="163">
      <c r="A163" s="674"/>
      <c r="B163" s="703"/>
      <c r="C163" s="703"/>
    </row>
    <row r="164">
      <c r="A164" s="674"/>
      <c r="B164" s="703"/>
      <c r="C164" s="703"/>
    </row>
    <row r="165">
      <c r="A165" s="674"/>
      <c r="B165" s="703"/>
      <c r="C165" s="703"/>
    </row>
    <row r="166">
      <c r="A166" s="674"/>
      <c r="B166" s="703"/>
      <c r="C166" s="703"/>
    </row>
    <row r="167">
      <c r="A167" s="674"/>
      <c r="B167" s="703"/>
      <c r="C167" s="703"/>
    </row>
    <row r="168">
      <c r="A168" s="674"/>
      <c r="B168" s="703"/>
      <c r="C168" s="703"/>
    </row>
    <row r="169">
      <c r="A169" s="674"/>
      <c r="B169" s="703"/>
      <c r="C169" s="703"/>
    </row>
    <row r="170">
      <c r="A170" s="674"/>
      <c r="B170" s="703"/>
      <c r="C170" s="703"/>
    </row>
    <row r="171">
      <c r="A171" s="674"/>
      <c r="B171" s="703"/>
      <c r="C171" s="703"/>
    </row>
    <row r="172">
      <c r="A172" s="674"/>
      <c r="B172" s="703"/>
      <c r="C172" s="703"/>
    </row>
    <row r="173">
      <c r="A173" s="674"/>
      <c r="B173" s="703"/>
      <c r="C173" s="703"/>
    </row>
    <row r="174">
      <c r="A174" s="674"/>
      <c r="B174" s="703"/>
      <c r="C174" s="703"/>
    </row>
    <row r="175">
      <c r="A175" s="674"/>
      <c r="B175" s="703"/>
      <c r="C175" s="703"/>
    </row>
    <row r="176">
      <c r="A176" s="674"/>
      <c r="B176" s="703"/>
      <c r="C176" s="703"/>
    </row>
    <row r="177">
      <c r="A177" s="674"/>
      <c r="B177" s="703"/>
      <c r="C177" s="703"/>
    </row>
    <row r="178">
      <c r="A178" s="674"/>
      <c r="B178" s="703"/>
      <c r="C178" s="703"/>
    </row>
    <row r="179">
      <c r="A179" s="674"/>
      <c r="B179" s="703"/>
      <c r="C179" s="703"/>
    </row>
    <row r="180">
      <c r="A180" s="674"/>
      <c r="B180" s="703"/>
      <c r="C180" s="703"/>
    </row>
    <row r="181">
      <c r="A181" s="674"/>
      <c r="B181" s="703"/>
      <c r="C181" s="703"/>
    </row>
    <row r="182">
      <c r="A182" s="674"/>
      <c r="B182" s="703"/>
      <c r="C182" s="703"/>
    </row>
    <row r="183">
      <c r="A183" s="674"/>
      <c r="B183" s="703"/>
      <c r="C183" s="703"/>
    </row>
    <row r="184">
      <c r="A184" s="674"/>
      <c r="B184" s="703"/>
      <c r="C184" s="703"/>
    </row>
    <row r="185">
      <c r="A185" s="674"/>
      <c r="B185" s="703"/>
      <c r="C185" s="703"/>
    </row>
    <row r="186">
      <c r="A186" s="674"/>
      <c r="B186" s="703"/>
      <c r="C186" s="703"/>
    </row>
    <row r="187">
      <c r="A187" s="674"/>
      <c r="B187" s="703"/>
      <c r="C187" s="703"/>
    </row>
    <row r="188">
      <c r="A188" s="674"/>
      <c r="B188" s="703"/>
      <c r="C188" s="703"/>
    </row>
    <row r="189">
      <c r="A189" s="674"/>
      <c r="B189" s="703"/>
      <c r="C189" s="703"/>
    </row>
    <row r="190">
      <c r="A190" s="674"/>
      <c r="B190" s="703"/>
      <c r="C190" s="703"/>
    </row>
    <row r="191">
      <c r="A191" s="674"/>
      <c r="B191" s="703"/>
      <c r="C191" s="703"/>
    </row>
    <row r="192">
      <c r="A192" s="674"/>
      <c r="B192" s="703"/>
      <c r="C192" s="703"/>
    </row>
    <row r="193">
      <c r="A193" s="674"/>
      <c r="B193" s="703"/>
      <c r="C193" s="703"/>
    </row>
    <row r="194">
      <c r="A194" s="674"/>
      <c r="B194" s="703"/>
      <c r="C194" s="703"/>
    </row>
    <row r="195">
      <c r="A195" s="674"/>
      <c r="B195" s="703"/>
      <c r="C195" s="703"/>
    </row>
    <row r="196">
      <c r="A196" s="674"/>
      <c r="B196" s="703"/>
      <c r="C196" s="703"/>
    </row>
    <row r="197">
      <c r="A197" s="674"/>
      <c r="B197" s="703"/>
      <c r="C197" s="703"/>
    </row>
    <row r="198">
      <c r="A198" s="674"/>
      <c r="B198" s="703"/>
      <c r="C198" s="703"/>
    </row>
    <row r="199">
      <c r="A199" s="674"/>
      <c r="B199" s="703"/>
      <c r="C199" s="703"/>
    </row>
    <row r="200">
      <c r="A200" s="674"/>
      <c r="B200" s="703"/>
      <c r="C200" s="703"/>
    </row>
    <row r="201">
      <c r="A201" s="674"/>
      <c r="B201" s="703"/>
      <c r="C201" s="703"/>
    </row>
    <row r="202">
      <c r="A202" s="674"/>
      <c r="B202" s="703"/>
      <c r="C202" s="703"/>
    </row>
    <row r="203">
      <c r="A203" s="674"/>
      <c r="B203" s="703"/>
      <c r="C203" s="703"/>
    </row>
    <row r="204">
      <c r="A204" s="674"/>
      <c r="B204" s="703"/>
      <c r="C204" s="703"/>
    </row>
    <row r="205">
      <c r="A205" s="674"/>
      <c r="B205" s="703"/>
      <c r="C205" s="703"/>
    </row>
    <row r="206">
      <c r="A206" s="674"/>
      <c r="B206" s="703"/>
      <c r="C206" s="703"/>
    </row>
    <row r="207">
      <c r="A207" s="674"/>
      <c r="B207" s="703"/>
      <c r="C207" s="703"/>
    </row>
    <row r="208">
      <c r="A208" s="674"/>
      <c r="B208" s="703"/>
      <c r="C208" s="703"/>
    </row>
    <row r="209">
      <c r="A209" s="674"/>
      <c r="B209" s="703"/>
      <c r="C209" s="703"/>
    </row>
    <row r="210">
      <c r="A210" s="674"/>
      <c r="B210" s="703"/>
      <c r="C210" s="703"/>
    </row>
    <row r="211">
      <c r="A211" s="674"/>
      <c r="B211" s="703"/>
      <c r="C211" s="703"/>
    </row>
    <row r="212">
      <c r="A212" s="674"/>
      <c r="B212" s="703"/>
      <c r="C212" s="703"/>
    </row>
    <row r="213">
      <c r="A213" s="674"/>
      <c r="B213" s="703"/>
      <c r="C213" s="703"/>
    </row>
    <row r="214">
      <c r="A214" s="674"/>
      <c r="B214" s="703"/>
      <c r="C214" s="703"/>
    </row>
    <row r="215">
      <c r="A215" s="674"/>
      <c r="B215" s="703"/>
      <c r="C215" s="703"/>
    </row>
    <row r="216">
      <c r="A216" s="674"/>
      <c r="B216" s="703"/>
      <c r="C216" s="703"/>
    </row>
    <row r="217">
      <c r="A217" s="674"/>
      <c r="B217" s="703"/>
      <c r="C217" s="703"/>
    </row>
    <row r="218">
      <c r="A218" s="674"/>
      <c r="B218" s="703"/>
      <c r="C218" s="703"/>
    </row>
    <row r="219">
      <c r="A219" s="674"/>
      <c r="B219" s="703"/>
      <c r="C219" s="703"/>
    </row>
    <row r="220">
      <c r="A220" s="674"/>
      <c r="B220" s="703"/>
      <c r="C220" s="703"/>
    </row>
    <row r="221">
      <c r="A221" s="674"/>
      <c r="B221" s="703"/>
      <c r="C221" s="703"/>
    </row>
    <row r="222">
      <c r="A222" s="674"/>
      <c r="B222" s="703"/>
      <c r="C222" s="703"/>
    </row>
    <row r="223">
      <c r="A223" s="674"/>
      <c r="B223" s="703"/>
      <c r="C223" s="703"/>
    </row>
    <row r="224">
      <c r="A224" s="674"/>
      <c r="B224" s="703"/>
      <c r="C224" s="703"/>
    </row>
    <row r="225">
      <c r="A225" s="674"/>
      <c r="B225" s="703"/>
      <c r="C225" s="703"/>
    </row>
    <row r="226">
      <c r="A226" s="674"/>
      <c r="B226" s="703"/>
      <c r="C226" s="703"/>
    </row>
    <row r="227">
      <c r="A227" s="674"/>
      <c r="B227" s="703"/>
      <c r="C227" s="703"/>
    </row>
    <row r="228">
      <c r="A228" s="674"/>
      <c r="B228" s="703"/>
      <c r="C228" s="703"/>
    </row>
    <row r="229">
      <c r="A229" s="674"/>
      <c r="B229" s="703"/>
      <c r="C229" s="703"/>
    </row>
    <row r="230">
      <c r="A230" s="674"/>
      <c r="B230" s="703"/>
      <c r="C230" s="703"/>
    </row>
    <row r="231">
      <c r="A231" s="674"/>
      <c r="B231" s="703"/>
      <c r="C231" s="703"/>
    </row>
    <row r="232">
      <c r="A232" s="674"/>
      <c r="B232" s="703"/>
      <c r="C232" s="703"/>
    </row>
    <row r="233">
      <c r="A233" s="674"/>
      <c r="B233" s="703"/>
      <c r="C233" s="703"/>
    </row>
    <row r="234">
      <c r="A234" s="674"/>
      <c r="B234" s="703"/>
      <c r="C234" s="703"/>
    </row>
    <row r="235">
      <c r="A235" s="674"/>
      <c r="B235" s="703"/>
      <c r="C235" s="703"/>
    </row>
    <row r="236">
      <c r="A236" s="674"/>
      <c r="B236" s="703"/>
      <c r="C236" s="703"/>
    </row>
    <row r="237">
      <c r="A237" s="674"/>
      <c r="B237" s="703"/>
      <c r="C237" s="703"/>
    </row>
    <row r="238">
      <c r="A238" s="674"/>
      <c r="B238" s="703"/>
      <c r="C238" s="703"/>
    </row>
    <row r="239">
      <c r="A239" s="674"/>
      <c r="B239" s="703"/>
      <c r="C239" s="703"/>
    </row>
    <row r="240">
      <c r="A240" s="674"/>
      <c r="B240" s="703"/>
      <c r="C240" s="703"/>
    </row>
    <row r="241">
      <c r="A241" s="674"/>
      <c r="B241" s="703"/>
      <c r="C241" s="703"/>
    </row>
    <row r="242">
      <c r="A242" s="674"/>
      <c r="B242" s="703"/>
      <c r="C242" s="703"/>
    </row>
    <row r="243">
      <c r="A243" s="674"/>
      <c r="B243" s="703"/>
      <c r="C243" s="703"/>
    </row>
    <row r="244">
      <c r="A244" s="674"/>
      <c r="B244" s="703"/>
      <c r="C244" s="703"/>
    </row>
    <row r="245">
      <c r="A245" s="674"/>
      <c r="B245" s="703"/>
      <c r="C245" s="703"/>
    </row>
    <row r="246">
      <c r="A246" s="674"/>
      <c r="B246" s="703"/>
      <c r="C246" s="703"/>
    </row>
    <row r="247">
      <c r="A247" s="674"/>
      <c r="B247" s="703"/>
      <c r="C247" s="703"/>
    </row>
    <row r="248">
      <c r="A248" s="674"/>
      <c r="B248" s="703"/>
      <c r="C248" s="703"/>
    </row>
    <row r="249">
      <c r="A249" s="674"/>
      <c r="B249" s="703"/>
      <c r="C249" s="703"/>
    </row>
    <row r="250">
      <c r="A250" s="674"/>
      <c r="B250" s="703"/>
      <c r="C250" s="703"/>
    </row>
    <row r="251">
      <c r="A251" s="674"/>
      <c r="B251" s="703"/>
      <c r="C251" s="703"/>
    </row>
    <row r="252">
      <c r="A252" s="674"/>
      <c r="B252" s="703"/>
      <c r="C252" s="703"/>
    </row>
    <row r="253">
      <c r="A253" s="674"/>
      <c r="B253" s="703"/>
      <c r="C253" s="703"/>
    </row>
    <row r="254">
      <c r="A254" s="674"/>
      <c r="B254" s="703"/>
      <c r="C254" s="703"/>
    </row>
    <row r="255">
      <c r="A255" s="674"/>
      <c r="B255" s="703"/>
      <c r="C255" s="703"/>
    </row>
    <row r="256">
      <c r="A256" s="674"/>
      <c r="B256" s="703"/>
      <c r="C256" s="703"/>
    </row>
    <row r="257">
      <c r="A257" s="674"/>
      <c r="B257" s="703"/>
      <c r="C257" s="703"/>
    </row>
    <row r="258">
      <c r="A258" s="674"/>
      <c r="B258" s="703"/>
      <c r="C258" s="703"/>
    </row>
    <row r="259">
      <c r="A259" s="674"/>
      <c r="B259" s="703"/>
      <c r="C259" s="703"/>
    </row>
    <row r="260">
      <c r="A260" s="674"/>
      <c r="B260" s="703"/>
      <c r="C260" s="703"/>
    </row>
    <row r="261">
      <c r="A261" s="674"/>
      <c r="B261" s="703"/>
      <c r="C261" s="703"/>
    </row>
    <row r="262">
      <c r="A262" s="674"/>
      <c r="B262" s="703"/>
      <c r="C262" s="703"/>
    </row>
    <row r="263">
      <c r="A263" s="674"/>
      <c r="B263" s="703"/>
      <c r="C263" s="703"/>
    </row>
    <row r="264">
      <c r="A264" s="674"/>
      <c r="B264" s="703"/>
      <c r="C264" s="703"/>
    </row>
    <row r="265">
      <c r="A265" s="674"/>
      <c r="B265" s="703"/>
      <c r="C265" s="703"/>
    </row>
    <row r="266">
      <c r="A266" s="674"/>
      <c r="B266" s="703"/>
      <c r="C266" s="703"/>
    </row>
    <row r="267">
      <c r="A267" s="674"/>
      <c r="B267" s="703"/>
      <c r="C267" s="703"/>
    </row>
    <row r="268">
      <c r="A268" s="674"/>
      <c r="B268" s="703"/>
      <c r="C268" s="703"/>
    </row>
    <row r="269">
      <c r="A269" s="674"/>
      <c r="B269" s="703"/>
      <c r="C269" s="703"/>
    </row>
    <row r="270">
      <c r="A270" s="674"/>
      <c r="B270" s="703"/>
      <c r="C270" s="703"/>
    </row>
    <row r="271">
      <c r="A271" s="674"/>
      <c r="B271" s="703"/>
      <c r="C271" s="703"/>
    </row>
    <row r="272">
      <c r="A272" s="674"/>
      <c r="B272" s="703"/>
      <c r="C272" s="703"/>
    </row>
    <row r="273">
      <c r="A273" s="674"/>
      <c r="B273" s="703"/>
      <c r="C273" s="703"/>
    </row>
    <row r="274">
      <c r="A274" s="674"/>
      <c r="B274" s="703"/>
      <c r="C274" s="703"/>
    </row>
    <row r="275">
      <c r="A275" s="674"/>
      <c r="B275" s="703"/>
      <c r="C275" s="703"/>
    </row>
    <row r="276">
      <c r="A276" s="674"/>
      <c r="B276" s="703"/>
      <c r="C276" s="703"/>
    </row>
    <row r="277">
      <c r="A277" s="674"/>
      <c r="B277" s="703"/>
      <c r="C277" s="703"/>
    </row>
    <row r="278">
      <c r="A278" s="674"/>
      <c r="B278" s="703"/>
      <c r="C278" s="703"/>
    </row>
    <row r="279">
      <c r="A279" s="674"/>
      <c r="B279" s="703"/>
      <c r="C279" s="703"/>
    </row>
    <row r="280">
      <c r="A280" s="674"/>
      <c r="B280" s="703"/>
      <c r="C280" s="703"/>
    </row>
    <row r="281">
      <c r="A281" s="674"/>
      <c r="B281" s="703"/>
      <c r="C281" s="703"/>
    </row>
    <row r="282">
      <c r="A282" s="674"/>
      <c r="B282" s="703"/>
      <c r="C282" s="703"/>
    </row>
    <row r="283">
      <c r="A283" s="674"/>
      <c r="B283" s="703"/>
      <c r="C283" s="703"/>
    </row>
    <row r="284">
      <c r="A284" s="674"/>
      <c r="B284" s="703"/>
      <c r="C284" s="703"/>
    </row>
    <row r="285">
      <c r="A285" s="674"/>
      <c r="B285" s="703"/>
      <c r="C285" s="703"/>
    </row>
    <row r="286">
      <c r="A286" s="674"/>
      <c r="B286" s="703"/>
      <c r="C286" s="703"/>
    </row>
    <row r="287">
      <c r="A287" s="674"/>
      <c r="B287" s="703"/>
      <c r="C287" s="703"/>
    </row>
    <row r="288">
      <c r="A288" s="674"/>
      <c r="B288" s="703"/>
      <c r="C288" s="703"/>
    </row>
    <row r="289">
      <c r="A289" s="674"/>
      <c r="B289" s="703"/>
      <c r="C289" s="703"/>
    </row>
    <row r="290">
      <c r="A290" s="674"/>
      <c r="B290" s="703"/>
      <c r="C290" s="703"/>
    </row>
    <row r="291">
      <c r="A291" s="674"/>
      <c r="B291" s="703"/>
      <c r="C291" s="703"/>
    </row>
    <row r="292">
      <c r="A292" s="674"/>
      <c r="B292" s="703"/>
      <c r="C292" s="703"/>
    </row>
    <row r="293">
      <c r="A293" s="674"/>
      <c r="B293" s="703"/>
      <c r="C293" s="703"/>
    </row>
    <row r="294">
      <c r="A294" s="674"/>
      <c r="B294" s="703"/>
      <c r="C294" s="703"/>
    </row>
    <row r="295">
      <c r="A295" s="674"/>
      <c r="B295" s="703"/>
      <c r="C295" s="703"/>
    </row>
    <row r="296">
      <c r="A296" s="674"/>
      <c r="B296" s="703"/>
      <c r="C296" s="703"/>
    </row>
    <row r="297">
      <c r="A297" s="674"/>
      <c r="B297" s="703"/>
      <c r="C297" s="703"/>
    </row>
    <row r="298">
      <c r="A298" s="674"/>
      <c r="B298" s="703"/>
      <c r="C298" s="703"/>
    </row>
    <row r="299">
      <c r="A299" s="674"/>
      <c r="B299" s="703"/>
      <c r="C299" s="703"/>
    </row>
    <row r="300">
      <c r="A300" s="674"/>
      <c r="B300" s="703"/>
      <c r="C300" s="703"/>
    </row>
    <row r="301">
      <c r="A301" s="674"/>
      <c r="B301" s="703"/>
      <c r="C301" s="703"/>
    </row>
    <row r="302">
      <c r="A302" s="674"/>
      <c r="B302" s="703"/>
      <c r="C302" s="703"/>
    </row>
    <row r="303">
      <c r="A303" s="674"/>
      <c r="B303" s="703"/>
      <c r="C303" s="703"/>
    </row>
    <row r="304">
      <c r="A304" s="674"/>
      <c r="B304" s="703"/>
      <c r="C304" s="703"/>
    </row>
    <row r="305">
      <c r="A305" s="674"/>
      <c r="B305" s="703"/>
      <c r="C305" s="703"/>
    </row>
    <row r="306">
      <c r="A306" s="674"/>
      <c r="B306" s="703"/>
      <c r="C306" s="703"/>
    </row>
    <row r="307">
      <c r="A307" s="674"/>
      <c r="B307" s="703"/>
      <c r="C307" s="703"/>
    </row>
    <row r="308">
      <c r="A308" s="674"/>
      <c r="B308" s="703"/>
      <c r="C308" s="703"/>
    </row>
    <row r="309">
      <c r="A309" s="674"/>
      <c r="B309" s="703"/>
      <c r="C309" s="703"/>
    </row>
    <row r="310">
      <c r="A310" s="674"/>
      <c r="B310" s="703"/>
      <c r="C310" s="703"/>
    </row>
    <row r="311">
      <c r="A311" s="674"/>
      <c r="B311" s="703"/>
      <c r="C311" s="703"/>
    </row>
    <row r="312">
      <c r="A312" s="674"/>
      <c r="B312" s="703"/>
      <c r="C312" s="703"/>
    </row>
    <row r="313">
      <c r="A313" s="674"/>
      <c r="B313" s="703"/>
      <c r="C313" s="703"/>
    </row>
    <row r="314">
      <c r="A314" s="674"/>
      <c r="B314" s="703"/>
      <c r="C314" s="703"/>
    </row>
    <row r="315">
      <c r="A315" s="674"/>
      <c r="B315" s="703"/>
      <c r="C315" s="703"/>
    </row>
    <row r="316">
      <c r="A316" s="674"/>
      <c r="B316" s="703"/>
      <c r="C316" s="703"/>
    </row>
    <row r="317">
      <c r="A317" s="674"/>
      <c r="B317" s="703"/>
      <c r="C317" s="703"/>
    </row>
    <row r="318">
      <c r="A318" s="674"/>
      <c r="B318" s="703"/>
      <c r="C318" s="703"/>
    </row>
    <row r="319">
      <c r="A319" s="674"/>
      <c r="B319" s="703"/>
      <c r="C319" s="703"/>
    </row>
    <row r="320">
      <c r="A320" s="674"/>
      <c r="B320" s="703"/>
      <c r="C320" s="703"/>
    </row>
    <row r="321">
      <c r="A321" s="674"/>
      <c r="B321" s="703"/>
      <c r="C321" s="703"/>
    </row>
    <row r="322">
      <c r="A322" s="674"/>
      <c r="B322" s="703"/>
      <c r="C322" s="703"/>
    </row>
    <row r="323">
      <c r="A323" s="674"/>
      <c r="B323" s="703"/>
      <c r="C323" s="703"/>
    </row>
    <row r="324">
      <c r="A324" s="674"/>
      <c r="B324" s="703"/>
      <c r="C324" s="703"/>
    </row>
    <row r="325">
      <c r="A325" s="674"/>
      <c r="B325" s="703"/>
      <c r="C325" s="703"/>
    </row>
    <row r="326">
      <c r="A326" s="674"/>
      <c r="B326" s="703"/>
      <c r="C326" s="703"/>
    </row>
    <row r="327">
      <c r="A327" s="674"/>
      <c r="B327" s="703"/>
      <c r="C327" s="703"/>
    </row>
    <row r="328">
      <c r="A328" s="674"/>
      <c r="B328" s="703"/>
      <c r="C328" s="703"/>
    </row>
    <row r="329">
      <c r="A329" s="674"/>
      <c r="B329" s="703"/>
      <c r="C329" s="703"/>
    </row>
    <row r="330">
      <c r="A330" s="674"/>
      <c r="B330" s="703"/>
      <c r="C330" s="703"/>
    </row>
    <row r="331">
      <c r="A331" s="674"/>
      <c r="B331" s="703"/>
      <c r="C331" s="703"/>
    </row>
    <row r="332">
      <c r="A332" s="674"/>
      <c r="B332" s="703"/>
      <c r="C332" s="703"/>
    </row>
    <row r="333">
      <c r="A333" s="674"/>
      <c r="B333" s="703"/>
      <c r="C333" s="703"/>
    </row>
    <row r="334">
      <c r="A334" s="674"/>
      <c r="B334" s="703"/>
      <c r="C334" s="703"/>
    </row>
    <row r="335">
      <c r="A335" s="674"/>
      <c r="B335" s="703"/>
      <c r="C335" s="703"/>
    </row>
    <row r="336">
      <c r="A336" s="674"/>
      <c r="B336" s="703"/>
      <c r="C336" s="703"/>
    </row>
    <row r="337">
      <c r="A337" s="674"/>
      <c r="B337" s="703"/>
      <c r="C337" s="703"/>
    </row>
    <row r="338">
      <c r="A338" s="674"/>
      <c r="B338" s="703"/>
      <c r="C338" s="703"/>
    </row>
    <row r="339">
      <c r="A339" s="674"/>
      <c r="B339" s="703"/>
      <c r="C339" s="703"/>
    </row>
    <row r="340">
      <c r="A340" s="674"/>
      <c r="B340" s="703"/>
      <c r="C340" s="703"/>
    </row>
    <row r="341">
      <c r="A341" s="674"/>
      <c r="B341" s="703"/>
      <c r="C341" s="703"/>
    </row>
    <row r="342">
      <c r="A342" s="674"/>
      <c r="B342" s="703"/>
      <c r="C342" s="703"/>
    </row>
    <row r="343">
      <c r="A343" s="674"/>
      <c r="B343" s="703"/>
      <c r="C343" s="703"/>
    </row>
    <row r="344">
      <c r="A344" s="674"/>
      <c r="B344" s="703"/>
      <c r="C344" s="703"/>
    </row>
    <row r="345">
      <c r="A345" s="674"/>
      <c r="B345" s="703"/>
      <c r="C345" s="703"/>
    </row>
    <row r="346">
      <c r="A346" s="674"/>
      <c r="B346" s="703"/>
      <c r="C346" s="703"/>
    </row>
    <row r="347">
      <c r="A347" s="674"/>
      <c r="B347" s="703"/>
      <c r="C347" s="703"/>
    </row>
    <row r="348">
      <c r="A348" s="674"/>
      <c r="B348" s="703"/>
      <c r="C348" s="703"/>
    </row>
    <row r="349">
      <c r="A349" s="674"/>
      <c r="B349" s="703"/>
      <c r="C349" s="703"/>
    </row>
    <row r="350">
      <c r="A350" s="674"/>
      <c r="B350" s="703"/>
      <c r="C350" s="703"/>
    </row>
    <row r="351">
      <c r="A351" s="674"/>
      <c r="B351" s="703"/>
      <c r="C351" s="703"/>
    </row>
    <row r="352">
      <c r="A352" s="674"/>
      <c r="B352" s="703"/>
      <c r="C352" s="703"/>
    </row>
    <row r="353">
      <c r="A353" s="674"/>
      <c r="B353" s="703"/>
      <c r="C353" s="703"/>
    </row>
    <row r="354">
      <c r="A354" s="674"/>
      <c r="B354" s="703"/>
      <c r="C354" s="703"/>
    </row>
    <row r="355">
      <c r="A355" s="674"/>
      <c r="B355" s="703"/>
      <c r="C355" s="703"/>
    </row>
    <row r="356">
      <c r="A356" s="674"/>
      <c r="B356" s="703"/>
      <c r="C356" s="703"/>
    </row>
    <row r="357">
      <c r="A357" s="674"/>
      <c r="B357" s="703"/>
      <c r="C357" s="703"/>
    </row>
    <row r="358">
      <c r="A358" s="674"/>
      <c r="B358" s="703"/>
      <c r="C358" s="703"/>
    </row>
    <row r="359">
      <c r="A359" s="674"/>
      <c r="B359" s="703"/>
      <c r="C359" s="703"/>
    </row>
    <row r="360">
      <c r="A360" s="674"/>
      <c r="B360" s="703"/>
      <c r="C360" s="703"/>
    </row>
    <row r="361">
      <c r="A361" s="674"/>
      <c r="B361" s="703"/>
      <c r="C361" s="703"/>
    </row>
    <row r="362">
      <c r="A362" s="674"/>
      <c r="B362" s="703"/>
      <c r="C362" s="703"/>
    </row>
    <row r="363">
      <c r="A363" s="674"/>
      <c r="B363" s="703"/>
      <c r="C363" s="703"/>
    </row>
    <row r="364">
      <c r="A364" s="674"/>
      <c r="B364" s="703"/>
      <c r="C364" s="703"/>
    </row>
    <row r="365">
      <c r="A365" s="674"/>
      <c r="B365" s="703"/>
      <c r="C365" s="703"/>
    </row>
    <row r="366">
      <c r="A366" s="674"/>
      <c r="B366" s="703"/>
      <c r="C366" s="703"/>
    </row>
    <row r="367">
      <c r="A367" s="674"/>
      <c r="B367" s="703"/>
      <c r="C367" s="703"/>
    </row>
    <row r="368">
      <c r="A368" s="674"/>
      <c r="B368" s="703"/>
      <c r="C368" s="703"/>
    </row>
    <row r="369">
      <c r="A369" s="674"/>
      <c r="B369" s="703"/>
      <c r="C369" s="703"/>
    </row>
    <row r="370">
      <c r="A370" s="674"/>
      <c r="B370" s="703"/>
      <c r="C370" s="703"/>
    </row>
    <row r="371">
      <c r="A371" s="674"/>
      <c r="B371" s="703"/>
      <c r="C371" s="703"/>
    </row>
    <row r="372">
      <c r="A372" s="674"/>
      <c r="B372" s="703"/>
      <c r="C372" s="703"/>
    </row>
    <row r="373">
      <c r="A373" s="674"/>
      <c r="B373" s="703"/>
      <c r="C373" s="703"/>
    </row>
    <row r="374">
      <c r="A374" s="674"/>
      <c r="B374" s="703"/>
      <c r="C374" s="703"/>
    </row>
    <row r="375">
      <c r="A375" s="674"/>
      <c r="B375" s="703"/>
      <c r="C375" s="703"/>
    </row>
    <row r="376">
      <c r="A376" s="674"/>
      <c r="B376" s="703"/>
      <c r="C376" s="703"/>
    </row>
    <row r="377">
      <c r="A377" s="674"/>
      <c r="B377" s="703"/>
      <c r="C377" s="703"/>
    </row>
    <row r="378">
      <c r="A378" s="674"/>
      <c r="B378" s="703"/>
      <c r="C378" s="703"/>
    </row>
    <row r="379">
      <c r="A379" s="674"/>
      <c r="B379" s="703"/>
      <c r="C379" s="703"/>
    </row>
    <row r="380">
      <c r="A380" s="674"/>
      <c r="B380" s="703"/>
      <c r="C380" s="703"/>
    </row>
    <row r="381">
      <c r="A381" s="674"/>
      <c r="B381" s="703"/>
      <c r="C381" s="703"/>
    </row>
    <row r="382">
      <c r="A382" s="674"/>
      <c r="B382" s="703"/>
      <c r="C382" s="703"/>
    </row>
    <row r="383">
      <c r="A383" s="674"/>
      <c r="B383" s="703"/>
      <c r="C383" s="703"/>
    </row>
    <row r="384">
      <c r="A384" s="674"/>
      <c r="B384" s="703"/>
      <c r="C384" s="703"/>
    </row>
    <row r="385">
      <c r="A385" s="674"/>
      <c r="B385" s="703"/>
      <c r="C385" s="703"/>
    </row>
    <row r="386">
      <c r="A386" s="674"/>
      <c r="B386" s="703"/>
      <c r="C386" s="703"/>
    </row>
    <row r="387">
      <c r="A387" s="674"/>
      <c r="B387" s="703"/>
      <c r="C387" s="703"/>
    </row>
    <row r="388">
      <c r="A388" s="674"/>
      <c r="B388" s="703"/>
      <c r="C388" s="703"/>
    </row>
    <row r="389">
      <c r="A389" s="674"/>
      <c r="B389" s="703"/>
      <c r="C389" s="703"/>
    </row>
    <row r="390">
      <c r="A390" s="674"/>
      <c r="B390" s="703"/>
      <c r="C390" s="703"/>
    </row>
    <row r="391">
      <c r="A391" s="674"/>
      <c r="B391" s="703"/>
      <c r="C391" s="703"/>
    </row>
    <row r="392">
      <c r="A392" s="674"/>
      <c r="B392" s="703"/>
      <c r="C392" s="703"/>
    </row>
    <row r="393">
      <c r="A393" s="674"/>
      <c r="B393" s="703"/>
      <c r="C393" s="703"/>
    </row>
    <row r="394">
      <c r="A394" s="674"/>
      <c r="B394" s="703"/>
      <c r="C394" s="703"/>
    </row>
    <row r="395">
      <c r="A395" s="674"/>
      <c r="B395" s="703"/>
      <c r="C395" s="703"/>
    </row>
    <row r="396">
      <c r="A396" s="674"/>
      <c r="B396" s="703"/>
      <c r="C396" s="703"/>
    </row>
    <row r="397">
      <c r="A397" s="674"/>
      <c r="B397" s="703"/>
      <c r="C397" s="703"/>
    </row>
    <row r="398">
      <c r="A398" s="674"/>
      <c r="B398" s="703"/>
      <c r="C398" s="703"/>
    </row>
    <row r="399">
      <c r="A399" s="674"/>
      <c r="B399" s="703"/>
      <c r="C399" s="703"/>
    </row>
    <row r="400">
      <c r="A400" s="674"/>
      <c r="B400" s="703"/>
      <c r="C400" s="703"/>
    </row>
    <row r="401">
      <c r="A401" s="674"/>
      <c r="B401" s="703"/>
      <c r="C401" s="703"/>
    </row>
    <row r="402">
      <c r="A402" s="674"/>
      <c r="B402" s="703"/>
      <c r="C402" s="703"/>
    </row>
    <row r="403">
      <c r="A403" s="674"/>
      <c r="B403" s="703"/>
      <c r="C403" s="703"/>
    </row>
    <row r="404">
      <c r="A404" s="674"/>
      <c r="B404" s="703"/>
      <c r="C404" s="703"/>
    </row>
    <row r="405">
      <c r="A405" s="674"/>
      <c r="B405" s="703"/>
      <c r="C405" s="703"/>
    </row>
    <row r="406">
      <c r="A406" s="674"/>
      <c r="B406" s="703"/>
      <c r="C406" s="703"/>
    </row>
    <row r="407">
      <c r="A407" s="674"/>
      <c r="B407" s="703"/>
      <c r="C407" s="703"/>
    </row>
    <row r="408">
      <c r="A408" s="674"/>
      <c r="B408" s="703"/>
      <c r="C408" s="703"/>
    </row>
    <row r="409">
      <c r="A409" s="674"/>
      <c r="B409" s="703"/>
      <c r="C409" s="703"/>
    </row>
    <row r="410">
      <c r="A410" s="674"/>
      <c r="B410" s="703"/>
      <c r="C410" s="703"/>
    </row>
    <row r="411">
      <c r="A411" s="674"/>
      <c r="B411" s="703"/>
      <c r="C411" s="703"/>
    </row>
    <row r="412">
      <c r="A412" s="674"/>
      <c r="B412" s="703"/>
      <c r="C412" s="703"/>
    </row>
    <row r="413">
      <c r="A413" s="674"/>
      <c r="B413" s="703"/>
      <c r="C413" s="703"/>
    </row>
    <row r="414">
      <c r="A414" s="674"/>
      <c r="B414" s="703"/>
      <c r="C414" s="703"/>
    </row>
    <row r="415">
      <c r="A415" s="674"/>
      <c r="B415" s="703"/>
      <c r="C415" s="703"/>
    </row>
    <row r="416">
      <c r="A416" s="674"/>
      <c r="B416" s="703"/>
      <c r="C416" s="703"/>
    </row>
    <row r="417">
      <c r="A417" s="674"/>
      <c r="B417" s="703"/>
      <c r="C417" s="703"/>
    </row>
    <row r="418">
      <c r="A418" s="674"/>
      <c r="B418" s="703"/>
      <c r="C418" s="703"/>
    </row>
    <row r="419">
      <c r="A419" s="674"/>
      <c r="B419" s="703"/>
      <c r="C419" s="703"/>
    </row>
    <row r="420">
      <c r="A420" s="674"/>
      <c r="B420" s="703"/>
      <c r="C420" s="703"/>
    </row>
    <row r="421">
      <c r="A421" s="674"/>
      <c r="B421" s="703"/>
      <c r="C421" s="703"/>
    </row>
    <row r="422">
      <c r="A422" s="674"/>
      <c r="B422" s="703"/>
      <c r="C422" s="703"/>
    </row>
    <row r="423">
      <c r="A423" s="674"/>
      <c r="B423" s="703"/>
      <c r="C423" s="703"/>
    </row>
    <row r="424">
      <c r="A424" s="674"/>
      <c r="B424" s="703"/>
      <c r="C424" s="703"/>
    </row>
    <row r="425">
      <c r="A425" s="674"/>
      <c r="B425" s="703"/>
      <c r="C425" s="703"/>
    </row>
    <row r="426">
      <c r="A426" s="674"/>
      <c r="B426" s="703"/>
      <c r="C426" s="703"/>
    </row>
    <row r="427">
      <c r="A427" s="674"/>
      <c r="B427" s="703"/>
      <c r="C427" s="703"/>
    </row>
    <row r="428">
      <c r="A428" s="674"/>
      <c r="B428" s="703"/>
      <c r="C428" s="703"/>
    </row>
    <row r="429">
      <c r="A429" s="674"/>
      <c r="B429" s="703"/>
      <c r="C429" s="703"/>
    </row>
    <row r="430">
      <c r="A430" s="674"/>
      <c r="B430" s="703"/>
      <c r="C430" s="703"/>
    </row>
    <row r="431">
      <c r="A431" s="674"/>
      <c r="B431" s="703"/>
      <c r="C431" s="703"/>
    </row>
    <row r="432">
      <c r="A432" s="674"/>
      <c r="B432" s="703"/>
      <c r="C432" s="703"/>
    </row>
    <row r="433">
      <c r="A433" s="674"/>
      <c r="B433" s="703"/>
      <c r="C433" s="703"/>
    </row>
    <row r="434">
      <c r="A434" s="674"/>
      <c r="B434" s="703"/>
      <c r="C434" s="703"/>
    </row>
    <row r="435">
      <c r="A435" s="674"/>
      <c r="B435" s="703"/>
      <c r="C435" s="703"/>
    </row>
    <row r="436">
      <c r="A436" s="674"/>
      <c r="B436" s="703"/>
      <c r="C436" s="703"/>
    </row>
    <row r="437">
      <c r="A437" s="674"/>
      <c r="B437" s="703"/>
      <c r="C437" s="703"/>
    </row>
    <row r="438">
      <c r="A438" s="674"/>
      <c r="B438" s="703"/>
      <c r="C438" s="703"/>
    </row>
    <row r="439">
      <c r="A439" s="674"/>
      <c r="B439" s="703"/>
      <c r="C439" s="703"/>
    </row>
    <row r="440">
      <c r="A440" s="674"/>
      <c r="B440" s="703"/>
      <c r="C440" s="703"/>
    </row>
    <row r="441">
      <c r="A441" s="674"/>
      <c r="B441" s="703"/>
      <c r="C441" s="703"/>
    </row>
    <row r="442">
      <c r="A442" s="674"/>
      <c r="B442" s="703"/>
      <c r="C442" s="703"/>
    </row>
    <row r="443">
      <c r="A443" s="674"/>
      <c r="B443" s="703"/>
      <c r="C443" s="703"/>
    </row>
    <row r="444">
      <c r="A444" s="674"/>
      <c r="B444" s="703"/>
      <c r="C444" s="703"/>
    </row>
    <row r="445">
      <c r="A445" s="674"/>
      <c r="B445" s="703"/>
      <c r="C445" s="703"/>
    </row>
    <row r="446">
      <c r="A446" s="674"/>
      <c r="B446" s="703"/>
      <c r="C446" s="703"/>
    </row>
    <row r="447">
      <c r="A447" s="674"/>
      <c r="B447" s="703"/>
      <c r="C447" s="703"/>
    </row>
    <row r="448">
      <c r="A448" s="674"/>
      <c r="B448" s="703"/>
      <c r="C448" s="703"/>
    </row>
    <row r="449">
      <c r="A449" s="674"/>
      <c r="B449" s="703"/>
      <c r="C449" s="703"/>
    </row>
    <row r="450">
      <c r="A450" s="674"/>
      <c r="B450" s="703"/>
      <c r="C450" s="703"/>
    </row>
    <row r="451">
      <c r="A451" s="674"/>
      <c r="B451" s="703"/>
      <c r="C451" s="703"/>
    </row>
    <row r="452">
      <c r="A452" s="674"/>
      <c r="B452" s="703"/>
      <c r="C452" s="703"/>
    </row>
    <row r="453">
      <c r="A453" s="674"/>
      <c r="B453" s="703"/>
      <c r="C453" s="703"/>
    </row>
    <row r="454">
      <c r="A454" s="674"/>
      <c r="B454" s="703"/>
      <c r="C454" s="703"/>
    </row>
    <row r="455">
      <c r="A455" s="674"/>
      <c r="B455" s="703"/>
      <c r="C455" s="703"/>
    </row>
    <row r="456">
      <c r="A456" s="674"/>
      <c r="B456" s="703"/>
      <c r="C456" s="703"/>
    </row>
    <row r="457">
      <c r="A457" s="674"/>
      <c r="B457" s="703"/>
      <c r="C457" s="703"/>
    </row>
    <row r="458">
      <c r="A458" s="674"/>
      <c r="B458" s="703"/>
      <c r="C458" s="703"/>
    </row>
    <row r="459">
      <c r="A459" s="674"/>
      <c r="B459" s="703"/>
      <c r="C459" s="703"/>
    </row>
    <row r="460">
      <c r="A460" s="674"/>
      <c r="B460" s="703"/>
      <c r="C460" s="703"/>
    </row>
    <row r="461">
      <c r="A461" s="674"/>
      <c r="B461" s="703"/>
      <c r="C461" s="703"/>
    </row>
    <row r="462">
      <c r="A462" s="674"/>
      <c r="B462" s="703"/>
      <c r="C462" s="703"/>
    </row>
    <row r="463">
      <c r="A463" s="674"/>
      <c r="B463" s="703"/>
      <c r="C463" s="703"/>
    </row>
    <row r="464">
      <c r="A464" s="674"/>
      <c r="B464" s="703"/>
      <c r="C464" s="703"/>
    </row>
    <row r="465">
      <c r="A465" s="674"/>
      <c r="B465" s="703"/>
      <c r="C465" s="703"/>
    </row>
    <row r="466">
      <c r="A466" s="674"/>
      <c r="B466" s="703"/>
      <c r="C466" s="703"/>
    </row>
    <row r="467">
      <c r="A467" s="674"/>
      <c r="B467" s="703"/>
      <c r="C467" s="703"/>
    </row>
    <row r="468">
      <c r="A468" s="674"/>
      <c r="B468" s="703"/>
      <c r="C468" s="703"/>
    </row>
    <row r="469">
      <c r="A469" s="674"/>
      <c r="B469" s="703"/>
      <c r="C469" s="703"/>
    </row>
    <row r="470">
      <c r="A470" s="674"/>
      <c r="B470" s="703"/>
      <c r="C470" s="703"/>
    </row>
    <row r="471">
      <c r="A471" s="674"/>
      <c r="B471" s="703"/>
      <c r="C471" s="703"/>
    </row>
    <row r="472">
      <c r="A472" s="674"/>
      <c r="B472" s="703"/>
      <c r="C472" s="703"/>
    </row>
    <row r="473">
      <c r="A473" s="674"/>
      <c r="B473" s="703"/>
      <c r="C473" s="703"/>
    </row>
    <row r="474">
      <c r="A474" s="674"/>
      <c r="B474" s="703"/>
      <c r="C474" s="703"/>
    </row>
    <row r="475">
      <c r="A475" s="674"/>
      <c r="B475" s="703"/>
      <c r="C475" s="703"/>
    </row>
    <row r="476">
      <c r="A476" s="674"/>
      <c r="B476" s="703"/>
      <c r="C476" s="703"/>
    </row>
    <row r="477">
      <c r="A477" s="674"/>
      <c r="B477" s="703"/>
      <c r="C477" s="703"/>
    </row>
    <row r="478">
      <c r="A478" s="674"/>
      <c r="B478" s="703"/>
      <c r="C478" s="703"/>
    </row>
    <row r="479">
      <c r="A479" s="674"/>
      <c r="B479" s="703"/>
      <c r="C479" s="703"/>
    </row>
    <row r="480">
      <c r="A480" s="674"/>
      <c r="B480" s="703"/>
      <c r="C480" s="703"/>
    </row>
    <row r="481">
      <c r="A481" s="674"/>
      <c r="B481" s="703"/>
      <c r="C481" s="703"/>
    </row>
    <row r="482">
      <c r="A482" s="674"/>
      <c r="B482" s="703"/>
      <c r="C482" s="703"/>
    </row>
    <row r="483">
      <c r="A483" s="674"/>
      <c r="B483" s="703"/>
      <c r="C483" s="703"/>
    </row>
    <row r="484">
      <c r="A484" s="674"/>
      <c r="B484" s="703"/>
      <c r="C484" s="703"/>
    </row>
    <row r="485">
      <c r="A485" s="674"/>
      <c r="B485" s="703"/>
      <c r="C485" s="703"/>
    </row>
    <row r="486">
      <c r="A486" s="674"/>
      <c r="B486" s="703"/>
      <c r="C486" s="703"/>
    </row>
    <row r="487">
      <c r="A487" s="674"/>
      <c r="B487" s="703"/>
      <c r="C487" s="703"/>
    </row>
    <row r="488">
      <c r="A488" s="674"/>
      <c r="B488" s="703"/>
      <c r="C488" s="703"/>
    </row>
    <row r="489">
      <c r="A489" s="674"/>
      <c r="B489" s="703"/>
      <c r="C489" s="703"/>
    </row>
    <row r="490">
      <c r="A490" s="674"/>
      <c r="B490" s="703"/>
      <c r="C490" s="703"/>
    </row>
    <row r="491">
      <c r="A491" s="674"/>
      <c r="B491" s="703"/>
      <c r="C491" s="703"/>
    </row>
    <row r="492">
      <c r="A492" s="674"/>
      <c r="B492" s="703"/>
      <c r="C492" s="703"/>
    </row>
    <row r="493">
      <c r="A493" s="674"/>
      <c r="B493" s="703"/>
      <c r="C493" s="703"/>
    </row>
    <row r="494">
      <c r="A494" s="674"/>
      <c r="B494" s="703"/>
      <c r="C494" s="703"/>
    </row>
    <row r="495">
      <c r="A495" s="674"/>
      <c r="B495" s="703"/>
      <c r="C495" s="703"/>
    </row>
    <row r="496">
      <c r="A496" s="674"/>
      <c r="B496" s="703"/>
      <c r="C496" s="703"/>
    </row>
    <row r="497">
      <c r="A497" s="674"/>
      <c r="B497" s="703"/>
      <c r="C497" s="703"/>
    </row>
    <row r="498">
      <c r="A498" s="674"/>
      <c r="B498" s="703"/>
      <c r="C498" s="703"/>
    </row>
    <row r="499">
      <c r="A499" s="674"/>
      <c r="B499" s="703"/>
      <c r="C499" s="703"/>
    </row>
    <row r="500">
      <c r="A500" s="674"/>
      <c r="B500" s="703"/>
      <c r="C500" s="703"/>
    </row>
    <row r="501">
      <c r="A501" s="674"/>
      <c r="B501" s="703"/>
      <c r="C501" s="703"/>
    </row>
    <row r="502">
      <c r="A502" s="674"/>
      <c r="B502" s="703"/>
      <c r="C502" s="703"/>
    </row>
    <row r="503">
      <c r="A503" s="674"/>
      <c r="B503" s="703"/>
      <c r="C503" s="703"/>
    </row>
    <row r="504">
      <c r="A504" s="674"/>
      <c r="B504" s="703"/>
      <c r="C504" s="703"/>
    </row>
    <row r="505">
      <c r="A505" s="674"/>
      <c r="B505" s="703"/>
      <c r="C505" s="703"/>
    </row>
    <row r="506">
      <c r="A506" s="674"/>
      <c r="B506" s="703"/>
      <c r="C506" s="703"/>
    </row>
    <row r="507">
      <c r="A507" s="674"/>
      <c r="B507" s="703"/>
      <c r="C507" s="703"/>
    </row>
    <row r="508">
      <c r="A508" s="674"/>
      <c r="B508" s="703"/>
      <c r="C508" s="703"/>
    </row>
    <row r="509">
      <c r="A509" s="674"/>
      <c r="B509" s="703"/>
      <c r="C509" s="703"/>
    </row>
    <row r="510">
      <c r="A510" s="674"/>
      <c r="B510" s="703"/>
      <c r="C510" s="703"/>
    </row>
    <row r="511">
      <c r="A511" s="674"/>
      <c r="B511" s="703"/>
      <c r="C511" s="703"/>
    </row>
    <row r="512">
      <c r="A512" s="674"/>
      <c r="B512" s="703"/>
      <c r="C512" s="703"/>
    </row>
    <row r="513">
      <c r="A513" s="674"/>
      <c r="B513" s="703"/>
      <c r="C513" s="703"/>
    </row>
    <row r="514">
      <c r="A514" s="674"/>
      <c r="B514" s="703"/>
      <c r="C514" s="703"/>
    </row>
    <row r="515">
      <c r="A515" s="674"/>
      <c r="B515" s="703"/>
      <c r="C515" s="703"/>
    </row>
    <row r="516">
      <c r="A516" s="674"/>
      <c r="B516" s="703"/>
      <c r="C516" s="703"/>
    </row>
    <row r="517">
      <c r="A517" s="674"/>
      <c r="B517" s="703"/>
      <c r="C517" s="703"/>
    </row>
    <row r="518">
      <c r="A518" s="674"/>
      <c r="B518" s="703"/>
      <c r="C518" s="703"/>
    </row>
    <row r="519">
      <c r="A519" s="674"/>
      <c r="B519" s="703"/>
      <c r="C519" s="703"/>
    </row>
    <row r="520">
      <c r="A520" s="674"/>
      <c r="B520" s="703"/>
      <c r="C520" s="703"/>
    </row>
    <row r="521">
      <c r="A521" s="674"/>
      <c r="B521" s="703"/>
      <c r="C521" s="703"/>
    </row>
    <row r="522">
      <c r="A522" s="674"/>
      <c r="B522" s="703"/>
      <c r="C522" s="703"/>
    </row>
    <row r="523">
      <c r="A523" s="674"/>
      <c r="B523" s="703"/>
      <c r="C523" s="703"/>
    </row>
    <row r="524">
      <c r="A524" s="674"/>
      <c r="B524" s="703"/>
      <c r="C524" s="703"/>
    </row>
    <row r="525">
      <c r="A525" s="674"/>
      <c r="B525" s="703"/>
      <c r="C525" s="703"/>
    </row>
    <row r="526">
      <c r="A526" s="674"/>
      <c r="B526" s="703"/>
      <c r="C526" s="703"/>
    </row>
    <row r="527">
      <c r="A527" s="674"/>
      <c r="B527" s="703"/>
      <c r="C527" s="703"/>
    </row>
    <row r="528">
      <c r="A528" s="674"/>
      <c r="B528" s="703"/>
      <c r="C528" s="703"/>
    </row>
    <row r="529">
      <c r="A529" s="674"/>
      <c r="B529" s="703"/>
      <c r="C529" s="703"/>
    </row>
    <row r="530">
      <c r="A530" s="674"/>
      <c r="B530" s="703"/>
      <c r="C530" s="703"/>
    </row>
    <row r="531">
      <c r="A531" s="674"/>
      <c r="B531" s="703"/>
      <c r="C531" s="703"/>
    </row>
    <row r="532">
      <c r="A532" s="674"/>
      <c r="B532" s="703"/>
      <c r="C532" s="703"/>
    </row>
    <row r="533">
      <c r="A533" s="674"/>
      <c r="B533" s="703"/>
      <c r="C533" s="703"/>
    </row>
    <row r="534">
      <c r="A534" s="674"/>
      <c r="B534" s="703"/>
      <c r="C534" s="703"/>
    </row>
    <row r="535">
      <c r="A535" s="674"/>
      <c r="B535" s="703"/>
      <c r="C535" s="703"/>
    </row>
    <row r="536">
      <c r="A536" s="674"/>
      <c r="B536" s="703"/>
      <c r="C536" s="703"/>
    </row>
    <row r="537">
      <c r="A537" s="674"/>
      <c r="B537" s="703"/>
      <c r="C537" s="703"/>
    </row>
    <row r="538">
      <c r="A538" s="674"/>
      <c r="B538" s="703"/>
      <c r="C538" s="703"/>
    </row>
    <row r="539">
      <c r="A539" s="674"/>
      <c r="B539" s="703"/>
      <c r="C539" s="703"/>
    </row>
    <row r="540">
      <c r="A540" s="674"/>
      <c r="B540" s="703"/>
      <c r="C540" s="703"/>
    </row>
    <row r="541">
      <c r="A541" s="674"/>
      <c r="B541" s="703"/>
      <c r="C541" s="703"/>
    </row>
    <row r="542">
      <c r="A542" s="674"/>
      <c r="B542" s="703"/>
      <c r="C542" s="703"/>
    </row>
    <row r="543">
      <c r="A543" s="674"/>
      <c r="B543" s="703"/>
      <c r="C543" s="703"/>
    </row>
    <row r="544">
      <c r="A544" s="674"/>
      <c r="B544" s="703"/>
      <c r="C544" s="703"/>
    </row>
    <row r="545">
      <c r="A545" s="674"/>
      <c r="B545" s="703"/>
      <c r="C545" s="703"/>
    </row>
    <row r="546">
      <c r="A546" s="674"/>
      <c r="B546" s="703"/>
      <c r="C546" s="703"/>
    </row>
    <row r="547">
      <c r="A547" s="674"/>
      <c r="B547" s="703"/>
      <c r="C547" s="703"/>
    </row>
    <row r="548">
      <c r="A548" s="674"/>
      <c r="B548" s="703"/>
      <c r="C548" s="703"/>
    </row>
    <row r="549">
      <c r="A549" s="674"/>
      <c r="B549" s="703"/>
      <c r="C549" s="703"/>
    </row>
    <row r="550">
      <c r="A550" s="674"/>
      <c r="B550" s="703"/>
      <c r="C550" s="703"/>
    </row>
    <row r="551">
      <c r="A551" s="674"/>
      <c r="B551" s="703"/>
      <c r="C551" s="703"/>
    </row>
    <row r="552">
      <c r="A552" s="674"/>
      <c r="B552" s="703"/>
      <c r="C552" s="703"/>
    </row>
    <row r="553">
      <c r="A553" s="674"/>
      <c r="B553" s="703"/>
      <c r="C553" s="703"/>
    </row>
    <row r="554">
      <c r="A554" s="674"/>
      <c r="B554" s="703"/>
      <c r="C554" s="703"/>
    </row>
    <row r="555">
      <c r="A555" s="674"/>
      <c r="B555" s="703"/>
      <c r="C555" s="703"/>
    </row>
    <row r="556">
      <c r="A556" s="674"/>
      <c r="B556" s="703"/>
      <c r="C556" s="703"/>
    </row>
    <row r="557">
      <c r="A557" s="674"/>
      <c r="B557" s="703"/>
      <c r="C557" s="703"/>
    </row>
    <row r="558">
      <c r="A558" s="674"/>
      <c r="B558" s="703"/>
      <c r="C558" s="703"/>
    </row>
    <row r="559">
      <c r="A559" s="674"/>
      <c r="B559" s="703"/>
      <c r="C559" s="703"/>
    </row>
    <row r="560">
      <c r="A560" s="674"/>
      <c r="B560" s="703"/>
      <c r="C560" s="703"/>
    </row>
    <row r="561">
      <c r="A561" s="674"/>
      <c r="B561" s="703"/>
      <c r="C561" s="703"/>
    </row>
    <row r="562">
      <c r="A562" s="674"/>
      <c r="B562" s="703"/>
      <c r="C562" s="703"/>
    </row>
    <row r="563">
      <c r="A563" s="674"/>
      <c r="B563" s="703"/>
      <c r="C563" s="703"/>
    </row>
    <row r="564">
      <c r="A564" s="674"/>
      <c r="B564" s="703"/>
      <c r="C564" s="703"/>
    </row>
    <row r="565">
      <c r="A565" s="674"/>
      <c r="B565" s="703"/>
      <c r="C565" s="703"/>
    </row>
    <row r="566">
      <c r="A566" s="674"/>
      <c r="B566" s="703"/>
      <c r="C566" s="703"/>
    </row>
    <row r="567">
      <c r="A567" s="674"/>
      <c r="B567" s="703"/>
      <c r="C567" s="703"/>
    </row>
    <row r="568">
      <c r="A568" s="674"/>
      <c r="B568" s="703"/>
      <c r="C568" s="703"/>
    </row>
    <row r="569">
      <c r="A569" s="674"/>
      <c r="B569" s="703"/>
      <c r="C569" s="703"/>
    </row>
    <row r="570">
      <c r="A570" s="674"/>
      <c r="B570" s="703"/>
      <c r="C570" s="703"/>
    </row>
    <row r="571">
      <c r="A571" s="674"/>
      <c r="B571" s="703"/>
      <c r="C571" s="703"/>
    </row>
    <row r="572">
      <c r="A572" s="674"/>
      <c r="B572" s="703"/>
      <c r="C572" s="703"/>
    </row>
    <row r="573">
      <c r="A573" s="674"/>
      <c r="B573" s="703"/>
      <c r="C573" s="703"/>
    </row>
    <row r="574">
      <c r="A574" s="674"/>
      <c r="B574" s="703"/>
      <c r="C574" s="703"/>
    </row>
    <row r="575">
      <c r="A575" s="674"/>
      <c r="B575" s="703"/>
      <c r="C575" s="703"/>
    </row>
    <row r="576">
      <c r="A576" s="674"/>
      <c r="B576" s="703"/>
      <c r="C576" s="703"/>
    </row>
    <row r="577">
      <c r="A577" s="674"/>
      <c r="B577" s="703"/>
      <c r="C577" s="703"/>
    </row>
    <row r="578">
      <c r="A578" s="674"/>
      <c r="B578" s="703"/>
      <c r="C578" s="703"/>
    </row>
    <row r="579">
      <c r="A579" s="674"/>
      <c r="B579" s="703"/>
      <c r="C579" s="703"/>
    </row>
    <row r="580">
      <c r="A580" s="674"/>
      <c r="B580" s="703"/>
      <c r="C580" s="703"/>
    </row>
    <row r="581">
      <c r="A581" s="674"/>
      <c r="B581" s="703"/>
      <c r="C581" s="703"/>
    </row>
    <row r="582">
      <c r="A582" s="674"/>
      <c r="B582" s="703"/>
      <c r="C582" s="703"/>
    </row>
    <row r="583">
      <c r="A583" s="674"/>
      <c r="B583" s="703"/>
      <c r="C583" s="703"/>
    </row>
    <row r="584">
      <c r="A584" s="674"/>
      <c r="B584" s="703"/>
      <c r="C584" s="703"/>
    </row>
    <row r="585">
      <c r="A585" s="674"/>
      <c r="B585" s="703"/>
      <c r="C585" s="703"/>
    </row>
    <row r="586">
      <c r="A586" s="674"/>
      <c r="B586" s="703"/>
      <c r="C586" s="703"/>
    </row>
    <row r="587">
      <c r="A587" s="674"/>
      <c r="B587" s="703"/>
      <c r="C587" s="703"/>
    </row>
    <row r="588">
      <c r="A588" s="674"/>
      <c r="B588" s="703"/>
      <c r="C588" s="703"/>
    </row>
    <row r="589">
      <c r="A589" s="674"/>
      <c r="B589" s="703"/>
      <c r="C589" s="703"/>
    </row>
    <row r="590">
      <c r="A590" s="674"/>
      <c r="B590" s="703"/>
      <c r="C590" s="703"/>
    </row>
    <row r="591">
      <c r="A591" s="674"/>
      <c r="B591" s="703"/>
      <c r="C591" s="703"/>
    </row>
    <row r="592">
      <c r="A592" s="674"/>
      <c r="B592" s="703"/>
      <c r="C592" s="703"/>
    </row>
    <row r="593">
      <c r="A593" s="674"/>
      <c r="B593" s="703"/>
      <c r="C593" s="703"/>
    </row>
    <row r="594">
      <c r="A594" s="674"/>
      <c r="B594" s="703"/>
      <c r="C594" s="703"/>
    </row>
    <row r="595">
      <c r="A595" s="674"/>
      <c r="B595" s="703"/>
      <c r="C595" s="703"/>
    </row>
    <row r="596">
      <c r="A596" s="674"/>
      <c r="B596" s="703"/>
      <c r="C596" s="703"/>
    </row>
    <row r="597">
      <c r="A597" s="674"/>
      <c r="B597" s="703"/>
      <c r="C597" s="703"/>
    </row>
    <row r="598">
      <c r="A598" s="674"/>
      <c r="B598" s="703"/>
      <c r="C598" s="703"/>
    </row>
    <row r="599">
      <c r="A599" s="674"/>
      <c r="B599" s="703"/>
      <c r="C599" s="703"/>
    </row>
    <row r="600">
      <c r="A600" s="674"/>
      <c r="B600" s="703"/>
      <c r="C600" s="703"/>
    </row>
    <row r="601">
      <c r="A601" s="674"/>
      <c r="B601" s="703"/>
      <c r="C601" s="703"/>
    </row>
    <row r="602">
      <c r="A602" s="674"/>
      <c r="B602" s="703"/>
      <c r="C602" s="703"/>
    </row>
    <row r="603">
      <c r="A603" s="674"/>
      <c r="B603" s="703"/>
      <c r="C603" s="703"/>
    </row>
    <row r="604">
      <c r="A604" s="674"/>
      <c r="B604" s="703"/>
      <c r="C604" s="703"/>
    </row>
    <row r="605">
      <c r="A605" s="674"/>
      <c r="B605" s="703"/>
      <c r="C605" s="703"/>
    </row>
    <row r="606">
      <c r="A606" s="674"/>
      <c r="B606" s="703"/>
      <c r="C606" s="703"/>
    </row>
    <row r="607">
      <c r="A607" s="674"/>
      <c r="B607" s="703"/>
      <c r="C607" s="703"/>
    </row>
    <row r="608">
      <c r="A608" s="674"/>
      <c r="B608" s="703"/>
      <c r="C608" s="703"/>
    </row>
    <row r="609">
      <c r="A609" s="674"/>
      <c r="B609" s="703"/>
      <c r="C609" s="703"/>
    </row>
    <row r="610">
      <c r="A610" s="674"/>
      <c r="B610" s="703"/>
      <c r="C610" s="703"/>
    </row>
    <row r="611">
      <c r="A611" s="674"/>
      <c r="B611" s="703"/>
      <c r="C611" s="703"/>
    </row>
    <row r="612">
      <c r="A612" s="674"/>
      <c r="B612" s="703"/>
      <c r="C612" s="703"/>
    </row>
    <row r="613">
      <c r="A613" s="674"/>
      <c r="B613" s="703"/>
      <c r="C613" s="703"/>
    </row>
    <row r="614">
      <c r="A614" s="674"/>
      <c r="B614" s="703"/>
      <c r="C614" s="703"/>
    </row>
    <row r="615">
      <c r="A615" s="674"/>
      <c r="B615" s="703"/>
      <c r="C615" s="703"/>
    </row>
    <row r="616">
      <c r="A616" s="674"/>
      <c r="B616" s="703"/>
      <c r="C616" s="703"/>
    </row>
    <row r="617">
      <c r="A617" s="674"/>
      <c r="B617" s="703"/>
      <c r="C617" s="703"/>
    </row>
    <row r="618">
      <c r="A618" s="674"/>
      <c r="B618" s="703"/>
      <c r="C618" s="703"/>
    </row>
    <row r="619">
      <c r="A619" s="674"/>
      <c r="B619" s="703"/>
      <c r="C619" s="703"/>
    </row>
    <row r="620">
      <c r="A620" s="674"/>
      <c r="B620" s="703"/>
      <c r="C620" s="703"/>
    </row>
    <row r="621">
      <c r="A621" s="674"/>
      <c r="B621" s="703"/>
      <c r="C621" s="703"/>
    </row>
    <row r="622">
      <c r="A622" s="674"/>
      <c r="B622" s="703"/>
      <c r="C622" s="703"/>
    </row>
    <row r="623">
      <c r="A623" s="674"/>
      <c r="B623" s="703"/>
      <c r="C623" s="703"/>
    </row>
    <row r="624">
      <c r="A624" s="674"/>
      <c r="B624" s="703"/>
      <c r="C624" s="703"/>
    </row>
    <row r="625">
      <c r="A625" s="674"/>
      <c r="B625" s="703"/>
      <c r="C625" s="703"/>
    </row>
    <row r="626">
      <c r="A626" s="674"/>
      <c r="B626" s="703"/>
      <c r="C626" s="703"/>
    </row>
    <row r="627">
      <c r="A627" s="674"/>
      <c r="B627" s="703"/>
      <c r="C627" s="703"/>
    </row>
    <row r="628">
      <c r="A628" s="674"/>
      <c r="B628" s="703"/>
      <c r="C628" s="703"/>
    </row>
    <row r="629">
      <c r="A629" s="674"/>
      <c r="B629" s="703"/>
      <c r="C629" s="703"/>
    </row>
    <row r="630">
      <c r="A630" s="674"/>
      <c r="B630" s="703"/>
      <c r="C630" s="703"/>
    </row>
    <row r="631">
      <c r="A631" s="674"/>
      <c r="B631" s="703"/>
      <c r="C631" s="703"/>
    </row>
    <row r="632">
      <c r="A632" s="674"/>
      <c r="B632" s="703"/>
      <c r="C632" s="703"/>
    </row>
    <row r="633">
      <c r="A633" s="674"/>
      <c r="B633" s="703"/>
      <c r="C633" s="703"/>
    </row>
    <row r="634">
      <c r="A634" s="674"/>
      <c r="B634" s="703"/>
      <c r="C634" s="703"/>
    </row>
    <row r="635">
      <c r="A635" s="674"/>
      <c r="B635" s="703"/>
      <c r="C635" s="703"/>
    </row>
    <row r="636">
      <c r="A636" s="674"/>
      <c r="B636" s="703"/>
      <c r="C636" s="703"/>
    </row>
    <row r="637">
      <c r="A637" s="674"/>
      <c r="B637" s="703"/>
      <c r="C637" s="703"/>
    </row>
    <row r="638">
      <c r="A638" s="674"/>
      <c r="B638" s="703"/>
      <c r="C638" s="703"/>
    </row>
    <row r="639">
      <c r="A639" s="674"/>
      <c r="B639" s="703"/>
      <c r="C639" s="703"/>
    </row>
    <row r="640">
      <c r="A640" s="674"/>
      <c r="B640" s="703"/>
      <c r="C640" s="703"/>
    </row>
    <row r="641">
      <c r="A641" s="674"/>
      <c r="B641" s="703"/>
      <c r="C641" s="703"/>
    </row>
    <row r="642">
      <c r="A642" s="674"/>
      <c r="B642" s="703"/>
      <c r="C642" s="703"/>
    </row>
    <row r="643">
      <c r="A643" s="674"/>
      <c r="B643" s="703"/>
      <c r="C643" s="703"/>
    </row>
    <row r="644">
      <c r="A644" s="674"/>
      <c r="B644" s="703"/>
      <c r="C644" s="703"/>
    </row>
    <row r="645">
      <c r="A645" s="674"/>
      <c r="B645" s="703"/>
      <c r="C645" s="703"/>
    </row>
    <row r="646">
      <c r="A646" s="674"/>
      <c r="B646" s="703"/>
      <c r="C646" s="703"/>
    </row>
    <row r="647">
      <c r="A647" s="674"/>
      <c r="B647" s="703"/>
      <c r="C647" s="703"/>
    </row>
    <row r="648">
      <c r="A648" s="674"/>
      <c r="B648" s="703"/>
      <c r="C648" s="703"/>
    </row>
    <row r="649">
      <c r="A649" s="674"/>
      <c r="B649" s="703"/>
      <c r="C649" s="703"/>
    </row>
    <row r="650">
      <c r="A650" s="674"/>
      <c r="B650" s="703"/>
      <c r="C650" s="703"/>
    </row>
    <row r="651">
      <c r="A651" s="674"/>
      <c r="B651" s="703"/>
      <c r="C651" s="703"/>
    </row>
    <row r="652">
      <c r="A652" s="674"/>
      <c r="B652" s="703"/>
      <c r="C652" s="703"/>
    </row>
    <row r="653">
      <c r="A653" s="674"/>
      <c r="B653" s="703"/>
      <c r="C653" s="703"/>
    </row>
    <row r="654">
      <c r="A654" s="674"/>
      <c r="B654" s="703"/>
      <c r="C654" s="703"/>
    </row>
    <row r="655">
      <c r="A655" s="674"/>
      <c r="B655" s="703"/>
      <c r="C655" s="703"/>
    </row>
    <row r="656">
      <c r="A656" s="674"/>
      <c r="B656" s="703"/>
      <c r="C656" s="703"/>
    </row>
    <row r="657">
      <c r="A657" s="674"/>
      <c r="B657" s="703"/>
      <c r="C657" s="703"/>
    </row>
    <row r="658">
      <c r="A658" s="674"/>
      <c r="B658" s="703"/>
      <c r="C658" s="703"/>
    </row>
    <row r="659">
      <c r="A659" s="674"/>
      <c r="B659" s="703"/>
      <c r="C659" s="703"/>
    </row>
    <row r="660">
      <c r="A660" s="674"/>
      <c r="B660" s="703"/>
      <c r="C660" s="703"/>
    </row>
    <row r="661">
      <c r="A661" s="674"/>
      <c r="B661" s="703"/>
      <c r="C661" s="703"/>
    </row>
    <row r="662">
      <c r="A662" s="674"/>
      <c r="B662" s="703"/>
      <c r="C662" s="703"/>
    </row>
    <row r="663">
      <c r="A663" s="674"/>
      <c r="B663" s="703"/>
      <c r="C663" s="703"/>
    </row>
    <row r="664">
      <c r="A664" s="674"/>
      <c r="B664" s="703"/>
      <c r="C664" s="703"/>
    </row>
    <row r="665">
      <c r="A665" s="674"/>
      <c r="B665" s="703"/>
      <c r="C665" s="703"/>
    </row>
    <row r="666">
      <c r="A666" s="674"/>
      <c r="B666" s="703"/>
      <c r="C666" s="703"/>
    </row>
    <row r="667">
      <c r="A667" s="674"/>
      <c r="B667" s="703"/>
      <c r="C667" s="703"/>
    </row>
    <row r="668">
      <c r="A668" s="674"/>
      <c r="B668" s="703"/>
      <c r="C668" s="703"/>
    </row>
    <row r="669">
      <c r="A669" s="674"/>
      <c r="B669" s="703"/>
      <c r="C669" s="703"/>
    </row>
    <row r="670">
      <c r="A670" s="674"/>
      <c r="B670" s="703"/>
      <c r="C670" s="703"/>
    </row>
    <row r="671">
      <c r="A671" s="674"/>
      <c r="B671" s="703"/>
      <c r="C671" s="703"/>
    </row>
    <row r="672">
      <c r="A672" s="674"/>
      <c r="B672" s="703"/>
      <c r="C672" s="703"/>
    </row>
    <row r="673">
      <c r="A673" s="674"/>
      <c r="B673" s="703"/>
      <c r="C673" s="703"/>
    </row>
    <row r="674">
      <c r="A674" s="674"/>
      <c r="B674" s="703"/>
      <c r="C674" s="703"/>
    </row>
    <row r="675">
      <c r="A675" s="674"/>
      <c r="B675" s="703"/>
      <c r="C675" s="703"/>
    </row>
    <row r="676">
      <c r="A676" s="674"/>
      <c r="B676" s="703"/>
      <c r="C676" s="703"/>
    </row>
    <row r="677">
      <c r="A677" s="674"/>
      <c r="B677" s="703"/>
      <c r="C677" s="703"/>
    </row>
    <row r="678">
      <c r="A678" s="674"/>
      <c r="B678" s="703"/>
      <c r="C678" s="703"/>
    </row>
    <row r="679">
      <c r="A679" s="674"/>
      <c r="B679" s="703"/>
      <c r="C679" s="703"/>
    </row>
    <row r="680">
      <c r="A680" s="674"/>
      <c r="B680" s="703"/>
      <c r="C680" s="703"/>
    </row>
    <row r="681">
      <c r="A681" s="674"/>
      <c r="B681" s="703"/>
      <c r="C681" s="703"/>
    </row>
    <row r="682">
      <c r="A682" s="674"/>
      <c r="B682" s="703"/>
      <c r="C682" s="703"/>
    </row>
    <row r="683">
      <c r="A683" s="674"/>
      <c r="B683" s="703"/>
      <c r="C683" s="703"/>
    </row>
    <row r="684">
      <c r="A684" s="674"/>
      <c r="B684" s="703"/>
      <c r="C684" s="703"/>
    </row>
    <row r="685">
      <c r="A685" s="674"/>
      <c r="B685" s="703"/>
      <c r="C685" s="703"/>
    </row>
    <row r="686">
      <c r="A686" s="674"/>
      <c r="B686" s="703"/>
      <c r="C686" s="703"/>
    </row>
    <row r="687">
      <c r="A687" s="674"/>
      <c r="B687" s="703"/>
      <c r="C687" s="703"/>
    </row>
    <row r="688">
      <c r="A688" s="674"/>
      <c r="B688" s="703"/>
      <c r="C688" s="703"/>
    </row>
    <row r="689">
      <c r="A689" s="674"/>
      <c r="B689" s="703"/>
      <c r="C689" s="703"/>
    </row>
    <row r="690">
      <c r="A690" s="674"/>
      <c r="B690" s="703"/>
      <c r="C690" s="703"/>
    </row>
    <row r="691">
      <c r="A691" s="674"/>
      <c r="B691" s="703"/>
      <c r="C691" s="703"/>
    </row>
    <row r="692">
      <c r="A692" s="674"/>
      <c r="B692" s="703"/>
      <c r="C692" s="703"/>
    </row>
    <row r="693">
      <c r="A693" s="674"/>
      <c r="B693" s="703"/>
      <c r="C693" s="703"/>
    </row>
    <row r="694">
      <c r="A694" s="674"/>
      <c r="B694" s="703"/>
      <c r="C694" s="703"/>
    </row>
    <row r="695">
      <c r="A695" s="674"/>
      <c r="B695" s="703"/>
      <c r="C695" s="703"/>
    </row>
    <row r="696">
      <c r="A696" s="674"/>
      <c r="B696" s="703"/>
      <c r="C696" s="703"/>
    </row>
    <row r="697">
      <c r="A697" s="674"/>
      <c r="B697" s="703"/>
      <c r="C697" s="703"/>
    </row>
    <row r="698">
      <c r="A698" s="674"/>
      <c r="B698" s="703"/>
      <c r="C698" s="703"/>
    </row>
    <row r="699">
      <c r="A699" s="674"/>
      <c r="B699" s="703"/>
      <c r="C699" s="703"/>
    </row>
    <row r="700">
      <c r="A700" s="674"/>
      <c r="B700" s="703"/>
      <c r="C700" s="703"/>
    </row>
    <row r="701">
      <c r="A701" s="674"/>
      <c r="B701" s="703"/>
      <c r="C701" s="703"/>
    </row>
    <row r="702">
      <c r="A702" s="674"/>
      <c r="B702" s="703"/>
      <c r="C702" s="703"/>
    </row>
    <row r="703">
      <c r="A703" s="674"/>
      <c r="B703" s="703"/>
      <c r="C703" s="703"/>
    </row>
    <row r="704">
      <c r="A704" s="674"/>
      <c r="B704" s="703"/>
      <c r="C704" s="703"/>
    </row>
    <row r="705">
      <c r="A705" s="674"/>
      <c r="B705" s="703"/>
      <c r="C705" s="703"/>
    </row>
    <row r="706">
      <c r="A706" s="674"/>
      <c r="B706" s="703"/>
      <c r="C706" s="703"/>
    </row>
    <row r="707">
      <c r="A707" s="674"/>
      <c r="B707" s="703"/>
      <c r="C707" s="703"/>
    </row>
    <row r="708">
      <c r="A708" s="674"/>
      <c r="B708" s="703"/>
      <c r="C708" s="703"/>
    </row>
    <row r="709">
      <c r="A709" s="674"/>
      <c r="B709" s="703"/>
      <c r="C709" s="703"/>
    </row>
    <row r="710">
      <c r="A710" s="674"/>
      <c r="B710" s="703"/>
      <c r="C710" s="703"/>
    </row>
    <row r="711">
      <c r="A711" s="674"/>
      <c r="B711" s="703"/>
      <c r="C711" s="703"/>
    </row>
    <row r="712">
      <c r="A712" s="674"/>
      <c r="B712" s="703"/>
      <c r="C712" s="703"/>
    </row>
    <row r="713">
      <c r="A713" s="674"/>
      <c r="B713" s="703"/>
      <c r="C713" s="703"/>
    </row>
    <row r="714">
      <c r="A714" s="674"/>
      <c r="B714" s="703"/>
      <c r="C714" s="703"/>
    </row>
    <row r="715">
      <c r="A715" s="674"/>
      <c r="B715" s="703"/>
      <c r="C715" s="703"/>
    </row>
    <row r="716">
      <c r="A716" s="674"/>
      <c r="B716" s="703"/>
      <c r="C716" s="703"/>
    </row>
    <row r="717">
      <c r="A717" s="674"/>
      <c r="B717" s="703"/>
      <c r="C717" s="703"/>
    </row>
    <row r="718">
      <c r="A718" s="674"/>
      <c r="B718" s="703"/>
      <c r="C718" s="703"/>
    </row>
    <row r="719">
      <c r="A719" s="674"/>
      <c r="B719" s="703"/>
      <c r="C719" s="703"/>
    </row>
    <row r="720">
      <c r="A720" s="674"/>
      <c r="B720" s="703"/>
      <c r="C720" s="703"/>
    </row>
    <row r="721">
      <c r="A721" s="674"/>
      <c r="B721" s="703"/>
      <c r="C721" s="703"/>
    </row>
    <row r="722">
      <c r="A722" s="674"/>
      <c r="B722" s="703"/>
      <c r="C722" s="703"/>
    </row>
    <row r="723">
      <c r="A723" s="674"/>
      <c r="B723" s="703"/>
      <c r="C723" s="703"/>
    </row>
    <row r="724">
      <c r="A724" s="674"/>
      <c r="B724" s="703"/>
      <c r="C724" s="703"/>
    </row>
    <row r="725">
      <c r="A725" s="674"/>
      <c r="B725" s="703"/>
      <c r="C725" s="703"/>
    </row>
    <row r="726">
      <c r="A726" s="674"/>
      <c r="B726" s="703"/>
      <c r="C726" s="703"/>
    </row>
    <row r="727">
      <c r="A727" s="674"/>
      <c r="B727" s="703"/>
      <c r="C727" s="703"/>
    </row>
    <row r="728">
      <c r="A728" s="674"/>
      <c r="B728" s="703"/>
      <c r="C728" s="703"/>
    </row>
    <row r="729">
      <c r="A729" s="674"/>
      <c r="B729" s="703"/>
      <c r="C729" s="703"/>
    </row>
    <row r="730">
      <c r="A730" s="674"/>
      <c r="B730" s="703"/>
      <c r="C730" s="703"/>
    </row>
    <row r="731">
      <c r="A731" s="674"/>
      <c r="B731" s="703"/>
      <c r="C731" s="703"/>
    </row>
    <row r="732">
      <c r="A732" s="674"/>
      <c r="B732" s="703"/>
      <c r="C732" s="703"/>
    </row>
    <row r="733">
      <c r="A733" s="674"/>
      <c r="B733" s="703"/>
      <c r="C733" s="703"/>
    </row>
    <row r="734">
      <c r="A734" s="674"/>
      <c r="B734" s="703"/>
      <c r="C734" s="703"/>
    </row>
    <row r="735">
      <c r="A735" s="674"/>
      <c r="B735" s="703"/>
      <c r="C735" s="703"/>
    </row>
    <row r="736">
      <c r="A736" s="674"/>
      <c r="B736" s="703"/>
      <c r="C736" s="703"/>
    </row>
    <row r="737">
      <c r="A737" s="674"/>
      <c r="B737" s="703"/>
      <c r="C737" s="703"/>
    </row>
    <row r="738">
      <c r="A738" s="674"/>
      <c r="B738" s="703"/>
      <c r="C738" s="703"/>
    </row>
    <row r="739">
      <c r="A739" s="674"/>
      <c r="B739" s="703"/>
      <c r="C739" s="703"/>
    </row>
    <row r="740">
      <c r="A740" s="674"/>
      <c r="B740" s="703"/>
      <c r="C740" s="703"/>
    </row>
    <row r="741">
      <c r="A741" s="674"/>
      <c r="B741" s="703"/>
      <c r="C741" s="703"/>
    </row>
    <row r="742">
      <c r="A742" s="674"/>
      <c r="B742" s="703"/>
      <c r="C742" s="703"/>
    </row>
    <row r="743">
      <c r="A743" s="674"/>
      <c r="B743" s="703"/>
      <c r="C743" s="703"/>
    </row>
    <row r="744">
      <c r="A744" s="674"/>
      <c r="B744" s="703"/>
      <c r="C744" s="703"/>
    </row>
    <row r="745">
      <c r="A745" s="674"/>
      <c r="B745" s="703"/>
      <c r="C745" s="703"/>
    </row>
    <row r="746">
      <c r="A746" s="674"/>
      <c r="B746" s="703"/>
      <c r="C746" s="703"/>
    </row>
    <row r="747">
      <c r="A747" s="674"/>
      <c r="B747" s="703"/>
      <c r="C747" s="703"/>
    </row>
    <row r="748">
      <c r="A748" s="674"/>
      <c r="B748" s="703"/>
      <c r="C748" s="703"/>
    </row>
    <row r="749">
      <c r="A749" s="674"/>
      <c r="B749" s="703"/>
      <c r="C749" s="703"/>
    </row>
    <row r="750">
      <c r="A750" s="674"/>
      <c r="B750" s="703"/>
      <c r="C750" s="703"/>
    </row>
    <row r="751">
      <c r="A751" s="674"/>
      <c r="B751" s="703"/>
      <c r="C751" s="703"/>
    </row>
    <row r="752">
      <c r="A752" s="674"/>
      <c r="B752" s="703"/>
      <c r="C752" s="703"/>
    </row>
    <row r="753">
      <c r="A753" s="674"/>
      <c r="B753" s="703"/>
      <c r="C753" s="703"/>
    </row>
    <row r="754">
      <c r="A754" s="674"/>
      <c r="B754" s="703"/>
      <c r="C754" s="703"/>
    </row>
    <row r="755">
      <c r="A755" s="674"/>
      <c r="B755" s="703"/>
      <c r="C755" s="703"/>
    </row>
    <row r="756">
      <c r="A756" s="674"/>
      <c r="B756" s="703"/>
      <c r="C756" s="703"/>
    </row>
    <row r="757">
      <c r="A757" s="674"/>
      <c r="B757" s="703"/>
      <c r="C757" s="703"/>
    </row>
    <row r="758">
      <c r="A758" s="674"/>
      <c r="B758" s="703"/>
      <c r="C758" s="703"/>
    </row>
    <row r="759">
      <c r="A759" s="674"/>
      <c r="B759" s="703"/>
      <c r="C759" s="703"/>
    </row>
    <row r="760">
      <c r="A760" s="674"/>
      <c r="B760" s="703"/>
      <c r="C760" s="703"/>
    </row>
    <row r="761">
      <c r="A761" s="674"/>
      <c r="B761" s="703"/>
      <c r="C761" s="703"/>
    </row>
    <row r="762">
      <c r="A762" s="674"/>
      <c r="B762" s="703"/>
      <c r="C762" s="703"/>
    </row>
    <row r="763">
      <c r="A763" s="674"/>
      <c r="B763" s="703"/>
      <c r="C763" s="703"/>
    </row>
    <row r="764">
      <c r="A764" s="674"/>
      <c r="B764" s="703"/>
      <c r="C764" s="703"/>
    </row>
    <row r="765">
      <c r="A765" s="674"/>
      <c r="B765" s="703"/>
      <c r="C765" s="703"/>
    </row>
    <row r="766">
      <c r="A766" s="674"/>
      <c r="B766" s="703"/>
      <c r="C766" s="703"/>
    </row>
    <row r="767">
      <c r="A767" s="674"/>
      <c r="B767" s="703"/>
      <c r="C767" s="703"/>
    </row>
    <row r="768">
      <c r="A768" s="674"/>
      <c r="B768" s="703"/>
      <c r="C768" s="703"/>
    </row>
    <row r="769">
      <c r="A769" s="674"/>
      <c r="B769" s="703"/>
      <c r="C769" s="703"/>
    </row>
    <row r="770">
      <c r="A770" s="674"/>
      <c r="B770" s="703"/>
      <c r="C770" s="703"/>
    </row>
    <row r="771">
      <c r="A771" s="674"/>
      <c r="B771" s="703"/>
      <c r="C771" s="703"/>
    </row>
    <row r="772">
      <c r="A772" s="674"/>
      <c r="B772" s="703"/>
      <c r="C772" s="703"/>
    </row>
    <row r="773">
      <c r="A773" s="674"/>
      <c r="B773" s="703"/>
      <c r="C773" s="703"/>
    </row>
    <row r="774">
      <c r="A774" s="674"/>
      <c r="B774" s="703"/>
      <c r="C774" s="703"/>
    </row>
    <row r="775">
      <c r="A775" s="674"/>
      <c r="B775" s="703"/>
      <c r="C775" s="703"/>
    </row>
    <row r="776">
      <c r="A776" s="674"/>
      <c r="B776" s="703"/>
      <c r="C776" s="703"/>
    </row>
    <row r="777">
      <c r="A777" s="674"/>
      <c r="B777" s="703"/>
      <c r="C777" s="703"/>
    </row>
    <row r="778">
      <c r="A778" s="674"/>
      <c r="B778" s="703"/>
      <c r="C778" s="703"/>
    </row>
    <row r="779">
      <c r="A779" s="674"/>
      <c r="B779" s="703"/>
      <c r="C779" s="703"/>
    </row>
    <row r="780">
      <c r="A780" s="674"/>
      <c r="B780" s="703"/>
      <c r="C780" s="703"/>
    </row>
    <row r="781">
      <c r="A781" s="674"/>
      <c r="B781" s="703"/>
      <c r="C781" s="703"/>
    </row>
    <row r="782">
      <c r="A782" s="674"/>
      <c r="B782" s="703"/>
      <c r="C782" s="703"/>
    </row>
    <row r="783">
      <c r="A783" s="674"/>
      <c r="B783" s="703"/>
      <c r="C783" s="703"/>
    </row>
    <row r="784">
      <c r="A784" s="674"/>
      <c r="B784" s="703"/>
      <c r="C784" s="703"/>
    </row>
    <row r="785">
      <c r="A785" s="674"/>
      <c r="B785" s="703"/>
      <c r="C785" s="703"/>
    </row>
    <row r="786">
      <c r="A786" s="674"/>
      <c r="B786" s="703"/>
      <c r="C786" s="703"/>
    </row>
    <row r="787">
      <c r="A787" s="674"/>
      <c r="B787" s="703"/>
      <c r="C787" s="703"/>
    </row>
    <row r="788">
      <c r="A788" s="674"/>
      <c r="B788" s="703"/>
      <c r="C788" s="703"/>
    </row>
    <row r="789">
      <c r="A789" s="674"/>
      <c r="B789" s="703"/>
      <c r="C789" s="703"/>
    </row>
    <row r="790">
      <c r="A790" s="674"/>
      <c r="B790" s="703"/>
      <c r="C790" s="703"/>
    </row>
    <row r="791">
      <c r="A791" s="674"/>
      <c r="B791" s="703"/>
      <c r="C791" s="703"/>
    </row>
    <row r="792">
      <c r="A792" s="674"/>
      <c r="B792" s="703"/>
      <c r="C792" s="703"/>
    </row>
    <row r="793">
      <c r="A793" s="674"/>
      <c r="B793" s="703"/>
      <c r="C793" s="703"/>
    </row>
    <row r="794">
      <c r="A794" s="674"/>
      <c r="B794" s="703"/>
      <c r="C794" s="703"/>
    </row>
    <row r="795">
      <c r="A795" s="674"/>
      <c r="B795" s="703"/>
      <c r="C795" s="703"/>
    </row>
    <row r="796">
      <c r="A796" s="674"/>
      <c r="B796" s="703"/>
      <c r="C796" s="703"/>
    </row>
    <row r="797">
      <c r="A797" s="674"/>
      <c r="B797" s="703"/>
      <c r="C797" s="703"/>
    </row>
    <row r="798">
      <c r="A798" s="674"/>
      <c r="B798" s="703"/>
      <c r="C798" s="703"/>
    </row>
    <row r="799">
      <c r="A799" s="674"/>
      <c r="B799" s="703"/>
      <c r="C799" s="703"/>
    </row>
    <row r="800">
      <c r="A800" s="674"/>
      <c r="B800" s="703"/>
      <c r="C800" s="703"/>
    </row>
    <row r="801">
      <c r="A801" s="674"/>
      <c r="B801" s="703"/>
      <c r="C801" s="703"/>
    </row>
    <row r="802">
      <c r="A802" s="674"/>
      <c r="B802" s="703"/>
      <c r="C802" s="703"/>
    </row>
    <row r="803">
      <c r="A803" s="674"/>
      <c r="B803" s="703"/>
      <c r="C803" s="703"/>
    </row>
    <row r="804">
      <c r="A804" s="674"/>
      <c r="B804" s="703"/>
      <c r="C804" s="703"/>
    </row>
    <row r="805">
      <c r="A805" s="674"/>
      <c r="B805" s="703"/>
      <c r="C805" s="703"/>
    </row>
    <row r="806">
      <c r="A806" s="674"/>
      <c r="B806" s="703"/>
      <c r="C806" s="703"/>
    </row>
    <row r="807">
      <c r="A807" s="674"/>
      <c r="B807" s="703"/>
      <c r="C807" s="703"/>
    </row>
    <row r="808">
      <c r="A808" s="674"/>
      <c r="B808" s="703"/>
      <c r="C808" s="703"/>
    </row>
    <row r="809">
      <c r="A809" s="674"/>
      <c r="B809" s="703"/>
      <c r="C809" s="703"/>
    </row>
    <row r="810">
      <c r="A810" s="674"/>
      <c r="B810" s="703"/>
      <c r="C810" s="703"/>
    </row>
    <row r="811">
      <c r="A811" s="674"/>
      <c r="B811" s="703"/>
      <c r="C811" s="703"/>
    </row>
    <row r="812">
      <c r="A812" s="674"/>
      <c r="B812" s="703"/>
      <c r="C812" s="703"/>
    </row>
    <row r="813">
      <c r="A813" s="674"/>
      <c r="B813" s="703"/>
      <c r="C813" s="703"/>
    </row>
    <row r="814">
      <c r="A814" s="674"/>
      <c r="B814" s="703"/>
      <c r="C814" s="703"/>
    </row>
    <row r="815">
      <c r="A815" s="674"/>
      <c r="B815" s="703"/>
      <c r="C815" s="703"/>
    </row>
    <row r="816">
      <c r="A816" s="674"/>
      <c r="B816" s="703"/>
      <c r="C816" s="703"/>
    </row>
    <row r="817">
      <c r="A817" s="674"/>
      <c r="B817" s="703"/>
      <c r="C817" s="703"/>
    </row>
    <row r="818">
      <c r="A818" s="674"/>
      <c r="B818" s="703"/>
      <c r="C818" s="703"/>
    </row>
    <row r="819">
      <c r="A819" s="674"/>
      <c r="B819" s="703"/>
      <c r="C819" s="703"/>
    </row>
    <row r="820">
      <c r="A820" s="674"/>
      <c r="B820" s="703"/>
      <c r="C820" s="703"/>
    </row>
    <row r="821">
      <c r="A821" s="674"/>
      <c r="B821" s="703"/>
      <c r="C821" s="703"/>
    </row>
    <row r="822">
      <c r="A822" s="674"/>
      <c r="B822" s="703"/>
      <c r="C822" s="703"/>
    </row>
    <row r="823">
      <c r="A823" s="674"/>
      <c r="B823" s="703"/>
      <c r="C823" s="703"/>
    </row>
    <row r="824">
      <c r="A824" s="674"/>
      <c r="B824" s="703"/>
      <c r="C824" s="703"/>
    </row>
    <row r="825">
      <c r="A825" s="674"/>
      <c r="B825" s="703"/>
      <c r="C825" s="703"/>
    </row>
    <row r="826">
      <c r="A826" s="674"/>
      <c r="B826" s="703"/>
      <c r="C826" s="703"/>
    </row>
    <row r="827">
      <c r="A827" s="674"/>
      <c r="B827" s="703"/>
      <c r="C827" s="703"/>
    </row>
    <row r="828">
      <c r="A828" s="674"/>
      <c r="B828" s="703"/>
      <c r="C828" s="703"/>
    </row>
    <row r="829">
      <c r="A829" s="674"/>
      <c r="B829" s="703"/>
      <c r="C829" s="703"/>
    </row>
    <row r="830">
      <c r="A830" s="674"/>
      <c r="B830" s="703"/>
      <c r="C830" s="703"/>
    </row>
    <row r="831">
      <c r="A831" s="674"/>
      <c r="B831" s="703"/>
      <c r="C831" s="703"/>
    </row>
    <row r="832">
      <c r="A832" s="674"/>
      <c r="B832" s="703"/>
      <c r="C832" s="703"/>
    </row>
    <row r="833">
      <c r="A833" s="674"/>
      <c r="B833" s="703"/>
      <c r="C833" s="703"/>
    </row>
    <row r="834">
      <c r="A834" s="674"/>
      <c r="B834" s="703"/>
      <c r="C834" s="703"/>
    </row>
    <row r="835">
      <c r="A835" s="674"/>
      <c r="B835" s="703"/>
      <c r="C835" s="703"/>
    </row>
    <row r="836">
      <c r="A836" s="674"/>
      <c r="B836" s="703"/>
      <c r="C836" s="703"/>
    </row>
    <row r="837">
      <c r="A837" s="674"/>
      <c r="B837" s="703"/>
      <c r="C837" s="703"/>
    </row>
    <row r="838">
      <c r="A838" s="674"/>
      <c r="B838" s="703"/>
      <c r="C838" s="703"/>
    </row>
    <row r="839">
      <c r="A839" s="674"/>
      <c r="B839" s="703"/>
      <c r="C839" s="703"/>
    </row>
    <row r="840">
      <c r="A840" s="674"/>
      <c r="B840" s="703"/>
      <c r="C840" s="703"/>
    </row>
    <row r="841">
      <c r="A841" s="674"/>
      <c r="B841" s="703"/>
      <c r="C841" s="703"/>
    </row>
    <row r="842">
      <c r="A842" s="674"/>
      <c r="B842" s="703"/>
      <c r="C842" s="703"/>
    </row>
    <row r="843">
      <c r="A843" s="674"/>
      <c r="B843" s="703"/>
      <c r="C843" s="703"/>
    </row>
    <row r="844">
      <c r="A844" s="674"/>
      <c r="B844" s="703"/>
      <c r="C844" s="703"/>
    </row>
    <row r="845">
      <c r="A845" s="674"/>
      <c r="B845" s="703"/>
      <c r="C845" s="703"/>
    </row>
    <row r="846">
      <c r="A846" s="674"/>
      <c r="B846" s="703"/>
      <c r="C846" s="703"/>
    </row>
    <row r="847">
      <c r="A847" s="674"/>
      <c r="B847" s="703"/>
      <c r="C847" s="703"/>
    </row>
    <row r="848">
      <c r="A848" s="674"/>
      <c r="B848" s="703"/>
      <c r="C848" s="703"/>
    </row>
    <row r="849">
      <c r="A849" s="674"/>
      <c r="B849" s="703"/>
      <c r="C849" s="703"/>
    </row>
    <row r="850">
      <c r="A850" s="674"/>
      <c r="B850" s="703"/>
      <c r="C850" s="703"/>
    </row>
    <row r="851">
      <c r="A851" s="674"/>
      <c r="B851" s="703"/>
      <c r="C851" s="703"/>
    </row>
    <row r="852">
      <c r="A852" s="674"/>
      <c r="B852" s="703"/>
      <c r="C852" s="703"/>
    </row>
    <row r="853">
      <c r="A853" s="674"/>
      <c r="B853" s="703"/>
      <c r="C853" s="703"/>
    </row>
    <row r="854">
      <c r="A854" s="674"/>
      <c r="B854" s="703"/>
      <c r="C854" s="703"/>
    </row>
    <row r="855">
      <c r="A855" s="674"/>
      <c r="B855" s="703"/>
      <c r="C855" s="703"/>
    </row>
    <row r="856">
      <c r="A856" s="674"/>
      <c r="B856" s="703"/>
      <c r="C856" s="703"/>
    </row>
    <row r="857">
      <c r="A857" s="674"/>
      <c r="B857" s="703"/>
      <c r="C857" s="703"/>
    </row>
    <row r="858">
      <c r="A858" s="674"/>
      <c r="B858" s="703"/>
      <c r="C858" s="703"/>
    </row>
    <row r="859">
      <c r="A859" s="674"/>
      <c r="B859" s="703"/>
      <c r="C859" s="703"/>
    </row>
    <row r="860">
      <c r="A860" s="674"/>
      <c r="B860" s="703"/>
      <c r="C860" s="703"/>
    </row>
    <row r="861">
      <c r="A861" s="674"/>
      <c r="B861" s="703"/>
      <c r="C861" s="703"/>
    </row>
    <row r="862">
      <c r="A862" s="674"/>
      <c r="B862" s="703"/>
      <c r="C862" s="703"/>
    </row>
    <row r="863">
      <c r="A863" s="674"/>
      <c r="B863" s="703"/>
      <c r="C863" s="703"/>
    </row>
    <row r="864">
      <c r="A864" s="674"/>
      <c r="B864" s="703"/>
      <c r="C864" s="703"/>
    </row>
    <row r="865">
      <c r="A865" s="674"/>
      <c r="B865" s="703"/>
      <c r="C865" s="703"/>
    </row>
    <row r="866">
      <c r="A866" s="674"/>
      <c r="B866" s="703"/>
      <c r="C866" s="703"/>
    </row>
    <row r="867">
      <c r="A867" s="674"/>
      <c r="B867" s="703"/>
      <c r="C867" s="703"/>
    </row>
    <row r="868">
      <c r="A868" s="674"/>
      <c r="B868" s="703"/>
      <c r="C868" s="703"/>
    </row>
    <row r="869">
      <c r="A869" s="674"/>
      <c r="B869" s="703"/>
      <c r="C869" s="703"/>
    </row>
    <row r="870">
      <c r="A870" s="674"/>
      <c r="B870" s="703"/>
      <c r="C870" s="703"/>
    </row>
    <row r="871">
      <c r="A871" s="674"/>
      <c r="B871" s="703"/>
      <c r="C871" s="703"/>
    </row>
    <row r="872">
      <c r="A872" s="674"/>
      <c r="B872" s="703"/>
      <c r="C872" s="703"/>
    </row>
    <row r="873">
      <c r="A873" s="674"/>
      <c r="B873" s="703"/>
      <c r="C873" s="703"/>
    </row>
    <row r="874">
      <c r="A874" s="674"/>
      <c r="B874" s="703"/>
      <c r="C874" s="703"/>
    </row>
    <row r="875">
      <c r="A875" s="674"/>
      <c r="B875" s="703"/>
      <c r="C875" s="703"/>
    </row>
    <row r="876">
      <c r="A876" s="674"/>
      <c r="B876" s="703"/>
      <c r="C876" s="703"/>
    </row>
    <row r="877">
      <c r="A877" s="674"/>
      <c r="B877" s="703"/>
      <c r="C877" s="703"/>
    </row>
    <row r="878">
      <c r="A878" s="674"/>
      <c r="B878" s="703"/>
      <c r="C878" s="703"/>
    </row>
    <row r="879">
      <c r="A879" s="674"/>
      <c r="B879" s="703"/>
      <c r="C879" s="703"/>
    </row>
    <row r="880">
      <c r="A880" s="674"/>
      <c r="B880" s="703"/>
      <c r="C880" s="703"/>
    </row>
    <row r="881">
      <c r="A881" s="674"/>
      <c r="B881" s="703"/>
      <c r="C881" s="703"/>
    </row>
    <row r="882">
      <c r="A882" s="674"/>
      <c r="B882" s="703"/>
      <c r="C882" s="703"/>
    </row>
    <row r="883">
      <c r="A883" s="674"/>
      <c r="B883" s="703"/>
      <c r="C883" s="703"/>
    </row>
    <row r="884">
      <c r="A884" s="674"/>
      <c r="B884" s="703"/>
      <c r="C884" s="703"/>
    </row>
    <row r="885">
      <c r="A885" s="674"/>
      <c r="B885" s="703"/>
      <c r="C885" s="703"/>
    </row>
    <row r="886">
      <c r="A886" s="674"/>
      <c r="B886" s="703"/>
      <c r="C886" s="703"/>
    </row>
    <row r="887">
      <c r="A887" s="674"/>
      <c r="B887" s="703"/>
      <c r="C887" s="703"/>
    </row>
    <row r="888">
      <c r="A888" s="674"/>
      <c r="B888" s="703"/>
      <c r="C888" s="703"/>
    </row>
    <row r="889">
      <c r="A889" s="674"/>
      <c r="B889" s="703"/>
      <c r="C889" s="703"/>
    </row>
    <row r="890">
      <c r="A890" s="674"/>
      <c r="B890" s="703"/>
      <c r="C890" s="703"/>
    </row>
    <row r="891">
      <c r="A891" s="674"/>
      <c r="B891" s="703"/>
      <c r="C891" s="703"/>
    </row>
    <row r="892">
      <c r="A892" s="674"/>
      <c r="B892" s="703"/>
      <c r="C892" s="703"/>
    </row>
    <row r="893">
      <c r="A893" s="674"/>
      <c r="B893" s="703"/>
      <c r="C893" s="703"/>
    </row>
    <row r="894">
      <c r="A894" s="674"/>
      <c r="B894" s="703"/>
      <c r="C894" s="703"/>
    </row>
    <row r="895">
      <c r="A895" s="674"/>
      <c r="B895" s="703"/>
      <c r="C895" s="703"/>
    </row>
    <row r="896">
      <c r="A896" s="674"/>
      <c r="B896" s="703"/>
      <c r="C896" s="703"/>
    </row>
    <row r="897">
      <c r="A897" s="674"/>
      <c r="B897" s="703"/>
      <c r="C897" s="703"/>
    </row>
    <row r="898">
      <c r="A898" s="674"/>
      <c r="B898" s="703"/>
      <c r="C898" s="703"/>
    </row>
    <row r="899">
      <c r="A899" s="674"/>
      <c r="B899" s="703"/>
      <c r="C899" s="703"/>
    </row>
    <row r="900">
      <c r="A900" s="674"/>
      <c r="B900" s="703"/>
      <c r="C900" s="703"/>
    </row>
    <row r="901">
      <c r="A901" s="674"/>
      <c r="B901" s="703"/>
      <c r="C901" s="703"/>
    </row>
    <row r="902">
      <c r="A902" s="674"/>
      <c r="B902" s="703"/>
      <c r="C902" s="703"/>
    </row>
    <row r="903">
      <c r="A903" s="674"/>
      <c r="B903" s="703"/>
      <c r="C903" s="703"/>
    </row>
    <row r="904">
      <c r="A904" s="674"/>
      <c r="B904" s="703"/>
      <c r="C904" s="703"/>
    </row>
    <row r="905">
      <c r="A905" s="674"/>
      <c r="B905" s="703"/>
      <c r="C905" s="703"/>
    </row>
    <row r="906">
      <c r="A906" s="674"/>
      <c r="B906" s="703"/>
      <c r="C906" s="703"/>
    </row>
    <row r="907">
      <c r="A907" s="674"/>
      <c r="B907" s="703"/>
      <c r="C907" s="703"/>
    </row>
    <row r="908">
      <c r="A908" s="674"/>
      <c r="B908" s="703"/>
      <c r="C908" s="703"/>
    </row>
    <row r="909">
      <c r="A909" s="674"/>
      <c r="B909" s="703"/>
      <c r="C909" s="703"/>
    </row>
    <row r="910">
      <c r="A910" s="674"/>
      <c r="B910" s="703"/>
      <c r="C910" s="703"/>
    </row>
    <row r="911">
      <c r="A911" s="674"/>
      <c r="B911" s="703"/>
      <c r="C911" s="703"/>
    </row>
    <row r="912">
      <c r="A912" s="674"/>
      <c r="B912" s="703"/>
      <c r="C912" s="703"/>
    </row>
    <row r="913">
      <c r="A913" s="674"/>
      <c r="B913" s="703"/>
      <c r="C913" s="703"/>
    </row>
    <row r="914">
      <c r="A914" s="674"/>
      <c r="B914" s="703"/>
      <c r="C914" s="703"/>
    </row>
    <row r="915">
      <c r="A915" s="674"/>
      <c r="B915" s="703"/>
      <c r="C915" s="703"/>
    </row>
    <row r="916">
      <c r="A916" s="674"/>
      <c r="B916" s="703"/>
      <c r="C916" s="703"/>
    </row>
    <row r="917">
      <c r="A917" s="674"/>
      <c r="B917" s="703"/>
      <c r="C917" s="703"/>
    </row>
    <row r="918">
      <c r="A918" s="674"/>
      <c r="B918" s="703"/>
      <c r="C918" s="703"/>
    </row>
    <row r="919">
      <c r="A919" s="674"/>
      <c r="B919" s="703"/>
      <c r="C919" s="703"/>
    </row>
    <row r="920">
      <c r="A920" s="674"/>
      <c r="B920" s="703"/>
      <c r="C920" s="703"/>
    </row>
    <row r="921">
      <c r="A921" s="674"/>
      <c r="B921" s="703"/>
      <c r="C921" s="703"/>
    </row>
    <row r="922">
      <c r="A922" s="674"/>
      <c r="B922" s="703"/>
      <c r="C922" s="703"/>
    </row>
    <row r="923">
      <c r="A923" s="674"/>
      <c r="B923" s="703"/>
      <c r="C923" s="703"/>
    </row>
    <row r="924">
      <c r="A924" s="674"/>
      <c r="B924" s="703"/>
      <c r="C924" s="703"/>
    </row>
    <row r="925">
      <c r="A925" s="674"/>
      <c r="B925" s="703"/>
      <c r="C925" s="703"/>
    </row>
    <row r="926">
      <c r="A926" s="674"/>
      <c r="B926" s="703"/>
      <c r="C926" s="703"/>
    </row>
    <row r="927">
      <c r="A927" s="674"/>
      <c r="B927" s="703"/>
      <c r="C927" s="703"/>
    </row>
    <row r="928">
      <c r="A928" s="674"/>
      <c r="B928" s="703"/>
      <c r="C928" s="703"/>
    </row>
    <row r="929">
      <c r="A929" s="674"/>
      <c r="B929" s="703"/>
      <c r="C929" s="703"/>
    </row>
    <row r="930">
      <c r="A930" s="674"/>
      <c r="B930" s="703"/>
      <c r="C930" s="703"/>
    </row>
    <row r="931">
      <c r="A931" s="674"/>
      <c r="B931" s="703"/>
      <c r="C931" s="703"/>
    </row>
    <row r="932">
      <c r="A932" s="674"/>
      <c r="B932" s="703"/>
      <c r="C932" s="703"/>
    </row>
    <row r="933">
      <c r="A933" s="674"/>
      <c r="B933" s="703"/>
      <c r="C933" s="703"/>
    </row>
    <row r="934">
      <c r="A934" s="674"/>
      <c r="B934" s="703"/>
      <c r="C934" s="703"/>
    </row>
    <row r="935">
      <c r="A935" s="674"/>
      <c r="B935" s="703"/>
      <c r="C935" s="703"/>
    </row>
    <row r="936">
      <c r="A936" s="674"/>
      <c r="B936" s="703"/>
      <c r="C936" s="703"/>
    </row>
    <row r="937">
      <c r="A937" s="674"/>
      <c r="B937" s="703"/>
      <c r="C937" s="703"/>
    </row>
    <row r="938">
      <c r="A938" s="674"/>
      <c r="B938" s="703"/>
      <c r="C938" s="703"/>
    </row>
    <row r="939">
      <c r="A939" s="674"/>
      <c r="B939" s="703"/>
      <c r="C939" s="703"/>
    </row>
    <row r="940">
      <c r="A940" s="674"/>
      <c r="B940" s="703"/>
      <c r="C940" s="703"/>
    </row>
    <row r="941">
      <c r="A941" s="674"/>
      <c r="B941" s="703"/>
      <c r="C941" s="703"/>
    </row>
    <row r="942">
      <c r="A942" s="674"/>
      <c r="B942" s="703"/>
      <c r="C942" s="703"/>
    </row>
    <row r="943">
      <c r="A943" s="674"/>
      <c r="B943" s="703"/>
      <c r="C943" s="703"/>
    </row>
    <row r="944">
      <c r="A944" s="674"/>
      <c r="B944" s="703"/>
      <c r="C944" s="703"/>
    </row>
    <row r="945">
      <c r="A945" s="674"/>
      <c r="B945" s="703"/>
      <c r="C945" s="703"/>
    </row>
    <row r="946">
      <c r="A946" s="674"/>
      <c r="B946" s="703"/>
      <c r="C946" s="703"/>
    </row>
    <row r="947">
      <c r="A947" s="674"/>
      <c r="B947" s="703"/>
      <c r="C947" s="703"/>
    </row>
    <row r="948">
      <c r="A948" s="674"/>
      <c r="B948" s="703"/>
      <c r="C948" s="703"/>
    </row>
    <row r="949">
      <c r="A949" s="674"/>
      <c r="B949" s="703"/>
      <c r="C949" s="703"/>
    </row>
    <row r="950">
      <c r="A950" s="674"/>
      <c r="B950" s="703"/>
      <c r="C950" s="703"/>
    </row>
    <row r="951">
      <c r="A951" s="674"/>
      <c r="B951" s="703"/>
      <c r="C951" s="703"/>
    </row>
    <row r="952">
      <c r="A952" s="674"/>
      <c r="B952" s="703"/>
      <c r="C952" s="703"/>
    </row>
    <row r="953">
      <c r="A953" s="674"/>
      <c r="B953" s="703"/>
      <c r="C953" s="703"/>
    </row>
    <row r="954">
      <c r="A954" s="674"/>
      <c r="B954" s="703"/>
      <c r="C954" s="703"/>
    </row>
    <row r="955">
      <c r="A955" s="674"/>
      <c r="B955" s="703"/>
      <c r="C955" s="703"/>
    </row>
    <row r="956">
      <c r="A956" s="674"/>
      <c r="B956" s="703"/>
      <c r="C956" s="703"/>
    </row>
    <row r="957">
      <c r="A957" s="674"/>
      <c r="B957" s="703"/>
      <c r="C957" s="703"/>
    </row>
    <row r="958">
      <c r="A958" s="674"/>
      <c r="B958" s="703"/>
      <c r="C958" s="703"/>
    </row>
    <row r="959">
      <c r="A959" s="674"/>
      <c r="B959" s="703"/>
      <c r="C959" s="703"/>
    </row>
    <row r="960">
      <c r="A960" s="674"/>
      <c r="B960" s="703"/>
      <c r="C960" s="703"/>
    </row>
    <row r="961">
      <c r="A961" s="674"/>
      <c r="B961" s="703"/>
      <c r="C961" s="703"/>
    </row>
    <row r="962">
      <c r="A962" s="674"/>
      <c r="B962" s="703"/>
      <c r="C962" s="703"/>
    </row>
    <row r="963">
      <c r="A963" s="674"/>
      <c r="B963" s="703"/>
      <c r="C963" s="703"/>
    </row>
    <row r="964">
      <c r="A964" s="674"/>
      <c r="B964" s="703"/>
      <c r="C964" s="703"/>
    </row>
    <row r="965">
      <c r="A965" s="674"/>
      <c r="B965" s="703"/>
      <c r="C965" s="703"/>
    </row>
    <row r="966">
      <c r="A966" s="674"/>
      <c r="B966" s="703"/>
      <c r="C966" s="703"/>
    </row>
    <row r="967">
      <c r="A967" s="674"/>
      <c r="B967" s="703"/>
      <c r="C967" s="703"/>
    </row>
    <row r="968">
      <c r="A968" s="674"/>
      <c r="B968" s="703"/>
      <c r="C968" s="703"/>
    </row>
    <row r="969">
      <c r="A969" s="674"/>
      <c r="B969" s="703"/>
      <c r="C969" s="703"/>
    </row>
    <row r="970">
      <c r="A970" s="674"/>
      <c r="B970" s="703"/>
      <c r="C970" s="703"/>
    </row>
    <row r="971">
      <c r="A971" s="674"/>
      <c r="B971" s="703"/>
      <c r="C971" s="703"/>
    </row>
    <row r="972">
      <c r="A972" s="674"/>
      <c r="B972" s="703"/>
      <c r="C972" s="703"/>
    </row>
    <row r="973">
      <c r="A973" s="674"/>
      <c r="B973" s="703"/>
      <c r="C973" s="703"/>
    </row>
    <row r="974">
      <c r="A974" s="674"/>
      <c r="B974" s="703"/>
      <c r="C974" s="703"/>
    </row>
    <row r="975">
      <c r="A975" s="674"/>
      <c r="B975" s="703"/>
      <c r="C975" s="703"/>
    </row>
    <row r="976">
      <c r="A976" s="674"/>
      <c r="B976" s="703"/>
      <c r="C976" s="703"/>
    </row>
    <row r="977">
      <c r="A977" s="674"/>
      <c r="B977" s="703"/>
      <c r="C977" s="703"/>
    </row>
    <row r="978">
      <c r="A978" s="674"/>
      <c r="B978" s="703"/>
      <c r="C978" s="703"/>
    </row>
    <row r="979">
      <c r="A979" s="674"/>
      <c r="B979" s="703"/>
      <c r="C979" s="703"/>
    </row>
    <row r="980">
      <c r="A980" s="674"/>
      <c r="B980" s="703"/>
      <c r="C980" s="703"/>
    </row>
    <row r="981">
      <c r="A981" s="674"/>
      <c r="B981" s="703"/>
      <c r="C981" s="703"/>
    </row>
    <row r="982">
      <c r="A982" s="674"/>
      <c r="B982" s="703"/>
      <c r="C982" s="703"/>
    </row>
    <row r="983">
      <c r="A983" s="674"/>
      <c r="B983" s="703"/>
      <c r="C983" s="703"/>
    </row>
    <row r="984">
      <c r="A984" s="674"/>
      <c r="B984" s="703"/>
      <c r="C984" s="703"/>
    </row>
    <row r="985">
      <c r="A985" s="674"/>
      <c r="B985" s="703"/>
      <c r="C985" s="703"/>
    </row>
    <row r="986">
      <c r="A986" s="674"/>
      <c r="B986" s="703"/>
      <c r="C986" s="703"/>
    </row>
    <row r="987">
      <c r="A987" s="674"/>
      <c r="B987" s="703"/>
      <c r="C987" s="703"/>
    </row>
    <row r="988">
      <c r="A988" s="674"/>
      <c r="B988" s="703"/>
      <c r="C988" s="703"/>
    </row>
    <row r="989">
      <c r="A989" s="674"/>
      <c r="B989" s="703"/>
      <c r="C989" s="703"/>
    </row>
    <row r="990">
      <c r="A990" s="674"/>
      <c r="B990" s="703"/>
      <c r="C990" s="703"/>
    </row>
    <row r="991">
      <c r="A991" s="674"/>
      <c r="B991" s="703"/>
      <c r="C991" s="703"/>
    </row>
    <row r="992">
      <c r="A992" s="674"/>
      <c r="B992" s="703"/>
      <c r="C992" s="703"/>
    </row>
    <row r="993">
      <c r="A993" s="674"/>
      <c r="B993" s="703"/>
      <c r="C993" s="703"/>
    </row>
  </sheetData>
  <mergeCells count="2">
    <mergeCell ref="B1:C1"/>
    <mergeCell ref="D1:O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15.0"/>
    <col customWidth="1" min="2" max="2" width="9.86"/>
    <col customWidth="1" min="3" max="3" width="13.57"/>
    <col customWidth="1" min="4" max="4" width="9.86"/>
    <col customWidth="1" min="5" max="5" width="15.14"/>
    <col customWidth="1" min="6" max="6" width="23.43"/>
    <col customWidth="1" min="7" max="7" width="12.71"/>
    <col customWidth="1" min="8" max="8" width="14.14"/>
    <col customWidth="1" min="9" max="9" width="15.43"/>
    <col customWidth="1" min="10" max="10" width="9.14"/>
    <col customWidth="1" min="11" max="11" width="8.71"/>
    <col customWidth="1" min="12" max="12" width="27.29"/>
    <col customWidth="1" min="13" max="14" width="17.14"/>
    <col customWidth="1" min="15" max="15" width="10.0"/>
    <col customWidth="1" min="16" max="21" width="8.71"/>
  </cols>
  <sheetData>
    <row r="1">
      <c r="A1" s="674"/>
      <c r="B1" s="674"/>
      <c r="C1" s="674"/>
      <c r="D1" s="674"/>
      <c r="E1" s="674"/>
      <c r="F1" s="674"/>
      <c r="G1" s="674"/>
      <c r="H1" s="674"/>
      <c r="I1" s="674"/>
      <c r="J1" s="674"/>
      <c r="L1" s="674"/>
    </row>
    <row r="2" ht="45.0" customHeight="1">
      <c r="A2" s="704" t="s">
        <v>3421</v>
      </c>
      <c r="B2" s="705" t="s">
        <v>3422</v>
      </c>
      <c r="C2" s="705" t="s">
        <v>3423</v>
      </c>
      <c r="D2" s="706" t="s">
        <v>3424</v>
      </c>
      <c r="E2" s="706" t="s">
        <v>3425</v>
      </c>
      <c r="F2" s="707" t="s">
        <v>3426</v>
      </c>
      <c r="G2" s="707" t="s">
        <v>3427</v>
      </c>
      <c r="H2" s="704" t="s">
        <v>3428</v>
      </c>
      <c r="I2" s="704" t="s">
        <v>3429</v>
      </c>
      <c r="J2" s="704" t="s">
        <v>3430</v>
      </c>
      <c r="K2" s="704" t="s">
        <v>3431</v>
      </c>
      <c r="L2" s="704" t="s">
        <v>3432</v>
      </c>
      <c r="M2" s="636" t="s">
        <v>3433</v>
      </c>
      <c r="N2" s="636" t="s">
        <v>3434</v>
      </c>
      <c r="O2" s="249" t="s">
        <v>3435</v>
      </c>
    </row>
    <row r="3">
      <c r="A3" s="708">
        <v>42278.0</v>
      </c>
      <c r="B3" s="709">
        <v>369.87</v>
      </c>
      <c r="C3" s="709">
        <v>369.87</v>
      </c>
      <c r="D3" s="710">
        <v>369.87</v>
      </c>
      <c r="E3" s="710">
        <f>D3</f>
        <v>369.87</v>
      </c>
      <c r="F3" s="711">
        <v>0.0</v>
      </c>
      <c r="G3" s="711">
        <f>F3</f>
        <v>0</v>
      </c>
      <c r="H3" s="712">
        <f t="shared" ref="H3:H113" si="1">D3+F3</f>
        <v>369.87</v>
      </c>
      <c r="I3" s="712">
        <f>H3</f>
        <v>369.87</v>
      </c>
      <c r="J3" s="712">
        <f>B3-H3</f>
        <v>0</v>
      </c>
      <c r="K3" s="712"/>
      <c r="L3" s="713"/>
    </row>
    <row r="4">
      <c r="A4" s="708">
        <v>42309.0</v>
      </c>
      <c r="B4" s="709">
        <v>750.0</v>
      </c>
      <c r="C4" s="709">
        <f t="shared" ref="C4:C112" si="2">C3+B4</f>
        <v>1119.87</v>
      </c>
      <c r="D4" s="710">
        <v>750.0</v>
      </c>
      <c r="E4" s="710">
        <f t="shared" ref="E4:E112" si="3">E3+D4</f>
        <v>1119.87</v>
      </c>
      <c r="F4" s="711">
        <v>0.0</v>
      </c>
      <c r="G4" s="711">
        <f t="shared" ref="G4:G112" si="4">G3+F4</f>
        <v>0</v>
      </c>
      <c r="H4" s="712">
        <f t="shared" si="1"/>
        <v>750</v>
      </c>
      <c r="I4" s="712">
        <f t="shared" ref="I4:I112" si="5">I3+H4</f>
        <v>1119.87</v>
      </c>
      <c r="J4" s="712">
        <f t="shared" ref="J4:J81" si="6">J3+B4-H4</f>
        <v>0</v>
      </c>
      <c r="K4" s="712"/>
      <c r="L4" s="713"/>
    </row>
    <row r="5">
      <c r="A5" s="708">
        <v>42339.0</v>
      </c>
      <c r="B5" s="709">
        <v>750.0</v>
      </c>
      <c r="C5" s="709">
        <f t="shared" si="2"/>
        <v>1869.87</v>
      </c>
      <c r="D5" s="710">
        <v>750.0</v>
      </c>
      <c r="E5" s="710">
        <f t="shared" si="3"/>
        <v>1869.87</v>
      </c>
      <c r="F5" s="711">
        <v>872.6</v>
      </c>
      <c r="G5" s="711">
        <f t="shared" si="4"/>
        <v>872.6</v>
      </c>
      <c r="H5" s="712">
        <f t="shared" si="1"/>
        <v>1622.6</v>
      </c>
      <c r="I5" s="712">
        <f t="shared" si="5"/>
        <v>2742.47</v>
      </c>
      <c r="J5" s="712">
        <f t="shared" si="6"/>
        <v>-872.6</v>
      </c>
      <c r="K5" s="712">
        <v>872.6</v>
      </c>
      <c r="L5" s="713"/>
      <c r="M5" s="47">
        <v>872.6</v>
      </c>
      <c r="N5" s="47">
        <v>872.6</v>
      </c>
      <c r="O5" s="47">
        <v>0.0</v>
      </c>
    </row>
    <row r="6">
      <c r="A6" s="708">
        <v>42370.0</v>
      </c>
      <c r="B6" s="709">
        <v>750.0</v>
      </c>
      <c r="C6" s="709">
        <f t="shared" si="2"/>
        <v>2619.87</v>
      </c>
      <c r="D6" s="710">
        <v>0.0</v>
      </c>
      <c r="E6" s="710">
        <f t="shared" si="3"/>
        <v>1869.87</v>
      </c>
      <c r="F6" s="711">
        <v>437.1</v>
      </c>
      <c r="G6" s="711">
        <f t="shared" si="4"/>
        <v>1309.7</v>
      </c>
      <c r="H6" s="712">
        <f t="shared" si="1"/>
        <v>437.1</v>
      </c>
      <c r="I6" s="712">
        <f t="shared" si="5"/>
        <v>3179.57</v>
      </c>
      <c r="J6" s="712">
        <f t="shared" si="6"/>
        <v>-559.7</v>
      </c>
      <c r="K6" s="712">
        <f>872.6-750+437.1</f>
        <v>559.7</v>
      </c>
      <c r="L6" s="713"/>
      <c r="M6" s="47">
        <v>437.1</v>
      </c>
      <c r="N6" s="47">
        <f t="shared" ref="N6:N30" si="7">N5+M6</f>
        <v>1309.7</v>
      </c>
      <c r="O6" s="622">
        <f t="shared" ref="O6:O30" si="8">N6-G6</f>
        <v>0</v>
      </c>
    </row>
    <row r="7">
      <c r="A7" s="708">
        <v>42401.0</v>
      </c>
      <c r="B7" s="709">
        <v>750.0</v>
      </c>
      <c r="C7" s="709">
        <f t="shared" si="2"/>
        <v>3369.87</v>
      </c>
      <c r="D7" s="710">
        <v>190.3</v>
      </c>
      <c r="E7" s="710">
        <f t="shared" si="3"/>
        <v>2060.17</v>
      </c>
      <c r="F7" s="711">
        <v>437.0</v>
      </c>
      <c r="G7" s="711">
        <f t="shared" si="4"/>
        <v>1746.7</v>
      </c>
      <c r="H7" s="712">
        <f t="shared" si="1"/>
        <v>627.3</v>
      </c>
      <c r="I7" s="712">
        <f t="shared" si="5"/>
        <v>3806.87</v>
      </c>
      <c r="J7" s="712">
        <f t="shared" si="6"/>
        <v>-437</v>
      </c>
      <c r="K7" s="712">
        <v>437.0</v>
      </c>
      <c r="L7" s="713" t="s">
        <v>3436</v>
      </c>
      <c r="M7" s="47">
        <v>437.0</v>
      </c>
      <c r="N7" s="47">
        <f t="shared" si="7"/>
        <v>1746.7</v>
      </c>
      <c r="O7" s="622">
        <f t="shared" si="8"/>
        <v>0</v>
      </c>
    </row>
    <row r="8">
      <c r="A8" s="708">
        <v>42430.0</v>
      </c>
      <c r="B8" s="709">
        <v>750.0</v>
      </c>
      <c r="C8" s="709">
        <f t="shared" si="2"/>
        <v>4119.87</v>
      </c>
      <c r="D8" s="710">
        <v>0.0</v>
      </c>
      <c r="E8" s="710">
        <f t="shared" si="3"/>
        <v>2060.17</v>
      </c>
      <c r="F8" s="711">
        <v>437.0</v>
      </c>
      <c r="G8" s="711">
        <f t="shared" si="4"/>
        <v>2183.7</v>
      </c>
      <c r="H8" s="712">
        <f t="shared" si="1"/>
        <v>437</v>
      </c>
      <c r="I8" s="712">
        <f t="shared" si="5"/>
        <v>4243.87</v>
      </c>
      <c r="J8" s="712">
        <f t="shared" si="6"/>
        <v>-124</v>
      </c>
      <c r="K8" s="712">
        <v>124.0</v>
      </c>
      <c r="L8" s="713"/>
      <c r="M8" s="47">
        <v>437.0</v>
      </c>
      <c r="N8" s="47">
        <f t="shared" si="7"/>
        <v>2183.7</v>
      </c>
      <c r="O8" s="622">
        <f t="shared" si="8"/>
        <v>0</v>
      </c>
    </row>
    <row r="9">
      <c r="A9" s="708">
        <v>42461.0</v>
      </c>
      <c r="B9" s="709">
        <v>750.0</v>
      </c>
      <c r="C9" s="714">
        <f t="shared" si="2"/>
        <v>4869.87</v>
      </c>
      <c r="D9" s="710">
        <v>189.0</v>
      </c>
      <c r="E9" s="710">
        <f t="shared" si="3"/>
        <v>2249.17</v>
      </c>
      <c r="F9" s="711">
        <v>437.0</v>
      </c>
      <c r="G9" s="711">
        <f t="shared" si="4"/>
        <v>2620.7</v>
      </c>
      <c r="H9" s="712">
        <f t="shared" si="1"/>
        <v>626</v>
      </c>
      <c r="I9" s="715">
        <f t="shared" si="5"/>
        <v>4869.87</v>
      </c>
      <c r="J9" s="715">
        <f t="shared" si="6"/>
        <v>0</v>
      </c>
      <c r="K9" s="712">
        <v>0.0</v>
      </c>
      <c r="L9" s="713" t="s">
        <v>3437</v>
      </c>
      <c r="M9" s="47">
        <v>437.0</v>
      </c>
      <c r="N9" s="47">
        <f t="shared" si="7"/>
        <v>2620.7</v>
      </c>
      <c r="O9" s="622">
        <f t="shared" si="8"/>
        <v>0</v>
      </c>
    </row>
    <row r="10">
      <c r="A10" s="708">
        <v>42491.0</v>
      </c>
      <c r="B10" s="709">
        <v>750.0</v>
      </c>
      <c r="C10" s="714">
        <f t="shared" si="2"/>
        <v>5619.87</v>
      </c>
      <c r="D10" s="710">
        <f>B10-F10</f>
        <v>313</v>
      </c>
      <c r="E10" s="710">
        <f t="shared" si="3"/>
        <v>2562.17</v>
      </c>
      <c r="F10" s="711">
        <v>437.0</v>
      </c>
      <c r="G10" s="711">
        <f t="shared" si="4"/>
        <v>3057.7</v>
      </c>
      <c r="H10" s="712">
        <f t="shared" si="1"/>
        <v>750</v>
      </c>
      <c r="I10" s="712">
        <f t="shared" si="5"/>
        <v>5619.87</v>
      </c>
      <c r="J10" s="712">
        <f t="shared" si="6"/>
        <v>0</v>
      </c>
      <c r="K10" s="712">
        <v>0.0</v>
      </c>
      <c r="L10" s="713" t="s">
        <v>3438</v>
      </c>
      <c r="M10" s="47">
        <v>437.0</v>
      </c>
      <c r="N10" s="47">
        <f t="shared" si="7"/>
        <v>3057.7</v>
      </c>
      <c r="O10" s="622">
        <f t="shared" si="8"/>
        <v>0</v>
      </c>
    </row>
    <row r="11">
      <c r="A11" s="708">
        <v>42522.0</v>
      </c>
      <c r="B11" s="709">
        <v>750.0</v>
      </c>
      <c r="C11" s="714">
        <f t="shared" si="2"/>
        <v>6369.87</v>
      </c>
      <c r="D11" s="710">
        <v>313.0</v>
      </c>
      <c r="E11" s="710">
        <f t="shared" si="3"/>
        <v>2875.17</v>
      </c>
      <c r="F11" s="711">
        <v>437.0</v>
      </c>
      <c r="G11" s="711">
        <f t="shared" si="4"/>
        <v>3494.7</v>
      </c>
      <c r="H11" s="712">
        <f t="shared" si="1"/>
        <v>750</v>
      </c>
      <c r="I11" s="712">
        <f t="shared" si="5"/>
        <v>6369.87</v>
      </c>
      <c r="J11" s="712">
        <f t="shared" si="6"/>
        <v>0</v>
      </c>
      <c r="K11" s="712">
        <v>0.0</v>
      </c>
      <c r="L11" s="713"/>
      <c r="M11" s="47">
        <v>437.0</v>
      </c>
      <c r="N11" s="47">
        <f t="shared" si="7"/>
        <v>3494.7</v>
      </c>
      <c r="O11" s="622">
        <f t="shared" si="8"/>
        <v>0</v>
      </c>
    </row>
    <row r="12">
      <c r="A12" s="708">
        <v>42552.0</v>
      </c>
      <c r="B12" s="709">
        <v>750.0</v>
      </c>
      <c r="C12" s="714">
        <f t="shared" si="2"/>
        <v>7119.87</v>
      </c>
      <c r="D12" s="710">
        <v>313.0</v>
      </c>
      <c r="E12" s="710">
        <f t="shared" si="3"/>
        <v>3188.17</v>
      </c>
      <c r="F12" s="711">
        <v>437.0</v>
      </c>
      <c r="G12" s="711">
        <f t="shared" si="4"/>
        <v>3931.7</v>
      </c>
      <c r="H12" s="712">
        <f t="shared" si="1"/>
        <v>750</v>
      </c>
      <c r="I12" s="712">
        <f t="shared" si="5"/>
        <v>7119.87</v>
      </c>
      <c r="J12" s="712">
        <f t="shared" si="6"/>
        <v>0</v>
      </c>
      <c r="K12" s="712">
        <v>0.0</v>
      </c>
      <c r="L12" s="713"/>
      <c r="M12" s="47">
        <v>437.0</v>
      </c>
      <c r="N12" s="47">
        <f t="shared" si="7"/>
        <v>3931.7</v>
      </c>
      <c r="O12" s="622">
        <f t="shared" si="8"/>
        <v>0</v>
      </c>
    </row>
    <row r="13">
      <c r="A13" s="708">
        <v>42583.0</v>
      </c>
      <c r="B13" s="709">
        <v>750.0</v>
      </c>
      <c r="C13" s="714">
        <f t="shared" si="2"/>
        <v>7869.87</v>
      </c>
      <c r="D13" s="710">
        <v>313.0</v>
      </c>
      <c r="E13" s="710">
        <f t="shared" si="3"/>
        <v>3501.17</v>
      </c>
      <c r="F13" s="711">
        <v>437.0</v>
      </c>
      <c r="G13" s="711">
        <f t="shared" si="4"/>
        <v>4368.7</v>
      </c>
      <c r="H13" s="712">
        <f t="shared" si="1"/>
        <v>750</v>
      </c>
      <c r="I13" s="712">
        <f t="shared" si="5"/>
        <v>7869.87</v>
      </c>
      <c r="J13" s="712">
        <f t="shared" si="6"/>
        <v>0</v>
      </c>
      <c r="K13" s="712">
        <v>0.0</v>
      </c>
      <c r="L13" s="713"/>
      <c r="M13" s="47">
        <v>437.0</v>
      </c>
      <c r="N13" s="47">
        <f t="shared" si="7"/>
        <v>4368.7</v>
      </c>
      <c r="O13" s="622">
        <f t="shared" si="8"/>
        <v>0</v>
      </c>
    </row>
    <row r="14">
      <c r="A14" s="708">
        <v>42614.0</v>
      </c>
      <c r="B14" s="709">
        <v>750.0</v>
      </c>
      <c r="C14" s="714">
        <f t="shared" si="2"/>
        <v>8619.87</v>
      </c>
      <c r="D14" s="710">
        <v>313.0</v>
      </c>
      <c r="E14" s="710">
        <f t="shared" si="3"/>
        <v>3814.17</v>
      </c>
      <c r="F14" s="711">
        <v>437.0</v>
      </c>
      <c r="G14" s="711">
        <f t="shared" si="4"/>
        <v>4805.7</v>
      </c>
      <c r="H14" s="712">
        <f t="shared" si="1"/>
        <v>750</v>
      </c>
      <c r="I14" s="712">
        <f t="shared" si="5"/>
        <v>8619.87</v>
      </c>
      <c r="J14" s="712">
        <f t="shared" si="6"/>
        <v>0</v>
      </c>
      <c r="K14" s="712">
        <v>0.0</v>
      </c>
      <c r="L14" s="713"/>
      <c r="M14" s="47">
        <v>437.0</v>
      </c>
      <c r="N14" s="47">
        <f t="shared" si="7"/>
        <v>4805.7</v>
      </c>
      <c r="O14" s="622">
        <f t="shared" si="8"/>
        <v>0</v>
      </c>
    </row>
    <row r="15">
      <c r="A15" s="708">
        <v>42644.0</v>
      </c>
      <c r="B15" s="709">
        <v>750.0</v>
      </c>
      <c r="C15" s="714">
        <f t="shared" si="2"/>
        <v>9369.87</v>
      </c>
      <c r="D15" s="710">
        <v>313.0</v>
      </c>
      <c r="E15" s="710">
        <f t="shared" si="3"/>
        <v>4127.17</v>
      </c>
      <c r="F15" s="711">
        <v>437.0</v>
      </c>
      <c r="G15" s="711">
        <f t="shared" si="4"/>
        <v>5242.7</v>
      </c>
      <c r="H15" s="712">
        <f t="shared" si="1"/>
        <v>750</v>
      </c>
      <c r="I15" s="712">
        <f t="shared" si="5"/>
        <v>9369.87</v>
      </c>
      <c r="J15" s="712">
        <f t="shared" si="6"/>
        <v>0</v>
      </c>
      <c r="K15" s="712">
        <v>0.0</v>
      </c>
      <c r="L15" s="713"/>
      <c r="M15" s="47">
        <v>437.0</v>
      </c>
      <c r="N15" s="47">
        <f t="shared" si="7"/>
        <v>5242.7</v>
      </c>
      <c r="O15" s="622">
        <f t="shared" si="8"/>
        <v>0</v>
      </c>
    </row>
    <row r="16">
      <c r="A16" s="708">
        <v>42675.0</v>
      </c>
      <c r="B16" s="709">
        <v>750.0</v>
      </c>
      <c r="C16" s="714">
        <f t="shared" si="2"/>
        <v>10119.87</v>
      </c>
      <c r="D16" s="710">
        <v>313.0</v>
      </c>
      <c r="E16" s="710">
        <f t="shared" si="3"/>
        <v>4440.17</v>
      </c>
      <c r="F16" s="711">
        <v>437.0</v>
      </c>
      <c r="G16" s="711">
        <f t="shared" si="4"/>
        <v>5679.7</v>
      </c>
      <c r="H16" s="712">
        <f t="shared" si="1"/>
        <v>750</v>
      </c>
      <c r="I16" s="712">
        <f t="shared" si="5"/>
        <v>10119.87</v>
      </c>
      <c r="J16" s="712">
        <f t="shared" si="6"/>
        <v>0</v>
      </c>
      <c r="K16" s="712">
        <v>0.0</v>
      </c>
      <c r="L16" s="713"/>
      <c r="M16" s="47">
        <v>437.0</v>
      </c>
      <c r="N16" s="47">
        <f t="shared" si="7"/>
        <v>5679.7</v>
      </c>
      <c r="O16" s="622">
        <f t="shared" si="8"/>
        <v>0</v>
      </c>
    </row>
    <row r="17">
      <c r="A17" s="708">
        <v>42705.0</v>
      </c>
      <c r="B17" s="709">
        <v>750.0</v>
      </c>
      <c r="C17" s="714">
        <f t="shared" si="2"/>
        <v>10869.87</v>
      </c>
      <c r="D17" s="710">
        <v>313.0</v>
      </c>
      <c r="E17" s="710">
        <f t="shared" si="3"/>
        <v>4753.17</v>
      </c>
      <c r="F17" s="711">
        <v>437.0</v>
      </c>
      <c r="G17" s="711">
        <f t="shared" si="4"/>
        <v>6116.7</v>
      </c>
      <c r="H17" s="712">
        <f t="shared" si="1"/>
        <v>750</v>
      </c>
      <c r="I17" s="712">
        <f t="shared" si="5"/>
        <v>10869.87</v>
      </c>
      <c r="J17" s="712">
        <f t="shared" si="6"/>
        <v>0</v>
      </c>
      <c r="K17" s="712">
        <v>0.0</v>
      </c>
      <c r="L17" s="713"/>
      <c r="M17" s="47">
        <v>437.0</v>
      </c>
      <c r="N17" s="47">
        <f t="shared" si="7"/>
        <v>6116.7</v>
      </c>
      <c r="O17" s="622">
        <f t="shared" si="8"/>
        <v>0</v>
      </c>
    </row>
    <row r="18">
      <c r="A18" s="708">
        <v>42736.0</v>
      </c>
      <c r="B18" s="709">
        <v>750.0</v>
      </c>
      <c r="C18" s="714">
        <f t="shared" si="2"/>
        <v>11619.87</v>
      </c>
      <c r="D18" s="710">
        <v>313.0</v>
      </c>
      <c r="E18" s="710">
        <f t="shared" si="3"/>
        <v>5066.17</v>
      </c>
      <c r="F18" s="711">
        <v>437.0</v>
      </c>
      <c r="G18" s="711">
        <f t="shared" si="4"/>
        <v>6553.7</v>
      </c>
      <c r="H18" s="712">
        <f t="shared" si="1"/>
        <v>750</v>
      </c>
      <c r="I18" s="712">
        <f t="shared" si="5"/>
        <v>11619.87</v>
      </c>
      <c r="J18" s="712">
        <f t="shared" si="6"/>
        <v>0</v>
      </c>
      <c r="K18" s="712">
        <v>0.0</v>
      </c>
      <c r="L18" s="713"/>
      <c r="M18" s="47">
        <v>437.0</v>
      </c>
      <c r="N18" s="47">
        <f t="shared" si="7"/>
        <v>6553.7</v>
      </c>
      <c r="O18" s="622">
        <f t="shared" si="8"/>
        <v>0</v>
      </c>
    </row>
    <row r="19">
      <c r="A19" s="708">
        <v>42767.0</v>
      </c>
      <c r="B19" s="709">
        <v>750.0</v>
      </c>
      <c r="C19" s="714">
        <f t="shared" si="2"/>
        <v>12369.87</v>
      </c>
      <c r="D19" s="710">
        <v>448.0</v>
      </c>
      <c r="E19" s="710">
        <f t="shared" si="3"/>
        <v>5514.17</v>
      </c>
      <c r="F19" s="711">
        <v>302.0</v>
      </c>
      <c r="G19" s="711">
        <f t="shared" si="4"/>
        <v>6855.7</v>
      </c>
      <c r="H19" s="712">
        <f t="shared" si="1"/>
        <v>750</v>
      </c>
      <c r="I19" s="712">
        <f t="shared" si="5"/>
        <v>12369.87</v>
      </c>
      <c r="J19" s="712">
        <f t="shared" si="6"/>
        <v>0</v>
      </c>
      <c r="K19" s="712">
        <v>0.0</v>
      </c>
      <c r="L19" s="713"/>
      <c r="M19" s="47">
        <v>302.0</v>
      </c>
      <c r="N19" s="47">
        <f t="shared" si="7"/>
        <v>6855.7</v>
      </c>
      <c r="O19" s="622">
        <f t="shared" si="8"/>
        <v>0</v>
      </c>
    </row>
    <row r="20">
      <c r="A20" s="708">
        <v>42795.0</v>
      </c>
      <c r="B20" s="709">
        <v>750.0</v>
      </c>
      <c r="C20" s="714">
        <f t="shared" si="2"/>
        <v>13119.87</v>
      </c>
      <c r="D20" s="710">
        <v>448.0</v>
      </c>
      <c r="E20" s="710">
        <f t="shared" si="3"/>
        <v>5962.17</v>
      </c>
      <c r="F20" s="711">
        <v>302.0</v>
      </c>
      <c r="G20" s="711">
        <f t="shared" si="4"/>
        <v>7157.7</v>
      </c>
      <c r="H20" s="712">
        <f t="shared" si="1"/>
        <v>750</v>
      </c>
      <c r="I20" s="712">
        <f t="shared" si="5"/>
        <v>13119.87</v>
      </c>
      <c r="J20" s="712">
        <f t="shared" si="6"/>
        <v>0</v>
      </c>
      <c r="K20" s="712">
        <v>0.0</v>
      </c>
      <c r="L20" s="713"/>
      <c r="M20" s="47">
        <v>302.0</v>
      </c>
      <c r="N20" s="47">
        <f t="shared" si="7"/>
        <v>7157.7</v>
      </c>
      <c r="O20" s="622">
        <f t="shared" si="8"/>
        <v>0</v>
      </c>
    </row>
    <row r="21">
      <c r="A21" s="708">
        <v>42826.0</v>
      </c>
      <c r="B21" s="716">
        <v>770.0</v>
      </c>
      <c r="C21" s="717">
        <f t="shared" si="2"/>
        <v>13889.87</v>
      </c>
      <c r="D21" s="718">
        <v>516.0</v>
      </c>
      <c r="E21" s="710">
        <f t="shared" si="3"/>
        <v>6478.17</v>
      </c>
      <c r="F21" s="719">
        <v>254.0</v>
      </c>
      <c r="G21" s="711">
        <f t="shared" si="4"/>
        <v>7411.7</v>
      </c>
      <c r="H21" s="712">
        <f t="shared" si="1"/>
        <v>770</v>
      </c>
      <c r="I21" s="712">
        <f t="shared" si="5"/>
        <v>13889.87</v>
      </c>
      <c r="J21" s="712">
        <f t="shared" si="6"/>
        <v>0</v>
      </c>
      <c r="K21" s="712">
        <v>0.0</v>
      </c>
      <c r="L21" s="713"/>
      <c r="M21" s="47">
        <v>254.0</v>
      </c>
      <c r="N21" s="47">
        <f t="shared" si="7"/>
        <v>7411.7</v>
      </c>
      <c r="O21" s="622">
        <f t="shared" si="8"/>
        <v>0</v>
      </c>
    </row>
    <row r="22">
      <c r="A22" s="708">
        <v>42856.0</v>
      </c>
      <c r="B22" s="716">
        <v>770.0</v>
      </c>
      <c r="C22" s="717">
        <f t="shared" si="2"/>
        <v>14659.87</v>
      </c>
      <c r="D22" s="718">
        <v>516.0</v>
      </c>
      <c r="E22" s="710">
        <f t="shared" si="3"/>
        <v>6994.17</v>
      </c>
      <c r="F22" s="719">
        <v>254.0</v>
      </c>
      <c r="G22" s="711">
        <f t="shared" si="4"/>
        <v>7665.7</v>
      </c>
      <c r="H22" s="712">
        <f t="shared" si="1"/>
        <v>770</v>
      </c>
      <c r="I22" s="712">
        <f t="shared" si="5"/>
        <v>14659.87</v>
      </c>
      <c r="J22" s="712">
        <f t="shared" si="6"/>
        <v>0</v>
      </c>
      <c r="K22" s="712">
        <v>0.0</v>
      </c>
      <c r="L22" s="713"/>
      <c r="M22" s="47">
        <v>254.0</v>
      </c>
      <c r="N22" s="47">
        <f t="shared" si="7"/>
        <v>7665.7</v>
      </c>
      <c r="O22" s="622">
        <f t="shared" si="8"/>
        <v>0</v>
      </c>
    </row>
    <row r="23">
      <c r="A23" s="708">
        <v>42887.0</v>
      </c>
      <c r="B23" s="716">
        <v>770.0</v>
      </c>
      <c r="C23" s="717">
        <f t="shared" si="2"/>
        <v>15429.87</v>
      </c>
      <c r="D23" s="718">
        <v>516.0</v>
      </c>
      <c r="E23" s="710">
        <f t="shared" si="3"/>
        <v>7510.17</v>
      </c>
      <c r="F23" s="719">
        <v>254.0</v>
      </c>
      <c r="G23" s="711">
        <f t="shared" si="4"/>
        <v>7919.7</v>
      </c>
      <c r="H23" s="712">
        <f t="shared" si="1"/>
        <v>770</v>
      </c>
      <c r="I23" s="712">
        <f t="shared" si="5"/>
        <v>15429.87</v>
      </c>
      <c r="J23" s="712">
        <f t="shared" si="6"/>
        <v>0</v>
      </c>
      <c r="K23" s="712">
        <v>0.0</v>
      </c>
      <c r="L23" s="713"/>
      <c r="M23" s="47">
        <v>254.0</v>
      </c>
      <c r="N23" s="47">
        <f t="shared" si="7"/>
        <v>7919.7</v>
      </c>
      <c r="O23" s="622">
        <f t="shared" si="8"/>
        <v>0</v>
      </c>
    </row>
    <row r="24">
      <c r="A24" s="708">
        <v>42917.0</v>
      </c>
      <c r="B24" s="716">
        <v>770.0</v>
      </c>
      <c r="C24" s="717">
        <f t="shared" si="2"/>
        <v>16199.87</v>
      </c>
      <c r="D24" s="718">
        <v>516.0</v>
      </c>
      <c r="E24" s="710">
        <f t="shared" si="3"/>
        <v>8026.17</v>
      </c>
      <c r="F24" s="719">
        <v>254.0</v>
      </c>
      <c r="G24" s="711">
        <f t="shared" si="4"/>
        <v>8173.7</v>
      </c>
      <c r="H24" s="712">
        <f t="shared" si="1"/>
        <v>770</v>
      </c>
      <c r="I24" s="712">
        <f t="shared" si="5"/>
        <v>16199.87</v>
      </c>
      <c r="J24" s="712">
        <f t="shared" si="6"/>
        <v>0</v>
      </c>
      <c r="K24" s="712">
        <v>0.0</v>
      </c>
      <c r="L24" s="713"/>
      <c r="M24" s="47">
        <v>254.0</v>
      </c>
      <c r="N24" s="47">
        <f t="shared" si="7"/>
        <v>8173.7</v>
      </c>
      <c r="O24" s="622">
        <f t="shared" si="8"/>
        <v>0</v>
      </c>
    </row>
    <row r="25">
      <c r="A25" s="708">
        <v>42948.0</v>
      </c>
      <c r="B25" s="716">
        <v>770.0</v>
      </c>
      <c r="C25" s="717">
        <f t="shared" si="2"/>
        <v>16969.87</v>
      </c>
      <c r="D25" s="718">
        <v>516.0</v>
      </c>
      <c r="E25" s="710">
        <f t="shared" si="3"/>
        <v>8542.17</v>
      </c>
      <c r="F25" s="719">
        <v>254.0</v>
      </c>
      <c r="G25" s="711">
        <f t="shared" si="4"/>
        <v>8427.7</v>
      </c>
      <c r="H25" s="712">
        <f t="shared" si="1"/>
        <v>770</v>
      </c>
      <c r="I25" s="712">
        <f t="shared" si="5"/>
        <v>16969.87</v>
      </c>
      <c r="J25" s="712">
        <f t="shared" si="6"/>
        <v>0</v>
      </c>
      <c r="K25" s="712">
        <v>0.0</v>
      </c>
      <c r="L25" s="713"/>
      <c r="M25" s="47">
        <v>254.0</v>
      </c>
      <c r="N25" s="47">
        <f t="shared" si="7"/>
        <v>8427.7</v>
      </c>
      <c r="O25" s="622">
        <f t="shared" si="8"/>
        <v>0</v>
      </c>
    </row>
    <row r="26">
      <c r="A26" s="708">
        <v>42979.0</v>
      </c>
      <c r="B26" s="716">
        <v>770.0</v>
      </c>
      <c r="C26" s="717">
        <f t="shared" si="2"/>
        <v>17739.87</v>
      </c>
      <c r="D26" s="718">
        <v>516.0</v>
      </c>
      <c r="E26" s="710">
        <f t="shared" si="3"/>
        <v>9058.17</v>
      </c>
      <c r="F26" s="719">
        <v>254.0</v>
      </c>
      <c r="G26" s="711">
        <f t="shared" si="4"/>
        <v>8681.7</v>
      </c>
      <c r="H26" s="712">
        <f t="shared" si="1"/>
        <v>770</v>
      </c>
      <c r="I26" s="712">
        <f t="shared" si="5"/>
        <v>17739.87</v>
      </c>
      <c r="J26" s="712">
        <f t="shared" si="6"/>
        <v>0</v>
      </c>
      <c r="K26" s="712">
        <v>0.0</v>
      </c>
      <c r="L26" s="713"/>
      <c r="M26" s="47">
        <v>254.0</v>
      </c>
      <c r="N26" s="47">
        <f t="shared" si="7"/>
        <v>8681.7</v>
      </c>
      <c r="O26" s="622">
        <f t="shared" si="8"/>
        <v>0</v>
      </c>
    </row>
    <row r="27">
      <c r="A27" s="708">
        <v>43009.0</v>
      </c>
      <c r="B27" s="716">
        <v>770.0</v>
      </c>
      <c r="C27" s="717">
        <f t="shared" si="2"/>
        <v>18509.87</v>
      </c>
      <c r="D27" s="718">
        <v>516.0</v>
      </c>
      <c r="E27" s="710">
        <f t="shared" si="3"/>
        <v>9574.17</v>
      </c>
      <c r="F27" s="719">
        <v>254.0</v>
      </c>
      <c r="G27" s="711">
        <f t="shared" si="4"/>
        <v>8935.7</v>
      </c>
      <c r="H27" s="712">
        <f t="shared" si="1"/>
        <v>770</v>
      </c>
      <c r="I27" s="712">
        <f t="shared" si="5"/>
        <v>18509.87</v>
      </c>
      <c r="J27" s="712">
        <f t="shared" si="6"/>
        <v>0</v>
      </c>
      <c r="K27" s="712">
        <v>0.0</v>
      </c>
      <c r="L27" s="713"/>
      <c r="M27" s="47">
        <v>254.0</v>
      </c>
      <c r="N27" s="47">
        <f t="shared" si="7"/>
        <v>8935.7</v>
      </c>
      <c r="O27" s="622">
        <f t="shared" si="8"/>
        <v>0</v>
      </c>
    </row>
    <row r="28">
      <c r="A28" s="708">
        <v>43040.0</v>
      </c>
      <c r="B28" s="716">
        <v>770.0</v>
      </c>
      <c r="C28" s="717">
        <f t="shared" si="2"/>
        <v>19279.87</v>
      </c>
      <c r="D28" s="718">
        <v>518.0</v>
      </c>
      <c r="E28" s="710">
        <f t="shared" si="3"/>
        <v>10092.17</v>
      </c>
      <c r="F28" s="719">
        <v>811.0</v>
      </c>
      <c r="G28" s="711">
        <f t="shared" si="4"/>
        <v>9746.7</v>
      </c>
      <c r="H28" s="712">
        <f t="shared" si="1"/>
        <v>1329</v>
      </c>
      <c r="I28" s="712">
        <f t="shared" si="5"/>
        <v>19838.87</v>
      </c>
      <c r="J28" s="712">
        <f t="shared" si="6"/>
        <v>-559</v>
      </c>
      <c r="K28" s="720">
        <v>559.0</v>
      </c>
      <c r="L28" s="713"/>
      <c r="M28" s="47">
        <f>252+559</f>
        <v>811</v>
      </c>
      <c r="N28" s="47">
        <f t="shared" si="7"/>
        <v>9746.7</v>
      </c>
      <c r="O28" s="622">
        <f t="shared" si="8"/>
        <v>0</v>
      </c>
    </row>
    <row r="29">
      <c r="A29" s="708">
        <v>43070.0</v>
      </c>
      <c r="B29" s="716">
        <v>770.0</v>
      </c>
      <c r="C29" s="717">
        <f t="shared" si="2"/>
        <v>20049.87</v>
      </c>
      <c r="D29" s="718">
        <v>0.0</v>
      </c>
      <c r="E29" s="710">
        <f t="shared" si="3"/>
        <v>10092.17</v>
      </c>
      <c r="F29" s="719">
        <v>389.0</v>
      </c>
      <c r="G29" s="711">
        <f t="shared" si="4"/>
        <v>10135.7</v>
      </c>
      <c r="H29" s="712">
        <f t="shared" si="1"/>
        <v>389</v>
      </c>
      <c r="I29" s="712">
        <f t="shared" si="5"/>
        <v>20227.87</v>
      </c>
      <c r="J29" s="712">
        <f t="shared" si="6"/>
        <v>-178</v>
      </c>
      <c r="K29" s="720">
        <v>178.0</v>
      </c>
      <c r="L29" s="713"/>
      <c r="M29" s="47">
        <v>389.0</v>
      </c>
      <c r="N29" s="47">
        <f t="shared" si="7"/>
        <v>10135.7</v>
      </c>
      <c r="O29" s="622">
        <f t="shared" si="8"/>
        <v>0</v>
      </c>
    </row>
    <row r="30">
      <c r="A30" s="708">
        <v>43131.2</v>
      </c>
      <c r="B30" s="716">
        <v>770.0</v>
      </c>
      <c r="C30" s="717">
        <f t="shared" si="2"/>
        <v>20819.87</v>
      </c>
      <c r="D30" s="718">
        <v>68.0</v>
      </c>
      <c r="E30" s="710">
        <f t="shared" si="3"/>
        <v>10160.17</v>
      </c>
      <c r="F30" s="719">
        <f>389+150</f>
        <v>539</v>
      </c>
      <c r="G30" s="711">
        <f t="shared" si="4"/>
        <v>10674.7</v>
      </c>
      <c r="H30" s="712">
        <f t="shared" si="1"/>
        <v>607</v>
      </c>
      <c r="I30" s="712">
        <f t="shared" si="5"/>
        <v>20834.87</v>
      </c>
      <c r="J30" s="712">
        <f t="shared" si="6"/>
        <v>-15</v>
      </c>
      <c r="K30" s="720">
        <v>15.0</v>
      </c>
      <c r="L30" s="713"/>
      <c r="M30" s="47">
        <f>389+150</f>
        <v>539</v>
      </c>
      <c r="N30" s="47">
        <f t="shared" si="7"/>
        <v>10674.7</v>
      </c>
      <c r="O30" s="622">
        <f t="shared" si="8"/>
        <v>0</v>
      </c>
    </row>
    <row r="31">
      <c r="A31" s="721">
        <v>42784.0</v>
      </c>
      <c r="B31" s="716">
        <v>770.0</v>
      </c>
      <c r="C31" s="717">
        <f t="shared" si="2"/>
        <v>21589.87</v>
      </c>
      <c r="D31" s="718">
        <v>489.0</v>
      </c>
      <c r="E31" s="710">
        <f t="shared" si="3"/>
        <v>10649.17</v>
      </c>
      <c r="F31" s="719">
        <v>266.0</v>
      </c>
      <c r="G31" s="711">
        <f t="shared" si="4"/>
        <v>10940.7</v>
      </c>
      <c r="H31" s="712">
        <f t="shared" si="1"/>
        <v>755</v>
      </c>
      <c r="I31" s="712">
        <f t="shared" si="5"/>
        <v>21589.87</v>
      </c>
      <c r="J31" s="712">
        <f t="shared" si="6"/>
        <v>0</v>
      </c>
      <c r="K31" s="722">
        <v>0.0</v>
      </c>
      <c r="L31" s="713"/>
      <c r="M31" s="51"/>
    </row>
    <row r="32">
      <c r="A32" s="708">
        <v>43161.7</v>
      </c>
      <c r="B32" s="716">
        <v>770.0</v>
      </c>
      <c r="C32" s="717">
        <f t="shared" si="2"/>
        <v>22359.87</v>
      </c>
      <c r="D32" s="718">
        <v>504.0</v>
      </c>
      <c r="E32" s="710">
        <f t="shared" si="3"/>
        <v>11153.17</v>
      </c>
      <c r="F32" s="719">
        <v>266.0</v>
      </c>
      <c r="G32" s="711">
        <f t="shared" si="4"/>
        <v>11206.7</v>
      </c>
      <c r="H32" s="712">
        <f t="shared" si="1"/>
        <v>770</v>
      </c>
      <c r="I32" s="712">
        <f t="shared" si="5"/>
        <v>22359.87</v>
      </c>
      <c r="J32" s="712">
        <f t="shared" si="6"/>
        <v>0</v>
      </c>
      <c r="K32" s="722">
        <v>0.0</v>
      </c>
      <c r="L32" s="713"/>
    </row>
    <row r="33">
      <c r="A33" s="708">
        <v>43192.2</v>
      </c>
      <c r="B33" s="716">
        <v>770.0</v>
      </c>
      <c r="C33" s="717">
        <f t="shared" si="2"/>
        <v>23129.87</v>
      </c>
      <c r="D33" s="718">
        <v>504.0</v>
      </c>
      <c r="E33" s="710">
        <f t="shared" si="3"/>
        <v>11657.17</v>
      </c>
      <c r="F33" s="719">
        <v>266.0</v>
      </c>
      <c r="G33" s="711">
        <f t="shared" si="4"/>
        <v>11472.7</v>
      </c>
      <c r="H33" s="712">
        <f t="shared" si="1"/>
        <v>770</v>
      </c>
      <c r="I33" s="712">
        <f t="shared" si="5"/>
        <v>23129.87</v>
      </c>
      <c r="J33" s="712">
        <f t="shared" si="6"/>
        <v>0</v>
      </c>
      <c r="K33" s="722">
        <v>0.0</v>
      </c>
      <c r="L33" s="713"/>
    </row>
    <row r="34">
      <c r="A34" s="708">
        <v>43222.7</v>
      </c>
      <c r="B34" s="716">
        <v>770.0</v>
      </c>
      <c r="C34" s="717">
        <f t="shared" si="2"/>
        <v>23899.87</v>
      </c>
      <c r="D34" s="718">
        <v>504.0</v>
      </c>
      <c r="E34" s="710">
        <f t="shared" si="3"/>
        <v>12161.17</v>
      </c>
      <c r="F34" s="719">
        <v>266.0</v>
      </c>
      <c r="G34" s="711">
        <f t="shared" si="4"/>
        <v>11738.7</v>
      </c>
      <c r="H34" s="712">
        <f t="shared" si="1"/>
        <v>770</v>
      </c>
      <c r="I34" s="712">
        <f t="shared" si="5"/>
        <v>23899.87</v>
      </c>
      <c r="J34" s="712">
        <f t="shared" si="6"/>
        <v>0</v>
      </c>
      <c r="K34" s="722">
        <v>0.0</v>
      </c>
      <c r="L34" s="713"/>
    </row>
    <row r="35">
      <c r="A35" s="708">
        <v>43253.2</v>
      </c>
      <c r="B35" s="716">
        <v>770.0</v>
      </c>
      <c r="C35" s="717">
        <f t="shared" si="2"/>
        <v>24669.87</v>
      </c>
      <c r="D35" s="718">
        <v>504.0</v>
      </c>
      <c r="E35" s="710">
        <f t="shared" si="3"/>
        <v>12665.17</v>
      </c>
      <c r="F35" s="719">
        <v>266.0</v>
      </c>
      <c r="G35" s="711">
        <f t="shared" si="4"/>
        <v>12004.7</v>
      </c>
      <c r="H35" s="712">
        <f t="shared" si="1"/>
        <v>770</v>
      </c>
      <c r="I35" s="712">
        <f t="shared" si="5"/>
        <v>24669.87</v>
      </c>
      <c r="J35" s="712">
        <f t="shared" si="6"/>
        <v>0</v>
      </c>
      <c r="K35" s="722">
        <v>0.0</v>
      </c>
      <c r="L35" s="713"/>
    </row>
    <row r="36">
      <c r="A36" s="708">
        <v>43283.7</v>
      </c>
      <c r="B36" s="716">
        <v>770.0</v>
      </c>
      <c r="C36" s="717">
        <f t="shared" si="2"/>
        <v>25439.87</v>
      </c>
      <c r="D36" s="718">
        <v>504.0</v>
      </c>
      <c r="E36" s="710">
        <f t="shared" si="3"/>
        <v>13169.17</v>
      </c>
      <c r="F36" s="719">
        <v>266.0</v>
      </c>
      <c r="G36" s="711">
        <f t="shared" si="4"/>
        <v>12270.7</v>
      </c>
      <c r="H36" s="712">
        <f t="shared" si="1"/>
        <v>770</v>
      </c>
      <c r="I36" s="712">
        <f t="shared" si="5"/>
        <v>25439.87</v>
      </c>
      <c r="J36" s="712">
        <f t="shared" si="6"/>
        <v>0</v>
      </c>
      <c r="K36" s="722">
        <v>0.0</v>
      </c>
      <c r="L36" s="713"/>
    </row>
    <row r="37">
      <c r="A37" s="708">
        <v>43314.2</v>
      </c>
      <c r="B37" s="716">
        <v>770.0</v>
      </c>
      <c r="C37" s="717">
        <f t="shared" si="2"/>
        <v>26209.87</v>
      </c>
      <c r="D37" s="718">
        <v>504.0</v>
      </c>
      <c r="E37" s="710">
        <f t="shared" si="3"/>
        <v>13673.17</v>
      </c>
      <c r="F37" s="719">
        <v>266.0</v>
      </c>
      <c r="G37" s="711">
        <f t="shared" si="4"/>
        <v>12536.7</v>
      </c>
      <c r="H37" s="712">
        <f t="shared" si="1"/>
        <v>770</v>
      </c>
      <c r="I37" s="712">
        <f t="shared" si="5"/>
        <v>26209.87</v>
      </c>
      <c r="J37" s="712">
        <f t="shared" si="6"/>
        <v>0</v>
      </c>
      <c r="K37" s="722">
        <v>0.0</v>
      </c>
      <c r="L37" s="713"/>
    </row>
    <row r="38">
      <c r="A38" s="708">
        <v>43344.7</v>
      </c>
      <c r="B38" s="716">
        <v>770.0</v>
      </c>
      <c r="C38" s="717">
        <f t="shared" si="2"/>
        <v>26979.87</v>
      </c>
      <c r="D38" s="718">
        <v>504.0</v>
      </c>
      <c r="E38" s="710">
        <f t="shared" si="3"/>
        <v>14177.17</v>
      </c>
      <c r="F38" s="719">
        <v>266.0</v>
      </c>
      <c r="G38" s="711">
        <f t="shared" si="4"/>
        <v>12802.7</v>
      </c>
      <c r="H38" s="712">
        <f t="shared" si="1"/>
        <v>770</v>
      </c>
      <c r="I38" s="712">
        <f t="shared" si="5"/>
        <v>26979.87</v>
      </c>
      <c r="J38" s="712">
        <f t="shared" si="6"/>
        <v>0</v>
      </c>
      <c r="K38" s="722">
        <v>0.0</v>
      </c>
      <c r="L38" s="713"/>
    </row>
    <row r="39">
      <c r="A39" s="708">
        <v>43375.2</v>
      </c>
      <c r="B39" s="716">
        <v>770.0</v>
      </c>
      <c r="C39" s="717">
        <f t="shared" si="2"/>
        <v>27749.87</v>
      </c>
      <c r="D39" s="718">
        <v>504.0</v>
      </c>
      <c r="E39" s="710">
        <f t="shared" si="3"/>
        <v>14681.17</v>
      </c>
      <c r="F39" s="719">
        <v>266.0</v>
      </c>
      <c r="G39" s="711">
        <f t="shared" si="4"/>
        <v>13068.7</v>
      </c>
      <c r="H39" s="712">
        <f t="shared" si="1"/>
        <v>770</v>
      </c>
      <c r="I39" s="712">
        <f t="shared" si="5"/>
        <v>27749.87</v>
      </c>
      <c r="J39" s="712">
        <f t="shared" si="6"/>
        <v>0</v>
      </c>
      <c r="K39" s="722">
        <v>0.0</v>
      </c>
      <c r="L39" s="713"/>
    </row>
    <row r="40">
      <c r="A40" s="708">
        <v>43405.7</v>
      </c>
      <c r="B40" s="716">
        <v>770.0</v>
      </c>
      <c r="C40" s="717">
        <f t="shared" si="2"/>
        <v>28519.87</v>
      </c>
      <c r="D40" s="718">
        <v>504.0</v>
      </c>
      <c r="E40" s="710">
        <f t="shared" si="3"/>
        <v>15185.17</v>
      </c>
      <c r="F40" s="719">
        <v>266.0</v>
      </c>
      <c r="G40" s="711">
        <f t="shared" si="4"/>
        <v>13334.7</v>
      </c>
      <c r="H40" s="712">
        <f t="shared" si="1"/>
        <v>770</v>
      </c>
      <c r="I40" s="712">
        <f t="shared" si="5"/>
        <v>28519.87</v>
      </c>
      <c r="J40" s="712">
        <f t="shared" si="6"/>
        <v>0</v>
      </c>
      <c r="K40" s="722">
        <v>0.0</v>
      </c>
      <c r="L40" s="713"/>
    </row>
    <row r="41">
      <c r="A41" s="708">
        <v>43436.2</v>
      </c>
      <c r="B41" s="716">
        <v>770.0</v>
      </c>
      <c r="C41" s="717">
        <f t="shared" si="2"/>
        <v>29289.87</v>
      </c>
      <c r="D41" s="718">
        <v>504.0</v>
      </c>
      <c r="E41" s="710">
        <f t="shared" si="3"/>
        <v>15689.17</v>
      </c>
      <c r="F41" s="719">
        <v>266.0</v>
      </c>
      <c r="G41" s="711">
        <f t="shared" si="4"/>
        <v>13600.7</v>
      </c>
      <c r="H41" s="712">
        <f t="shared" si="1"/>
        <v>770</v>
      </c>
      <c r="I41" s="712">
        <f t="shared" si="5"/>
        <v>29289.87</v>
      </c>
      <c r="J41" s="712">
        <f t="shared" si="6"/>
        <v>0</v>
      </c>
      <c r="K41" s="722">
        <v>0.0</v>
      </c>
      <c r="L41" s="713"/>
    </row>
    <row r="42">
      <c r="A42" s="708">
        <v>43466.7</v>
      </c>
      <c r="B42" s="716">
        <v>770.0</v>
      </c>
      <c r="C42" s="717">
        <f t="shared" si="2"/>
        <v>30059.87</v>
      </c>
      <c r="D42" s="718">
        <v>504.0</v>
      </c>
      <c r="E42" s="710">
        <f t="shared" si="3"/>
        <v>16193.17</v>
      </c>
      <c r="F42" s="719">
        <v>266.0</v>
      </c>
      <c r="G42" s="711">
        <f t="shared" si="4"/>
        <v>13866.7</v>
      </c>
      <c r="H42" s="712">
        <f t="shared" si="1"/>
        <v>770</v>
      </c>
      <c r="I42" s="712">
        <f t="shared" si="5"/>
        <v>30059.87</v>
      </c>
      <c r="J42" s="712">
        <f t="shared" si="6"/>
        <v>0</v>
      </c>
      <c r="K42" s="722">
        <v>0.0</v>
      </c>
      <c r="L42" s="713"/>
    </row>
    <row r="43">
      <c r="A43" s="708">
        <v>43497.2</v>
      </c>
      <c r="B43" s="716">
        <v>770.0</v>
      </c>
      <c r="C43" s="717">
        <f t="shared" si="2"/>
        <v>30829.87</v>
      </c>
      <c r="D43" s="718">
        <v>426.0</v>
      </c>
      <c r="E43" s="710">
        <f t="shared" si="3"/>
        <v>16619.17</v>
      </c>
      <c r="F43" s="719">
        <v>344.0</v>
      </c>
      <c r="G43" s="711">
        <f t="shared" si="4"/>
        <v>14210.7</v>
      </c>
      <c r="H43" s="712">
        <f t="shared" si="1"/>
        <v>770</v>
      </c>
      <c r="I43" s="712">
        <f t="shared" si="5"/>
        <v>30829.87</v>
      </c>
      <c r="J43" s="712">
        <f t="shared" si="6"/>
        <v>0</v>
      </c>
      <c r="K43" s="722">
        <v>0.0</v>
      </c>
      <c r="L43" s="713"/>
    </row>
    <row r="44">
      <c r="A44" s="708">
        <v>43527.7</v>
      </c>
      <c r="B44" s="716">
        <v>770.0</v>
      </c>
      <c r="C44" s="717">
        <f t="shared" si="2"/>
        <v>31599.87</v>
      </c>
      <c r="D44" s="718">
        <v>426.0</v>
      </c>
      <c r="E44" s="710">
        <f t="shared" si="3"/>
        <v>17045.17</v>
      </c>
      <c r="F44" s="719">
        <v>344.0</v>
      </c>
      <c r="G44" s="711">
        <f t="shared" si="4"/>
        <v>14554.7</v>
      </c>
      <c r="H44" s="712">
        <f t="shared" si="1"/>
        <v>770</v>
      </c>
      <c r="I44" s="712">
        <f t="shared" si="5"/>
        <v>31599.87</v>
      </c>
      <c r="J44" s="712">
        <f t="shared" si="6"/>
        <v>0</v>
      </c>
      <c r="K44" s="722">
        <v>0.0</v>
      </c>
      <c r="L44" s="713"/>
    </row>
    <row r="45">
      <c r="A45" s="708">
        <v>43558.2</v>
      </c>
      <c r="B45" s="716">
        <v>770.0</v>
      </c>
      <c r="C45" s="717">
        <f t="shared" si="2"/>
        <v>32369.87</v>
      </c>
      <c r="D45" s="718">
        <v>426.0</v>
      </c>
      <c r="E45" s="710">
        <f t="shared" si="3"/>
        <v>17471.17</v>
      </c>
      <c r="F45" s="719">
        <v>344.0</v>
      </c>
      <c r="G45" s="711">
        <f t="shared" si="4"/>
        <v>14898.7</v>
      </c>
      <c r="H45" s="712">
        <f t="shared" si="1"/>
        <v>770</v>
      </c>
      <c r="I45" s="712">
        <f t="shared" si="5"/>
        <v>32369.87</v>
      </c>
      <c r="J45" s="712">
        <f t="shared" si="6"/>
        <v>0</v>
      </c>
      <c r="K45" s="722">
        <v>0.0</v>
      </c>
      <c r="L45" s="713"/>
    </row>
    <row r="46">
      <c r="A46" s="708">
        <v>43588.7</v>
      </c>
      <c r="B46" s="716">
        <v>770.0</v>
      </c>
      <c r="C46" s="717">
        <f t="shared" si="2"/>
        <v>33139.87</v>
      </c>
      <c r="D46" s="718">
        <v>426.0</v>
      </c>
      <c r="E46" s="710">
        <f t="shared" si="3"/>
        <v>17897.17</v>
      </c>
      <c r="F46" s="719">
        <v>344.0</v>
      </c>
      <c r="G46" s="711">
        <f t="shared" si="4"/>
        <v>15242.7</v>
      </c>
      <c r="H46" s="712">
        <f t="shared" si="1"/>
        <v>770</v>
      </c>
      <c r="I46" s="712">
        <f t="shared" si="5"/>
        <v>33139.87</v>
      </c>
      <c r="J46" s="712">
        <f t="shared" si="6"/>
        <v>0</v>
      </c>
      <c r="K46" s="722">
        <v>0.0</v>
      </c>
      <c r="L46" s="713"/>
    </row>
    <row r="47">
      <c r="A47" s="708">
        <v>43619.2</v>
      </c>
      <c r="B47" s="716">
        <v>770.0</v>
      </c>
      <c r="C47" s="717">
        <f t="shared" si="2"/>
        <v>33909.87</v>
      </c>
      <c r="D47" s="718">
        <v>426.0</v>
      </c>
      <c r="E47" s="710">
        <f t="shared" si="3"/>
        <v>18323.17</v>
      </c>
      <c r="F47" s="719">
        <v>344.0</v>
      </c>
      <c r="G47" s="711">
        <f t="shared" si="4"/>
        <v>15586.7</v>
      </c>
      <c r="H47" s="712">
        <f t="shared" si="1"/>
        <v>770</v>
      </c>
      <c r="I47" s="712">
        <f t="shared" si="5"/>
        <v>33909.87</v>
      </c>
      <c r="J47" s="712">
        <f t="shared" si="6"/>
        <v>0</v>
      </c>
      <c r="K47" s="722">
        <v>0.0</v>
      </c>
      <c r="L47" s="713"/>
    </row>
    <row r="48">
      <c r="A48" s="708">
        <v>43649.7</v>
      </c>
      <c r="B48" s="716">
        <v>770.0</v>
      </c>
      <c r="C48" s="717">
        <f t="shared" si="2"/>
        <v>34679.87</v>
      </c>
      <c r="D48" s="718">
        <v>426.0</v>
      </c>
      <c r="E48" s="710">
        <f t="shared" si="3"/>
        <v>18749.17</v>
      </c>
      <c r="F48" s="719">
        <v>344.0</v>
      </c>
      <c r="G48" s="711">
        <f t="shared" si="4"/>
        <v>15930.7</v>
      </c>
      <c r="H48" s="712">
        <f t="shared" si="1"/>
        <v>770</v>
      </c>
      <c r="I48" s="712">
        <f t="shared" si="5"/>
        <v>34679.87</v>
      </c>
      <c r="J48" s="712">
        <f t="shared" si="6"/>
        <v>0</v>
      </c>
      <c r="K48" s="722">
        <v>0.0</v>
      </c>
      <c r="L48" s="713"/>
    </row>
    <row r="49">
      <c r="A49" s="708">
        <v>43680.2</v>
      </c>
      <c r="B49" s="716">
        <v>770.0</v>
      </c>
      <c r="C49" s="717">
        <f t="shared" si="2"/>
        <v>35449.87</v>
      </c>
      <c r="D49" s="718">
        <v>426.0</v>
      </c>
      <c r="E49" s="710">
        <f t="shared" si="3"/>
        <v>19175.17</v>
      </c>
      <c r="F49" s="719">
        <v>344.0</v>
      </c>
      <c r="G49" s="711">
        <f t="shared" si="4"/>
        <v>16274.7</v>
      </c>
      <c r="H49" s="712">
        <f t="shared" si="1"/>
        <v>770</v>
      </c>
      <c r="I49" s="712">
        <f t="shared" si="5"/>
        <v>35449.87</v>
      </c>
      <c r="J49" s="712">
        <f t="shared" si="6"/>
        <v>0</v>
      </c>
      <c r="K49" s="722">
        <v>0.0</v>
      </c>
      <c r="L49" s="713"/>
    </row>
    <row r="50">
      <c r="A50" s="708">
        <v>43710.7</v>
      </c>
      <c r="B50" s="716">
        <v>770.0</v>
      </c>
      <c r="C50" s="717">
        <f t="shared" si="2"/>
        <v>36219.87</v>
      </c>
      <c r="D50" s="718">
        <v>426.0</v>
      </c>
      <c r="E50" s="710">
        <f t="shared" si="3"/>
        <v>19601.17</v>
      </c>
      <c r="F50" s="719">
        <v>344.0</v>
      </c>
      <c r="G50" s="711">
        <f t="shared" si="4"/>
        <v>16618.7</v>
      </c>
      <c r="H50" s="712">
        <f t="shared" si="1"/>
        <v>770</v>
      </c>
      <c r="I50" s="712">
        <f t="shared" si="5"/>
        <v>36219.87</v>
      </c>
      <c r="J50" s="712">
        <f t="shared" si="6"/>
        <v>0</v>
      </c>
      <c r="K50" s="722">
        <v>0.0</v>
      </c>
      <c r="L50" s="713"/>
    </row>
    <row r="51">
      <c r="A51" s="708">
        <v>43741.2</v>
      </c>
      <c r="B51" s="716">
        <v>770.0</v>
      </c>
      <c r="C51" s="717">
        <f t="shared" si="2"/>
        <v>36989.87</v>
      </c>
      <c r="D51" s="718">
        <v>426.0</v>
      </c>
      <c r="E51" s="710">
        <f t="shared" si="3"/>
        <v>20027.17</v>
      </c>
      <c r="F51" s="719">
        <v>344.0</v>
      </c>
      <c r="G51" s="711">
        <f t="shared" si="4"/>
        <v>16962.7</v>
      </c>
      <c r="H51" s="712">
        <f t="shared" si="1"/>
        <v>770</v>
      </c>
      <c r="I51" s="712">
        <f t="shared" si="5"/>
        <v>36989.87</v>
      </c>
      <c r="J51" s="712">
        <f t="shared" si="6"/>
        <v>0</v>
      </c>
      <c r="K51" s="722">
        <v>0.0</v>
      </c>
      <c r="L51" s="713"/>
    </row>
    <row r="52">
      <c r="A52" s="708">
        <v>43771.7</v>
      </c>
      <c r="B52" s="716">
        <v>770.0</v>
      </c>
      <c r="C52" s="717">
        <f t="shared" si="2"/>
        <v>37759.87</v>
      </c>
      <c r="D52" s="718">
        <v>425.0</v>
      </c>
      <c r="E52" s="710">
        <f t="shared" si="3"/>
        <v>20452.17</v>
      </c>
      <c r="F52" s="719">
        <v>345.0</v>
      </c>
      <c r="G52" s="711">
        <f t="shared" si="4"/>
        <v>17307.7</v>
      </c>
      <c r="H52" s="712">
        <f t="shared" si="1"/>
        <v>770</v>
      </c>
      <c r="I52" s="712">
        <f t="shared" si="5"/>
        <v>37759.87</v>
      </c>
      <c r="J52" s="712">
        <f t="shared" si="6"/>
        <v>0</v>
      </c>
      <c r="K52" s="722">
        <v>0.0</v>
      </c>
      <c r="L52" s="713"/>
    </row>
    <row r="53">
      <c r="A53" s="708">
        <v>43802.2</v>
      </c>
      <c r="B53" s="716">
        <v>770.0</v>
      </c>
      <c r="C53" s="717">
        <f t="shared" si="2"/>
        <v>38529.87</v>
      </c>
      <c r="D53" s="718">
        <v>425.0</v>
      </c>
      <c r="E53" s="710">
        <f t="shared" si="3"/>
        <v>20877.17</v>
      </c>
      <c r="F53" s="719">
        <v>345.0</v>
      </c>
      <c r="G53" s="711">
        <f t="shared" si="4"/>
        <v>17652.7</v>
      </c>
      <c r="H53" s="712">
        <f t="shared" si="1"/>
        <v>770</v>
      </c>
      <c r="I53" s="712">
        <f t="shared" si="5"/>
        <v>38529.87</v>
      </c>
      <c r="J53" s="712">
        <f t="shared" si="6"/>
        <v>0</v>
      </c>
      <c r="K53" s="722">
        <v>0.0</v>
      </c>
      <c r="L53" s="713"/>
    </row>
    <row r="54">
      <c r="A54" s="708">
        <v>43832.7</v>
      </c>
      <c r="B54" s="716">
        <v>770.0</v>
      </c>
      <c r="C54" s="717">
        <f t="shared" si="2"/>
        <v>39299.87</v>
      </c>
      <c r="D54" s="718">
        <v>425.0</v>
      </c>
      <c r="E54" s="710">
        <f t="shared" si="3"/>
        <v>21302.17</v>
      </c>
      <c r="F54" s="719">
        <v>345.0</v>
      </c>
      <c r="G54" s="711">
        <f t="shared" si="4"/>
        <v>17997.7</v>
      </c>
      <c r="H54" s="712">
        <f t="shared" si="1"/>
        <v>770</v>
      </c>
      <c r="I54" s="712">
        <f t="shared" si="5"/>
        <v>39299.87</v>
      </c>
      <c r="J54" s="712">
        <f t="shared" si="6"/>
        <v>0</v>
      </c>
      <c r="K54" s="722">
        <v>0.0</v>
      </c>
      <c r="L54" s="713"/>
    </row>
    <row r="55">
      <c r="A55" s="708">
        <v>43863.2</v>
      </c>
      <c r="B55" s="716">
        <v>770.0</v>
      </c>
      <c r="C55" s="717">
        <f t="shared" si="2"/>
        <v>40069.87</v>
      </c>
      <c r="D55" s="718">
        <v>542.0</v>
      </c>
      <c r="E55" s="710">
        <f t="shared" si="3"/>
        <v>21844.17</v>
      </c>
      <c r="F55" s="719">
        <v>228.0</v>
      </c>
      <c r="G55" s="711">
        <f t="shared" si="4"/>
        <v>18225.7</v>
      </c>
      <c r="H55" s="712">
        <f t="shared" si="1"/>
        <v>770</v>
      </c>
      <c r="I55" s="712">
        <f t="shared" si="5"/>
        <v>40069.87</v>
      </c>
      <c r="J55" s="712">
        <f t="shared" si="6"/>
        <v>0</v>
      </c>
      <c r="K55" s="722">
        <v>0.0</v>
      </c>
      <c r="L55" s="713"/>
    </row>
    <row r="56">
      <c r="A56" s="708">
        <v>43893.7</v>
      </c>
      <c r="B56" s="716">
        <v>770.0</v>
      </c>
      <c r="C56" s="717">
        <f t="shared" si="2"/>
        <v>40839.87</v>
      </c>
      <c r="D56" s="718">
        <v>542.0</v>
      </c>
      <c r="E56" s="710">
        <f t="shared" si="3"/>
        <v>22386.17</v>
      </c>
      <c r="F56" s="719">
        <v>228.0</v>
      </c>
      <c r="G56" s="711">
        <f t="shared" si="4"/>
        <v>18453.7</v>
      </c>
      <c r="H56" s="712">
        <f t="shared" si="1"/>
        <v>770</v>
      </c>
      <c r="I56" s="712">
        <f t="shared" si="5"/>
        <v>40839.87</v>
      </c>
      <c r="J56" s="712">
        <f t="shared" si="6"/>
        <v>0</v>
      </c>
      <c r="K56" s="722">
        <v>0.0</v>
      </c>
      <c r="L56" s="713"/>
    </row>
    <row r="57">
      <c r="A57" s="708">
        <v>43924.2</v>
      </c>
      <c r="B57" s="716">
        <v>770.0</v>
      </c>
      <c r="C57" s="717">
        <f t="shared" si="2"/>
        <v>41609.87</v>
      </c>
      <c r="D57" s="718">
        <v>542.0</v>
      </c>
      <c r="E57" s="710">
        <f t="shared" si="3"/>
        <v>22928.17</v>
      </c>
      <c r="F57" s="719">
        <v>228.0</v>
      </c>
      <c r="G57" s="711">
        <f t="shared" si="4"/>
        <v>18681.7</v>
      </c>
      <c r="H57" s="712">
        <f t="shared" si="1"/>
        <v>770</v>
      </c>
      <c r="I57" s="712">
        <f t="shared" si="5"/>
        <v>41609.87</v>
      </c>
      <c r="J57" s="712">
        <f t="shared" si="6"/>
        <v>0</v>
      </c>
      <c r="K57" s="722">
        <v>0.0</v>
      </c>
      <c r="L57" s="713"/>
    </row>
    <row r="58">
      <c r="A58" s="708">
        <v>43954.7</v>
      </c>
      <c r="B58" s="716">
        <v>770.0</v>
      </c>
      <c r="C58" s="717">
        <f t="shared" si="2"/>
        <v>42379.87</v>
      </c>
      <c r="D58" s="718">
        <v>542.0</v>
      </c>
      <c r="E58" s="710">
        <f t="shared" si="3"/>
        <v>23470.17</v>
      </c>
      <c r="F58" s="719">
        <v>228.0</v>
      </c>
      <c r="G58" s="711">
        <f t="shared" si="4"/>
        <v>18909.7</v>
      </c>
      <c r="H58" s="712">
        <f t="shared" si="1"/>
        <v>770</v>
      </c>
      <c r="I58" s="712">
        <f t="shared" si="5"/>
        <v>42379.87</v>
      </c>
      <c r="J58" s="712">
        <f t="shared" si="6"/>
        <v>0</v>
      </c>
      <c r="K58" s="722">
        <v>0.0</v>
      </c>
      <c r="L58" s="713"/>
    </row>
    <row r="59">
      <c r="A59" s="708">
        <v>43985.2</v>
      </c>
      <c r="B59" s="716">
        <v>770.0</v>
      </c>
      <c r="C59" s="717">
        <f t="shared" si="2"/>
        <v>43149.87</v>
      </c>
      <c r="D59" s="718">
        <v>542.0</v>
      </c>
      <c r="E59" s="710">
        <f t="shared" si="3"/>
        <v>24012.17</v>
      </c>
      <c r="F59" s="719">
        <v>228.0</v>
      </c>
      <c r="G59" s="711">
        <f t="shared" si="4"/>
        <v>19137.7</v>
      </c>
      <c r="H59" s="712">
        <f t="shared" si="1"/>
        <v>770</v>
      </c>
      <c r="I59" s="712">
        <f t="shared" si="5"/>
        <v>43149.87</v>
      </c>
      <c r="J59" s="712">
        <f t="shared" si="6"/>
        <v>0</v>
      </c>
      <c r="K59" s="722">
        <v>0.0</v>
      </c>
      <c r="L59" s="713"/>
    </row>
    <row r="60">
      <c r="A60" s="708">
        <v>44015.7</v>
      </c>
      <c r="B60" s="716">
        <v>770.0</v>
      </c>
      <c r="C60" s="717">
        <f t="shared" si="2"/>
        <v>43919.87</v>
      </c>
      <c r="D60" s="718">
        <v>542.0</v>
      </c>
      <c r="E60" s="710">
        <f t="shared" si="3"/>
        <v>24554.17</v>
      </c>
      <c r="F60" s="719">
        <v>228.0</v>
      </c>
      <c r="G60" s="711">
        <f t="shared" si="4"/>
        <v>19365.7</v>
      </c>
      <c r="H60" s="712">
        <f t="shared" si="1"/>
        <v>770</v>
      </c>
      <c r="I60" s="712">
        <f t="shared" si="5"/>
        <v>43919.87</v>
      </c>
      <c r="J60" s="712">
        <f t="shared" si="6"/>
        <v>0</v>
      </c>
      <c r="K60" s="722">
        <v>0.0</v>
      </c>
      <c r="L60" s="713"/>
    </row>
    <row r="61">
      <c r="A61" s="708">
        <v>44046.2</v>
      </c>
      <c r="B61" s="716">
        <v>770.0</v>
      </c>
      <c r="C61" s="717">
        <f t="shared" si="2"/>
        <v>44689.87</v>
      </c>
      <c r="D61" s="718">
        <v>542.0</v>
      </c>
      <c r="E61" s="710">
        <f t="shared" si="3"/>
        <v>25096.17</v>
      </c>
      <c r="F61" s="719">
        <v>228.0</v>
      </c>
      <c r="G61" s="711">
        <f t="shared" si="4"/>
        <v>19593.7</v>
      </c>
      <c r="H61" s="712">
        <f t="shared" si="1"/>
        <v>770</v>
      </c>
      <c r="I61" s="712">
        <f t="shared" si="5"/>
        <v>44689.87</v>
      </c>
      <c r="J61" s="712">
        <f t="shared" si="6"/>
        <v>0</v>
      </c>
      <c r="K61" s="722">
        <v>0.0</v>
      </c>
      <c r="L61" s="713"/>
    </row>
    <row r="62">
      <c r="A62" s="708">
        <v>44076.7</v>
      </c>
      <c r="B62" s="716">
        <v>770.0</v>
      </c>
      <c r="C62" s="717">
        <f t="shared" si="2"/>
        <v>45459.87</v>
      </c>
      <c r="D62" s="718">
        <v>542.0</v>
      </c>
      <c r="E62" s="710">
        <f t="shared" si="3"/>
        <v>25638.17</v>
      </c>
      <c r="F62" s="719">
        <v>228.0</v>
      </c>
      <c r="G62" s="711">
        <f t="shared" si="4"/>
        <v>19821.7</v>
      </c>
      <c r="H62" s="712">
        <f t="shared" si="1"/>
        <v>770</v>
      </c>
      <c r="I62" s="712">
        <f t="shared" si="5"/>
        <v>45459.87</v>
      </c>
      <c r="J62" s="712">
        <f t="shared" si="6"/>
        <v>0</v>
      </c>
      <c r="K62" s="722">
        <v>0.0</v>
      </c>
      <c r="L62" s="713"/>
    </row>
    <row r="63">
      <c r="A63" s="708">
        <v>44107.2</v>
      </c>
      <c r="B63" s="716">
        <v>770.0</v>
      </c>
      <c r="C63" s="717">
        <f t="shared" si="2"/>
        <v>46229.87</v>
      </c>
      <c r="D63" s="718">
        <v>542.0</v>
      </c>
      <c r="E63" s="710">
        <f t="shared" si="3"/>
        <v>26180.17</v>
      </c>
      <c r="F63" s="719">
        <v>228.0</v>
      </c>
      <c r="G63" s="711">
        <f t="shared" si="4"/>
        <v>20049.7</v>
      </c>
      <c r="H63" s="712">
        <f t="shared" si="1"/>
        <v>770</v>
      </c>
      <c r="I63" s="712">
        <f t="shared" si="5"/>
        <v>46229.87</v>
      </c>
      <c r="J63" s="712">
        <f t="shared" si="6"/>
        <v>0</v>
      </c>
      <c r="K63" s="722">
        <v>0.0</v>
      </c>
      <c r="L63" s="713"/>
    </row>
    <row r="64">
      <c r="A64" s="708">
        <v>44137.7</v>
      </c>
      <c r="B64" s="716">
        <v>770.0</v>
      </c>
      <c r="C64" s="717">
        <f t="shared" si="2"/>
        <v>46999.87</v>
      </c>
      <c r="D64" s="718">
        <v>540.0</v>
      </c>
      <c r="E64" s="710">
        <f t="shared" si="3"/>
        <v>26720.17</v>
      </c>
      <c r="F64" s="719">
        <v>230.0</v>
      </c>
      <c r="G64" s="711">
        <f t="shared" si="4"/>
        <v>20279.7</v>
      </c>
      <c r="H64" s="712">
        <f t="shared" si="1"/>
        <v>770</v>
      </c>
      <c r="I64" s="712">
        <f t="shared" si="5"/>
        <v>46999.87</v>
      </c>
      <c r="J64" s="712">
        <f t="shared" si="6"/>
        <v>0</v>
      </c>
      <c r="K64" s="722">
        <v>0.0</v>
      </c>
      <c r="L64" s="713"/>
    </row>
    <row r="65">
      <c r="A65" s="708">
        <v>44168.2</v>
      </c>
      <c r="B65" s="716">
        <v>770.0</v>
      </c>
      <c r="C65" s="717">
        <f t="shared" si="2"/>
        <v>47769.87</v>
      </c>
      <c r="D65" s="718">
        <v>540.0</v>
      </c>
      <c r="E65" s="710">
        <f t="shared" si="3"/>
        <v>27260.17</v>
      </c>
      <c r="F65" s="719">
        <v>230.0</v>
      </c>
      <c r="G65" s="711">
        <f t="shared" si="4"/>
        <v>20509.7</v>
      </c>
      <c r="H65" s="712">
        <f t="shared" si="1"/>
        <v>770</v>
      </c>
      <c r="I65" s="712">
        <f t="shared" si="5"/>
        <v>47769.87</v>
      </c>
      <c r="J65" s="712">
        <f t="shared" si="6"/>
        <v>0</v>
      </c>
      <c r="K65" s="722">
        <v>0.0</v>
      </c>
      <c r="L65" s="713"/>
    </row>
    <row r="66">
      <c r="A66" s="708">
        <v>44198.7</v>
      </c>
      <c r="B66" s="716">
        <v>770.0</v>
      </c>
      <c r="C66" s="717">
        <f t="shared" si="2"/>
        <v>48539.87</v>
      </c>
      <c r="D66" s="718">
        <v>540.0</v>
      </c>
      <c r="E66" s="710">
        <f t="shared" si="3"/>
        <v>27800.17</v>
      </c>
      <c r="F66" s="719">
        <v>230.0</v>
      </c>
      <c r="G66" s="711">
        <f t="shared" si="4"/>
        <v>20739.7</v>
      </c>
      <c r="H66" s="712">
        <f t="shared" si="1"/>
        <v>770</v>
      </c>
      <c r="I66" s="712">
        <f t="shared" si="5"/>
        <v>48539.87</v>
      </c>
      <c r="J66" s="712">
        <f t="shared" si="6"/>
        <v>0</v>
      </c>
      <c r="K66" s="722">
        <v>0.0</v>
      </c>
      <c r="L66" s="713"/>
    </row>
    <row r="67">
      <c r="A67" s="708">
        <v>44229.2</v>
      </c>
      <c r="B67" s="716">
        <v>770.0</v>
      </c>
      <c r="C67" s="717">
        <f t="shared" si="2"/>
        <v>49309.87</v>
      </c>
      <c r="D67" s="718">
        <v>500.0</v>
      </c>
      <c r="E67" s="710">
        <f t="shared" si="3"/>
        <v>28300.17</v>
      </c>
      <c r="F67" s="719">
        <v>270.0</v>
      </c>
      <c r="G67" s="711">
        <f t="shared" si="4"/>
        <v>21009.7</v>
      </c>
      <c r="H67" s="712">
        <f t="shared" si="1"/>
        <v>770</v>
      </c>
      <c r="I67" s="712">
        <f t="shared" si="5"/>
        <v>49309.87</v>
      </c>
      <c r="J67" s="712">
        <f t="shared" si="6"/>
        <v>0</v>
      </c>
      <c r="K67" s="722">
        <v>0.0</v>
      </c>
      <c r="L67" s="713"/>
    </row>
    <row r="68">
      <c r="A68" s="708">
        <v>44259.7</v>
      </c>
      <c r="B68" s="716">
        <v>770.0</v>
      </c>
      <c r="C68" s="717">
        <f t="shared" si="2"/>
        <v>50079.87</v>
      </c>
      <c r="D68" s="718">
        <v>500.0</v>
      </c>
      <c r="E68" s="710">
        <f t="shared" si="3"/>
        <v>28800.17</v>
      </c>
      <c r="F68" s="719">
        <v>270.0</v>
      </c>
      <c r="G68" s="711">
        <f t="shared" si="4"/>
        <v>21279.7</v>
      </c>
      <c r="H68" s="712">
        <f t="shared" si="1"/>
        <v>770</v>
      </c>
      <c r="I68" s="712">
        <f t="shared" si="5"/>
        <v>50079.87</v>
      </c>
      <c r="J68" s="712">
        <f t="shared" si="6"/>
        <v>0</v>
      </c>
      <c r="K68" s="722">
        <v>0.0</v>
      </c>
      <c r="L68" s="713"/>
    </row>
    <row r="69">
      <c r="A69" s="708">
        <v>44290.2</v>
      </c>
      <c r="B69" s="716">
        <v>770.0</v>
      </c>
      <c r="C69" s="717">
        <f t="shared" si="2"/>
        <v>50849.87</v>
      </c>
      <c r="D69" s="718">
        <v>500.0</v>
      </c>
      <c r="E69" s="710">
        <f t="shared" si="3"/>
        <v>29300.17</v>
      </c>
      <c r="F69" s="719">
        <v>270.0</v>
      </c>
      <c r="G69" s="711">
        <f t="shared" si="4"/>
        <v>21549.7</v>
      </c>
      <c r="H69" s="712">
        <f t="shared" si="1"/>
        <v>770</v>
      </c>
      <c r="I69" s="712">
        <f t="shared" si="5"/>
        <v>50849.87</v>
      </c>
      <c r="J69" s="712">
        <f t="shared" si="6"/>
        <v>0</v>
      </c>
      <c r="K69" s="722">
        <v>0.0</v>
      </c>
      <c r="L69" s="713"/>
    </row>
    <row r="70">
      <c r="A70" s="708">
        <v>44320.7</v>
      </c>
      <c r="B70" s="716">
        <v>770.0</v>
      </c>
      <c r="C70" s="717">
        <f t="shared" si="2"/>
        <v>51619.87</v>
      </c>
      <c r="D70" s="718">
        <v>500.0</v>
      </c>
      <c r="E70" s="710">
        <f t="shared" si="3"/>
        <v>29800.17</v>
      </c>
      <c r="F70" s="719">
        <v>270.0</v>
      </c>
      <c r="G70" s="711">
        <f t="shared" si="4"/>
        <v>21819.7</v>
      </c>
      <c r="H70" s="712">
        <f t="shared" si="1"/>
        <v>770</v>
      </c>
      <c r="I70" s="712">
        <f t="shared" si="5"/>
        <v>51619.87</v>
      </c>
      <c r="J70" s="712">
        <f t="shared" si="6"/>
        <v>0</v>
      </c>
      <c r="K70" s="722">
        <v>0.0</v>
      </c>
      <c r="L70" s="713"/>
    </row>
    <row r="71">
      <c r="A71" s="708">
        <v>44351.2</v>
      </c>
      <c r="B71" s="716">
        <v>770.0</v>
      </c>
      <c r="C71" s="717">
        <f t="shared" si="2"/>
        <v>52389.87</v>
      </c>
      <c r="D71" s="718">
        <v>500.0</v>
      </c>
      <c r="E71" s="710">
        <f t="shared" si="3"/>
        <v>30300.17</v>
      </c>
      <c r="F71" s="719">
        <v>270.0</v>
      </c>
      <c r="G71" s="711">
        <f t="shared" si="4"/>
        <v>22089.7</v>
      </c>
      <c r="H71" s="712">
        <f t="shared" si="1"/>
        <v>770</v>
      </c>
      <c r="I71" s="712">
        <f t="shared" si="5"/>
        <v>52389.87</v>
      </c>
      <c r="J71" s="712">
        <f t="shared" si="6"/>
        <v>0</v>
      </c>
      <c r="K71" s="722">
        <v>0.0</v>
      </c>
      <c r="L71" s="713"/>
    </row>
    <row r="72">
      <c r="A72" s="708">
        <v>44381.7</v>
      </c>
      <c r="B72" s="716">
        <v>770.0</v>
      </c>
      <c r="C72" s="717">
        <f t="shared" si="2"/>
        <v>53159.87</v>
      </c>
      <c r="D72" s="718">
        <v>500.0</v>
      </c>
      <c r="E72" s="710">
        <f t="shared" si="3"/>
        <v>30800.17</v>
      </c>
      <c r="F72" s="719">
        <v>270.0</v>
      </c>
      <c r="G72" s="711">
        <f t="shared" si="4"/>
        <v>22359.7</v>
      </c>
      <c r="H72" s="712">
        <f t="shared" si="1"/>
        <v>770</v>
      </c>
      <c r="I72" s="712">
        <f t="shared" si="5"/>
        <v>53159.87</v>
      </c>
      <c r="J72" s="712">
        <f t="shared" si="6"/>
        <v>0</v>
      </c>
      <c r="K72" s="722">
        <v>0.0</v>
      </c>
      <c r="L72" s="713"/>
    </row>
    <row r="73">
      <c r="A73" s="708">
        <v>44412.2</v>
      </c>
      <c r="B73" s="716">
        <v>770.0</v>
      </c>
      <c r="C73" s="717">
        <f t="shared" si="2"/>
        <v>53929.87</v>
      </c>
      <c r="D73" s="718">
        <v>522.0</v>
      </c>
      <c r="E73" s="710">
        <f t="shared" si="3"/>
        <v>31322.17</v>
      </c>
      <c r="F73" s="719">
        <v>248.0</v>
      </c>
      <c r="G73" s="711">
        <f t="shared" si="4"/>
        <v>22607.7</v>
      </c>
      <c r="H73" s="712">
        <f t="shared" si="1"/>
        <v>770</v>
      </c>
      <c r="I73" s="712">
        <f t="shared" si="5"/>
        <v>53929.87</v>
      </c>
      <c r="J73" s="712">
        <f t="shared" si="6"/>
        <v>0</v>
      </c>
      <c r="K73" s="722">
        <v>0.0</v>
      </c>
      <c r="L73" s="713"/>
    </row>
    <row r="74">
      <c r="A74" s="708">
        <v>44442.7</v>
      </c>
      <c r="B74" s="716">
        <v>770.0</v>
      </c>
      <c r="C74" s="717">
        <f t="shared" si="2"/>
        <v>54699.87</v>
      </c>
      <c r="D74" s="718">
        <v>522.0</v>
      </c>
      <c r="E74" s="710">
        <f t="shared" si="3"/>
        <v>31844.17</v>
      </c>
      <c r="F74" s="719">
        <v>248.0</v>
      </c>
      <c r="G74" s="711">
        <f t="shared" si="4"/>
        <v>22855.7</v>
      </c>
      <c r="H74" s="712">
        <f t="shared" si="1"/>
        <v>770</v>
      </c>
      <c r="I74" s="712">
        <f t="shared" si="5"/>
        <v>54699.87</v>
      </c>
      <c r="J74" s="712">
        <f t="shared" si="6"/>
        <v>0</v>
      </c>
      <c r="K74" s="722">
        <v>0.0</v>
      </c>
      <c r="L74" s="713"/>
    </row>
    <row r="75">
      <c r="A75" s="708">
        <v>44473.2</v>
      </c>
      <c r="B75" s="716">
        <v>770.0</v>
      </c>
      <c r="C75" s="717">
        <f t="shared" si="2"/>
        <v>55469.87</v>
      </c>
      <c r="D75" s="718">
        <v>522.0</v>
      </c>
      <c r="E75" s="710">
        <f t="shared" si="3"/>
        <v>32366.17</v>
      </c>
      <c r="F75" s="719">
        <v>248.0</v>
      </c>
      <c r="G75" s="711">
        <f t="shared" si="4"/>
        <v>23103.7</v>
      </c>
      <c r="H75" s="712">
        <f t="shared" si="1"/>
        <v>770</v>
      </c>
      <c r="I75" s="712">
        <f t="shared" si="5"/>
        <v>55469.87</v>
      </c>
      <c r="J75" s="712">
        <f t="shared" si="6"/>
        <v>0</v>
      </c>
      <c r="K75" s="722">
        <v>0.0</v>
      </c>
      <c r="L75" s="713"/>
    </row>
    <row r="76">
      <c r="A76" s="708">
        <v>44503.7</v>
      </c>
      <c r="B76" s="716">
        <v>770.0</v>
      </c>
      <c r="C76" s="717">
        <f t="shared" si="2"/>
        <v>56239.87</v>
      </c>
      <c r="D76" s="718">
        <v>544.0</v>
      </c>
      <c r="E76" s="710">
        <f t="shared" si="3"/>
        <v>32910.17</v>
      </c>
      <c r="F76" s="719">
        <v>226.0</v>
      </c>
      <c r="G76" s="711">
        <f t="shared" si="4"/>
        <v>23329.7</v>
      </c>
      <c r="H76" s="712">
        <f t="shared" si="1"/>
        <v>770</v>
      </c>
      <c r="I76" s="712">
        <f t="shared" si="5"/>
        <v>56239.87</v>
      </c>
      <c r="J76" s="712">
        <f t="shared" si="6"/>
        <v>0</v>
      </c>
      <c r="K76" s="722">
        <v>0.0</v>
      </c>
      <c r="L76" s="713"/>
    </row>
    <row r="77">
      <c r="A77" s="708">
        <v>44534.2</v>
      </c>
      <c r="B77" s="716">
        <v>770.0</v>
      </c>
      <c r="C77" s="717">
        <f t="shared" si="2"/>
        <v>57009.87</v>
      </c>
      <c r="D77" s="718">
        <v>544.0</v>
      </c>
      <c r="E77" s="710">
        <f t="shared" si="3"/>
        <v>33454.17</v>
      </c>
      <c r="F77" s="719">
        <v>226.0</v>
      </c>
      <c r="G77" s="711">
        <f t="shared" si="4"/>
        <v>23555.7</v>
      </c>
      <c r="H77" s="712">
        <f t="shared" si="1"/>
        <v>770</v>
      </c>
      <c r="I77" s="712">
        <f t="shared" si="5"/>
        <v>57009.87</v>
      </c>
      <c r="J77" s="712">
        <f t="shared" si="6"/>
        <v>0</v>
      </c>
      <c r="K77" s="722">
        <v>0.0</v>
      </c>
      <c r="L77" s="713"/>
    </row>
    <row r="78">
      <c r="A78" s="708">
        <v>44564.7</v>
      </c>
      <c r="B78" s="716">
        <v>770.0</v>
      </c>
      <c r="C78" s="717">
        <f t="shared" si="2"/>
        <v>57779.87</v>
      </c>
      <c r="D78" s="718">
        <v>544.0</v>
      </c>
      <c r="E78" s="710">
        <f t="shared" si="3"/>
        <v>33998.17</v>
      </c>
      <c r="F78" s="719">
        <v>226.0</v>
      </c>
      <c r="G78" s="711">
        <f t="shared" si="4"/>
        <v>23781.7</v>
      </c>
      <c r="H78" s="712">
        <f t="shared" si="1"/>
        <v>770</v>
      </c>
      <c r="I78" s="712">
        <f t="shared" si="5"/>
        <v>57779.87</v>
      </c>
      <c r="J78" s="712">
        <f t="shared" si="6"/>
        <v>0</v>
      </c>
      <c r="K78" s="722">
        <v>0.0</v>
      </c>
      <c r="L78" s="713"/>
    </row>
    <row r="79">
      <c r="A79" s="708">
        <v>44595.2</v>
      </c>
      <c r="B79" s="716">
        <v>770.0</v>
      </c>
      <c r="C79" s="717">
        <f t="shared" si="2"/>
        <v>58549.87</v>
      </c>
      <c r="D79" s="718">
        <v>547.0</v>
      </c>
      <c r="E79" s="710">
        <f t="shared" si="3"/>
        <v>34545.17</v>
      </c>
      <c r="F79" s="719">
        <v>223.0</v>
      </c>
      <c r="G79" s="711">
        <f t="shared" si="4"/>
        <v>24004.7</v>
      </c>
      <c r="H79" s="712">
        <f t="shared" si="1"/>
        <v>770</v>
      </c>
      <c r="I79" s="712">
        <f t="shared" si="5"/>
        <v>58549.87</v>
      </c>
      <c r="J79" s="712">
        <f t="shared" si="6"/>
        <v>0</v>
      </c>
      <c r="K79" s="722">
        <v>0.0</v>
      </c>
      <c r="L79" s="713"/>
    </row>
    <row r="80">
      <c r="A80" s="708">
        <v>44625.7</v>
      </c>
      <c r="B80" s="716">
        <v>770.0</v>
      </c>
      <c r="C80" s="717">
        <f t="shared" si="2"/>
        <v>59319.87</v>
      </c>
      <c r="D80" s="718">
        <v>547.0</v>
      </c>
      <c r="E80" s="710">
        <f t="shared" si="3"/>
        <v>35092.17</v>
      </c>
      <c r="F80" s="719">
        <v>223.0</v>
      </c>
      <c r="G80" s="711">
        <f t="shared" si="4"/>
        <v>24227.7</v>
      </c>
      <c r="H80" s="712">
        <f t="shared" si="1"/>
        <v>770</v>
      </c>
      <c r="I80" s="712">
        <f t="shared" si="5"/>
        <v>59319.87</v>
      </c>
      <c r="J80" s="712">
        <f t="shared" si="6"/>
        <v>0</v>
      </c>
      <c r="K80" s="722">
        <v>0.0</v>
      </c>
      <c r="L80" s="713"/>
    </row>
    <row r="81">
      <c r="A81" s="708">
        <v>44656.2</v>
      </c>
      <c r="B81" s="716">
        <v>770.0</v>
      </c>
      <c r="C81" s="717">
        <f t="shared" si="2"/>
        <v>60089.87</v>
      </c>
      <c r="D81" s="718">
        <v>547.0</v>
      </c>
      <c r="E81" s="710">
        <f t="shared" si="3"/>
        <v>35639.17</v>
      </c>
      <c r="F81" s="719">
        <v>223.0</v>
      </c>
      <c r="G81" s="711">
        <f t="shared" si="4"/>
        <v>24450.7</v>
      </c>
      <c r="H81" s="712">
        <f t="shared" si="1"/>
        <v>770</v>
      </c>
      <c r="I81" s="712">
        <f t="shared" si="5"/>
        <v>60089.87</v>
      </c>
      <c r="J81" s="712">
        <f t="shared" si="6"/>
        <v>0</v>
      </c>
      <c r="K81" s="722">
        <v>0.0</v>
      </c>
      <c r="L81" s="713"/>
    </row>
    <row r="82">
      <c r="A82" s="708">
        <v>44686.7</v>
      </c>
      <c r="B82" s="716">
        <v>770.0</v>
      </c>
      <c r="C82" s="717">
        <f t="shared" si="2"/>
        <v>60859.87</v>
      </c>
      <c r="D82" s="718">
        <v>578.0</v>
      </c>
      <c r="E82" s="710">
        <f t="shared" si="3"/>
        <v>36217.17</v>
      </c>
      <c r="F82" s="719">
        <v>212.0</v>
      </c>
      <c r="G82" s="711">
        <f t="shared" si="4"/>
        <v>24662.7</v>
      </c>
      <c r="H82" s="712">
        <f t="shared" si="1"/>
        <v>790</v>
      </c>
      <c r="I82" s="712">
        <f t="shared" si="5"/>
        <v>60879.87</v>
      </c>
      <c r="J82" s="712">
        <f t="shared" ref="J82:J85" si="9">B82-H82</f>
        <v>-20</v>
      </c>
      <c r="K82" s="722">
        <v>20.0</v>
      </c>
      <c r="L82" s="713"/>
    </row>
    <row r="83">
      <c r="A83" s="708">
        <v>44717.2</v>
      </c>
      <c r="B83" s="716">
        <v>770.0</v>
      </c>
      <c r="C83" s="717">
        <f t="shared" si="2"/>
        <v>61629.87</v>
      </c>
      <c r="D83" s="718">
        <v>547.0</v>
      </c>
      <c r="E83" s="710">
        <f t="shared" si="3"/>
        <v>36764.17</v>
      </c>
      <c r="F83" s="719">
        <v>212.0</v>
      </c>
      <c r="G83" s="711">
        <f t="shared" si="4"/>
        <v>24874.7</v>
      </c>
      <c r="H83" s="712">
        <f t="shared" si="1"/>
        <v>759</v>
      </c>
      <c r="I83" s="712">
        <f t="shared" si="5"/>
        <v>61638.87</v>
      </c>
      <c r="J83" s="712">
        <f t="shared" si="9"/>
        <v>11</v>
      </c>
      <c r="K83" s="722">
        <v>-11.0</v>
      </c>
      <c r="L83" s="713"/>
    </row>
    <row r="84">
      <c r="A84" s="708">
        <v>44747.7</v>
      </c>
      <c r="B84" s="716">
        <v>770.0</v>
      </c>
      <c r="C84" s="717">
        <f t="shared" si="2"/>
        <v>62399.87</v>
      </c>
      <c r="D84" s="718">
        <v>761.0</v>
      </c>
      <c r="E84" s="710">
        <f t="shared" si="3"/>
        <v>37525.17</v>
      </c>
      <c r="F84" s="719">
        <v>0.0</v>
      </c>
      <c r="G84" s="711">
        <f t="shared" si="4"/>
        <v>24874.7</v>
      </c>
      <c r="H84" s="712">
        <f t="shared" si="1"/>
        <v>761</v>
      </c>
      <c r="I84" s="712">
        <f t="shared" si="5"/>
        <v>62399.87</v>
      </c>
      <c r="J84" s="712">
        <f t="shared" si="9"/>
        <v>9</v>
      </c>
      <c r="K84" s="722">
        <v>-9.0</v>
      </c>
      <c r="L84" s="723" t="s">
        <v>3439</v>
      </c>
    </row>
    <row r="85">
      <c r="A85" s="708">
        <v>44778.2</v>
      </c>
      <c r="B85" s="716">
        <v>770.0</v>
      </c>
      <c r="C85" s="717">
        <f t="shared" si="2"/>
        <v>63169.87</v>
      </c>
      <c r="D85" s="718">
        <v>354.0</v>
      </c>
      <c r="E85" s="710">
        <f t="shared" si="3"/>
        <v>37879.17</v>
      </c>
      <c r="F85" s="719">
        <v>416.0</v>
      </c>
      <c r="G85" s="711">
        <f t="shared" si="4"/>
        <v>25290.7</v>
      </c>
      <c r="H85" s="712">
        <f t="shared" si="1"/>
        <v>770</v>
      </c>
      <c r="I85" s="712">
        <f t="shared" si="5"/>
        <v>63169.87</v>
      </c>
      <c r="J85" s="712">
        <f t="shared" si="9"/>
        <v>0</v>
      </c>
      <c r="K85" s="722">
        <v>0.0</v>
      </c>
      <c r="L85" s="723" t="s">
        <v>3440</v>
      </c>
    </row>
    <row r="86">
      <c r="A86" s="708">
        <v>44808.7</v>
      </c>
      <c r="B86" s="716">
        <v>770.0</v>
      </c>
      <c r="C86" s="717">
        <f t="shared" si="2"/>
        <v>63939.87</v>
      </c>
      <c r="D86" s="718">
        <v>518.0</v>
      </c>
      <c r="E86" s="710">
        <f t="shared" si="3"/>
        <v>38397.17</v>
      </c>
      <c r="F86" s="719">
        <v>252.0</v>
      </c>
      <c r="G86" s="711">
        <f t="shared" si="4"/>
        <v>25542.7</v>
      </c>
      <c r="H86" s="712">
        <f t="shared" si="1"/>
        <v>770</v>
      </c>
      <c r="I86" s="712">
        <f t="shared" si="5"/>
        <v>63939.87</v>
      </c>
      <c r="J86" s="712">
        <f t="shared" ref="J86:J112" si="10">J85+B86-H86</f>
        <v>0</v>
      </c>
      <c r="K86" s="722">
        <v>0.0</v>
      </c>
      <c r="L86" s="723" t="s">
        <v>3441</v>
      </c>
    </row>
    <row r="87">
      <c r="A87" s="708">
        <v>44839.2</v>
      </c>
      <c r="B87" s="716">
        <v>770.0</v>
      </c>
      <c r="C87" s="717">
        <f t="shared" si="2"/>
        <v>64709.87</v>
      </c>
      <c r="D87" s="718">
        <v>542.0</v>
      </c>
      <c r="E87" s="710">
        <f t="shared" si="3"/>
        <v>38939.17</v>
      </c>
      <c r="F87" s="719">
        <v>228.0</v>
      </c>
      <c r="G87" s="711">
        <f t="shared" si="4"/>
        <v>25770.7</v>
      </c>
      <c r="H87" s="712">
        <f t="shared" si="1"/>
        <v>770</v>
      </c>
      <c r="I87" s="712">
        <f t="shared" si="5"/>
        <v>64709.87</v>
      </c>
      <c r="J87" s="712">
        <f t="shared" si="10"/>
        <v>0</v>
      </c>
      <c r="K87" s="722">
        <v>0.0</v>
      </c>
      <c r="L87" s="713"/>
    </row>
    <row r="88">
      <c r="A88" s="708">
        <v>44869.7</v>
      </c>
      <c r="B88" s="716">
        <v>770.0</v>
      </c>
      <c r="C88" s="717">
        <f t="shared" si="2"/>
        <v>65479.87</v>
      </c>
      <c r="D88" s="718">
        <v>531.0</v>
      </c>
      <c r="E88" s="710">
        <f t="shared" si="3"/>
        <v>39470.17</v>
      </c>
      <c r="F88" s="719">
        <v>239.0</v>
      </c>
      <c r="G88" s="711">
        <f t="shared" si="4"/>
        <v>26009.7</v>
      </c>
      <c r="H88" s="712">
        <f t="shared" si="1"/>
        <v>770</v>
      </c>
      <c r="I88" s="712">
        <f t="shared" si="5"/>
        <v>65479.87</v>
      </c>
      <c r="J88" s="712">
        <f t="shared" si="10"/>
        <v>0</v>
      </c>
      <c r="K88" s="722">
        <v>0.0</v>
      </c>
      <c r="L88" s="713"/>
    </row>
    <row r="89">
      <c r="A89" s="708">
        <v>44900.2</v>
      </c>
      <c r="B89" s="716">
        <v>770.0</v>
      </c>
      <c r="C89" s="717">
        <f t="shared" si="2"/>
        <v>66249.87</v>
      </c>
      <c r="D89" s="718">
        <v>531.0</v>
      </c>
      <c r="E89" s="710">
        <f t="shared" si="3"/>
        <v>40001.17</v>
      </c>
      <c r="F89" s="719">
        <v>239.0</v>
      </c>
      <c r="G89" s="711">
        <f t="shared" si="4"/>
        <v>26248.7</v>
      </c>
      <c r="H89" s="712">
        <f t="shared" si="1"/>
        <v>770</v>
      </c>
      <c r="I89" s="712">
        <f t="shared" si="5"/>
        <v>66249.87</v>
      </c>
      <c r="J89" s="712">
        <f t="shared" si="10"/>
        <v>0</v>
      </c>
      <c r="K89" s="722">
        <v>0.0</v>
      </c>
      <c r="L89" s="713"/>
    </row>
    <row r="90">
      <c r="A90" s="708">
        <v>44930.7</v>
      </c>
      <c r="B90" s="716">
        <v>770.0</v>
      </c>
      <c r="C90" s="717">
        <f t="shared" si="2"/>
        <v>67019.87</v>
      </c>
      <c r="D90" s="718">
        <v>531.0</v>
      </c>
      <c r="E90" s="710">
        <f t="shared" si="3"/>
        <v>40532.17</v>
      </c>
      <c r="F90" s="719">
        <v>239.0</v>
      </c>
      <c r="G90" s="711">
        <f t="shared" si="4"/>
        <v>26487.7</v>
      </c>
      <c r="H90" s="712">
        <f t="shared" si="1"/>
        <v>770</v>
      </c>
      <c r="I90" s="712">
        <f t="shared" si="5"/>
        <v>67019.87</v>
      </c>
      <c r="J90" s="712">
        <f t="shared" si="10"/>
        <v>0</v>
      </c>
      <c r="K90" s="722">
        <v>0.0</v>
      </c>
      <c r="L90" s="713"/>
    </row>
    <row r="91">
      <c r="A91" s="708">
        <v>44961.2</v>
      </c>
      <c r="B91" s="716">
        <v>770.0</v>
      </c>
      <c r="C91" s="717">
        <f t="shared" si="2"/>
        <v>67789.87</v>
      </c>
      <c r="D91" s="718">
        <v>533.0</v>
      </c>
      <c r="E91" s="710">
        <f t="shared" si="3"/>
        <v>41065.17</v>
      </c>
      <c r="F91" s="719">
        <v>237.0</v>
      </c>
      <c r="G91" s="711">
        <f t="shared" si="4"/>
        <v>26724.7</v>
      </c>
      <c r="H91" s="712">
        <f t="shared" si="1"/>
        <v>770</v>
      </c>
      <c r="I91" s="712">
        <f t="shared" si="5"/>
        <v>67789.87</v>
      </c>
      <c r="J91" s="712">
        <f t="shared" si="10"/>
        <v>0</v>
      </c>
      <c r="K91" s="722">
        <v>0.0</v>
      </c>
      <c r="L91" s="713"/>
    </row>
    <row r="92">
      <c r="A92" s="708">
        <v>44991.7</v>
      </c>
      <c r="B92" s="716">
        <v>770.0</v>
      </c>
      <c r="C92" s="717">
        <f t="shared" si="2"/>
        <v>68559.87</v>
      </c>
      <c r="D92" s="718">
        <v>533.0</v>
      </c>
      <c r="E92" s="710">
        <f t="shared" si="3"/>
        <v>41598.17</v>
      </c>
      <c r="F92" s="719">
        <v>237.0</v>
      </c>
      <c r="G92" s="711">
        <f t="shared" si="4"/>
        <v>26961.7</v>
      </c>
      <c r="H92" s="712">
        <f t="shared" si="1"/>
        <v>770</v>
      </c>
      <c r="I92" s="712">
        <f t="shared" si="5"/>
        <v>68559.87</v>
      </c>
      <c r="J92" s="712">
        <f t="shared" si="10"/>
        <v>0</v>
      </c>
      <c r="K92" s="722">
        <v>0.0</v>
      </c>
      <c r="L92" s="713"/>
    </row>
    <row r="93">
      <c r="A93" s="708">
        <v>45022.2</v>
      </c>
      <c r="B93" s="716">
        <v>770.0</v>
      </c>
      <c r="C93" s="717">
        <f t="shared" si="2"/>
        <v>69329.87</v>
      </c>
      <c r="D93" s="718">
        <v>533.0</v>
      </c>
      <c r="E93" s="710">
        <f t="shared" si="3"/>
        <v>42131.17</v>
      </c>
      <c r="F93" s="719">
        <v>237.0</v>
      </c>
      <c r="G93" s="711">
        <f t="shared" si="4"/>
        <v>27198.7</v>
      </c>
      <c r="H93" s="712">
        <f t="shared" si="1"/>
        <v>770</v>
      </c>
      <c r="I93" s="712">
        <f t="shared" si="5"/>
        <v>69329.87</v>
      </c>
      <c r="J93" s="712">
        <f t="shared" si="10"/>
        <v>0</v>
      </c>
      <c r="K93" s="722">
        <v>0.0</v>
      </c>
      <c r="L93" s="713"/>
    </row>
    <row r="94">
      <c r="A94" s="708">
        <v>45052.7</v>
      </c>
      <c r="B94" s="716">
        <v>770.0</v>
      </c>
      <c r="C94" s="717">
        <f t="shared" si="2"/>
        <v>70099.87</v>
      </c>
      <c r="D94" s="718">
        <v>522.0</v>
      </c>
      <c r="E94" s="710">
        <f t="shared" si="3"/>
        <v>42653.17</v>
      </c>
      <c r="F94" s="719">
        <v>248.0</v>
      </c>
      <c r="G94" s="711">
        <f t="shared" si="4"/>
        <v>27446.7</v>
      </c>
      <c r="H94" s="712">
        <f t="shared" si="1"/>
        <v>770</v>
      </c>
      <c r="I94" s="712">
        <f t="shared" si="5"/>
        <v>70099.87</v>
      </c>
      <c r="J94" s="712">
        <f t="shared" si="10"/>
        <v>0</v>
      </c>
      <c r="K94" s="722">
        <v>0.0</v>
      </c>
      <c r="L94" s="713"/>
    </row>
    <row r="95">
      <c r="A95" s="708">
        <v>45083.2</v>
      </c>
      <c r="B95" s="716">
        <v>770.0</v>
      </c>
      <c r="C95" s="717">
        <f t="shared" si="2"/>
        <v>70869.87</v>
      </c>
      <c r="D95" s="718">
        <v>522.0</v>
      </c>
      <c r="E95" s="710">
        <f t="shared" si="3"/>
        <v>43175.17</v>
      </c>
      <c r="F95" s="719">
        <v>248.0</v>
      </c>
      <c r="G95" s="711">
        <f t="shared" si="4"/>
        <v>27694.7</v>
      </c>
      <c r="H95" s="712">
        <f t="shared" si="1"/>
        <v>770</v>
      </c>
      <c r="I95" s="712">
        <f t="shared" si="5"/>
        <v>70869.87</v>
      </c>
      <c r="J95" s="712">
        <f t="shared" si="10"/>
        <v>0</v>
      </c>
      <c r="K95" s="722">
        <v>0.0</v>
      </c>
      <c r="L95" s="713"/>
    </row>
    <row r="96">
      <c r="A96" s="708">
        <v>45113.7</v>
      </c>
      <c r="B96" s="716">
        <v>770.0</v>
      </c>
      <c r="C96" s="717">
        <f t="shared" si="2"/>
        <v>71639.87</v>
      </c>
      <c r="D96" s="718">
        <v>522.0</v>
      </c>
      <c r="E96" s="710">
        <f t="shared" si="3"/>
        <v>43697.17</v>
      </c>
      <c r="F96" s="719">
        <v>248.0</v>
      </c>
      <c r="G96" s="711">
        <f t="shared" si="4"/>
        <v>27942.7</v>
      </c>
      <c r="H96" s="712">
        <f t="shared" si="1"/>
        <v>770</v>
      </c>
      <c r="I96" s="712">
        <f t="shared" si="5"/>
        <v>71639.87</v>
      </c>
      <c r="J96" s="712">
        <f t="shared" si="10"/>
        <v>0</v>
      </c>
      <c r="K96" s="722">
        <v>0.0</v>
      </c>
      <c r="L96" s="713"/>
    </row>
    <row r="97">
      <c r="A97" s="708">
        <v>45144.2</v>
      </c>
      <c r="B97" s="716">
        <v>770.0</v>
      </c>
      <c r="C97" s="717">
        <f t="shared" si="2"/>
        <v>72409.87</v>
      </c>
      <c r="D97" s="718">
        <v>519.0</v>
      </c>
      <c r="E97" s="710">
        <f t="shared" si="3"/>
        <v>44216.17</v>
      </c>
      <c r="F97" s="719">
        <v>251.0</v>
      </c>
      <c r="G97" s="711">
        <f t="shared" si="4"/>
        <v>28193.7</v>
      </c>
      <c r="H97" s="712">
        <f t="shared" si="1"/>
        <v>770</v>
      </c>
      <c r="I97" s="712">
        <f t="shared" si="5"/>
        <v>72409.87</v>
      </c>
      <c r="J97" s="712">
        <f t="shared" si="10"/>
        <v>0</v>
      </c>
      <c r="K97" s="722">
        <v>0.0</v>
      </c>
      <c r="L97" s="713"/>
    </row>
    <row r="98">
      <c r="A98" s="708">
        <v>45174.7</v>
      </c>
      <c r="B98" s="716">
        <v>770.0</v>
      </c>
      <c r="C98" s="717">
        <f t="shared" si="2"/>
        <v>73179.87</v>
      </c>
      <c r="D98" s="718">
        <v>519.0</v>
      </c>
      <c r="E98" s="710">
        <f t="shared" si="3"/>
        <v>44735.17</v>
      </c>
      <c r="F98" s="719">
        <v>251.0</v>
      </c>
      <c r="G98" s="711">
        <f t="shared" si="4"/>
        <v>28444.7</v>
      </c>
      <c r="H98" s="712">
        <f t="shared" si="1"/>
        <v>770</v>
      </c>
      <c r="I98" s="712">
        <f t="shared" si="5"/>
        <v>73179.87</v>
      </c>
      <c r="J98" s="712">
        <f t="shared" si="10"/>
        <v>0</v>
      </c>
      <c r="K98" s="722">
        <v>0.0</v>
      </c>
      <c r="L98" s="713"/>
    </row>
    <row r="99">
      <c r="A99" s="708">
        <v>45205.2</v>
      </c>
      <c r="B99" s="716">
        <v>770.0</v>
      </c>
      <c r="C99" s="717">
        <f t="shared" si="2"/>
        <v>73949.87</v>
      </c>
      <c r="D99" s="718">
        <v>519.0</v>
      </c>
      <c r="E99" s="710">
        <f t="shared" si="3"/>
        <v>45254.17</v>
      </c>
      <c r="F99" s="719">
        <v>251.0</v>
      </c>
      <c r="G99" s="711">
        <f t="shared" si="4"/>
        <v>28695.7</v>
      </c>
      <c r="H99" s="712">
        <f t="shared" si="1"/>
        <v>770</v>
      </c>
      <c r="I99" s="712">
        <f t="shared" si="5"/>
        <v>73949.87</v>
      </c>
      <c r="J99" s="712">
        <f t="shared" si="10"/>
        <v>0</v>
      </c>
      <c r="K99" s="722">
        <v>0.0</v>
      </c>
      <c r="L99" s="713"/>
    </row>
    <row r="100">
      <c r="A100" s="708">
        <v>45235.7</v>
      </c>
      <c r="B100" s="716">
        <v>770.0</v>
      </c>
      <c r="C100" s="717">
        <f t="shared" si="2"/>
        <v>74719.87</v>
      </c>
      <c r="D100" s="718">
        <v>471.0</v>
      </c>
      <c r="E100" s="710">
        <f t="shared" si="3"/>
        <v>45725.17</v>
      </c>
      <c r="F100" s="719">
        <v>299.0</v>
      </c>
      <c r="G100" s="711">
        <f t="shared" si="4"/>
        <v>28994.7</v>
      </c>
      <c r="H100" s="712">
        <f t="shared" si="1"/>
        <v>770</v>
      </c>
      <c r="I100" s="712">
        <f t="shared" si="5"/>
        <v>74719.87</v>
      </c>
      <c r="J100" s="712">
        <f t="shared" si="10"/>
        <v>0</v>
      </c>
      <c r="K100" s="722">
        <v>0.0</v>
      </c>
      <c r="L100" s="713"/>
    </row>
    <row r="101">
      <c r="A101" s="708">
        <v>45266.2</v>
      </c>
      <c r="B101" s="716">
        <v>770.0</v>
      </c>
      <c r="C101" s="717">
        <f t="shared" si="2"/>
        <v>75489.87</v>
      </c>
      <c r="D101" s="718">
        <v>471.0</v>
      </c>
      <c r="E101" s="710">
        <f t="shared" si="3"/>
        <v>46196.17</v>
      </c>
      <c r="F101" s="719">
        <v>299.0</v>
      </c>
      <c r="G101" s="711">
        <f t="shared" si="4"/>
        <v>29293.7</v>
      </c>
      <c r="H101" s="712">
        <f t="shared" si="1"/>
        <v>770</v>
      </c>
      <c r="I101" s="712">
        <f t="shared" si="5"/>
        <v>75489.87</v>
      </c>
      <c r="J101" s="712">
        <f t="shared" si="10"/>
        <v>0</v>
      </c>
      <c r="K101" s="722">
        <v>0.0</v>
      </c>
      <c r="L101" s="713"/>
    </row>
    <row r="102">
      <c r="A102" s="708">
        <v>45296.7</v>
      </c>
      <c r="B102" s="716">
        <v>770.0</v>
      </c>
      <c r="C102" s="717">
        <f t="shared" si="2"/>
        <v>76259.87</v>
      </c>
      <c r="D102" s="718">
        <v>471.0</v>
      </c>
      <c r="E102" s="710">
        <f t="shared" si="3"/>
        <v>46667.17</v>
      </c>
      <c r="F102" s="719">
        <v>299.0</v>
      </c>
      <c r="G102" s="711">
        <f t="shared" si="4"/>
        <v>29592.7</v>
      </c>
      <c r="H102" s="712">
        <f t="shared" si="1"/>
        <v>770</v>
      </c>
      <c r="I102" s="712">
        <f t="shared" si="5"/>
        <v>76259.87</v>
      </c>
      <c r="J102" s="712">
        <f t="shared" si="10"/>
        <v>0</v>
      </c>
      <c r="K102" s="722">
        <v>0.0</v>
      </c>
      <c r="L102" s="713"/>
    </row>
    <row r="103">
      <c r="A103" s="708">
        <v>45327.2</v>
      </c>
      <c r="B103" s="716">
        <v>770.0</v>
      </c>
      <c r="C103" s="717">
        <f t="shared" si="2"/>
        <v>77029.87</v>
      </c>
      <c r="D103" s="718">
        <v>466.0</v>
      </c>
      <c r="E103" s="710">
        <f t="shared" si="3"/>
        <v>47133.17</v>
      </c>
      <c r="F103" s="719">
        <v>304.0</v>
      </c>
      <c r="G103" s="711">
        <f t="shared" si="4"/>
        <v>29896.7</v>
      </c>
      <c r="H103" s="712">
        <f t="shared" si="1"/>
        <v>770</v>
      </c>
      <c r="I103" s="712">
        <f t="shared" si="5"/>
        <v>77029.87</v>
      </c>
      <c r="J103" s="712">
        <f t="shared" si="10"/>
        <v>0</v>
      </c>
      <c r="K103" s="722">
        <v>0.0</v>
      </c>
      <c r="L103" s="713"/>
    </row>
    <row r="104">
      <c r="A104" s="708">
        <v>45357.7</v>
      </c>
      <c r="B104" s="716">
        <v>770.0</v>
      </c>
      <c r="C104" s="717">
        <f t="shared" si="2"/>
        <v>77799.87</v>
      </c>
      <c r="D104" s="718">
        <v>466.0</v>
      </c>
      <c r="E104" s="710">
        <f t="shared" si="3"/>
        <v>47599.17</v>
      </c>
      <c r="F104" s="719">
        <v>304.0</v>
      </c>
      <c r="G104" s="711">
        <f t="shared" si="4"/>
        <v>30200.7</v>
      </c>
      <c r="H104" s="712">
        <f t="shared" si="1"/>
        <v>770</v>
      </c>
      <c r="I104" s="712">
        <f t="shared" si="5"/>
        <v>77799.87</v>
      </c>
      <c r="J104" s="712">
        <f t="shared" si="10"/>
        <v>0</v>
      </c>
      <c r="K104" s="722">
        <v>0.0</v>
      </c>
      <c r="L104" s="713"/>
    </row>
    <row r="105">
      <c r="A105" s="708">
        <v>45388.2</v>
      </c>
      <c r="B105" s="716">
        <v>770.0</v>
      </c>
      <c r="C105" s="717">
        <f t="shared" si="2"/>
        <v>78569.87</v>
      </c>
      <c r="D105" s="718">
        <v>466.0</v>
      </c>
      <c r="E105" s="710">
        <f t="shared" si="3"/>
        <v>48065.17</v>
      </c>
      <c r="F105" s="719">
        <v>304.0</v>
      </c>
      <c r="G105" s="711">
        <f t="shared" si="4"/>
        <v>30504.7</v>
      </c>
      <c r="H105" s="712">
        <f t="shared" si="1"/>
        <v>770</v>
      </c>
      <c r="I105" s="712">
        <f t="shared" si="5"/>
        <v>78569.87</v>
      </c>
      <c r="J105" s="712">
        <f t="shared" si="10"/>
        <v>0</v>
      </c>
      <c r="K105" s="722">
        <v>0.0</v>
      </c>
      <c r="L105" s="713"/>
    </row>
    <row r="106">
      <c r="A106" s="708">
        <v>45418.7</v>
      </c>
      <c r="B106" s="716">
        <v>770.0</v>
      </c>
      <c r="C106" s="717">
        <f t="shared" si="2"/>
        <v>79339.87</v>
      </c>
      <c r="D106" s="718">
        <v>476.0</v>
      </c>
      <c r="E106" s="710">
        <f t="shared" si="3"/>
        <v>48541.17</v>
      </c>
      <c r="F106" s="719">
        <v>294.0</v>
      </c>
      <c r="G106" s="711">
        <f t="shared" si="4"/>
        <v>30798.7</v>
      </c>
      <c r="H106" s="712">
        <f t="shared" si="1"/>
        <v>770</v>
      </c>
      <c r="I106" s="712">
        <f t="shared" si="5"/>
        <v>79339.87</v>
      </c>
      <c r="J106" s="712">
        <f t="shared" si="10"/>
        <v>0</v>
      </c>
      <c r="K106" s="722">
        <v>0.0</v>
      </c>
      <c r="L106" s="713"/>
    </row>
    <row r="107">
      <c r="A107" s="708">
        <v>45449.2</v>
      </c>
      <c r="B107" s="716">
        <v>770.0</v>
      </c>
      <c r="C107" s="717">
        <f t="shared" si="2"/>
        <v>80109.87</v>
      </c>
      <c r="D107" s="718">
        <v>476.0</v>
      </c>
      <c r="E107" s="710">
        <f t="shared" si="3"/>
        <v>49017.17</v>
      </c>
      <c r="F107" s="719">
        <v>294.0</v>
      </c>
      <c r="G107" s="711">
        <f t="shared" si="4"/>
        <v>31092.7</v>
      </c>
      <c r="H107" s="712">
        <f t="shared" si="1"/>
        <v>770</v>
      </c>
      <c r="I107" s="712">
        <f t="shared" si="5"/>
        <v>80109.87</v>
      </c>
      <c r="J107" s="712">
        <f t="shared" si="10"/>
        <v>0</v>
      </c>
      <c r="K107" s="722">
        <v>0.0</v>
      </c>
      <c r="L107" s="713"/>
    </row>
    <row r="108">
      <c r="A108" s="708">
        <v>45479.7</v>
      </c>
      <c r="B108" s="716">
        <v>770.0</v>
      </c>
      <c r="C108" s="717">
        <f t="shared" si="2"/>
        <v>80879.87</v>
      </c>
      <c r="D108" s="718">
        <v>476.0</v>
      </c>
      <c r="E108" s="710">
        <f t="shared" si="3"/>
        <v>49493.17</v>
      </c>
      <c r="F108" s="719">
        <v>294.0</v>
      </c>
      <c r="G108" s="711">
        <f t="shared" si="4"/>
        <v>31386.7</v>
      </c>
      <c r="H108" s="712">
        <f t="shared" si="1"/>
        <v>770</v>
      </c>
      <c r="I108" s="712">
        <f t="shared" si="5"/>
        <v>80879.87</v>
      </c>
      <c r="J108" s="712">
        <f t="shared" si="10"/>
        <v>0</v>
      </c>
      <c r="K108" s="722">
        <v>0.0</v>
      </c>
      <c r="L108" s="713"/>
    </row>
    <row r="109">
      <c r="A109" s="708">
        <v>45510.2</v>
      </c>
      <c r="B109" s="716">
        <v>770.0</v>
      </c>
      <c r="C109" s="717">
        <f t="shared" si="2"/>
        <v>81649.87</v>
      </c>
      <c r="D109" s="718">
        <v>484.0</v>
      </c>
      <c r="E109" s="710">
        <f t="shared" si="3"/>
        <v>49977.17</v>
      </c>
      <c r="F109" s="719">
        <v>286.0</v>
      </c>
      <c r="G109" s="711">
        <f t="shared" si="4"/>
        <v>31672.7</v>
      </c>
      <c r="H109" s="712">
        <f t="shared" si="1"/>
        <v>770</v>
      </c>
      <c r="I109" s="712">
        <f t="shared" si="5"/>
        <v>81649.87</v>
      </c>
      <c r="J109" s="712">
        <f t="shared" si="10"/>
        <v>0</v>
      </c>
      <c r="K109" s="722">
        <v>0.0</v>
      </c>
      <c r="L109" s="713"/>
    </row>
    <row r="110">
      <c r="A110" s="708">
        <v>45540.7</v>
      </c>
      <c r="B110" s="716">
        <v>770.0</v>
      </c>
      <c r="C110" s="717">
        <f t="shared" si="2"/>
        <v>82419.87</v>
      </c>
      <c r="D110" s="718">
        <v>484.0</v>
      </c>
      <c r="E110" s="710">
        <f t="shared" si="3"/>
        <v>50461.17</v>
      </c>
      <c r="F110" s="719">
        <v>286.0</v>
      </c>
      <c r="G110" s="711">
        <f t="shared" si="4"/>
        <v>31958.7</v>
      </c>
      <c r="H110" s="712">
        <f t="shared" si="1"/>
        <v>770</v>
      </c>
      <c r="I110" s="712">
        <f t="shared" si="5"/>
        <v>82419.87</v>
      </c>
      <c r="J110" s="712">
        <f t="shared" si="10"/>
        <v>0</v>
      </c>
      <c r="K110" s="722">
        <v>0.0</v>
      </c>
      <c r="L110" s="713"/>
    </row>
    <row r="111">
      <c r="A111" s="708">
        <v>45571.2</v>
      </c>
      <c r="B111" s="716">
        <v>770.0</v>
      </c>
      <c r="C111" s="717">
        <f t="shared" si="2"/>
        <v>83189.87</v>
      </c>
      <c r="D111" s="718">
        <v>484.0</v>
      </c>
      <c r="E111" s="710">
        <f t="shared" si="3"/>
        <v>50945.17</v>
      </c>
      <c r="F111" s="719">
        <v>286.0</v>
      </c>
      <c r="G111" s="711">
        <f t="shared" si="4"/>
        <v>32244.7</v>
      </c>
      <c r="H111" s="712">
        <f t="shared" si="1"/>
        <v>770</v>
      </c>
      <c r="I111" s="712">
        <f t="shared" si="5"/>
        <v>83189.87</v>
      </c>
      <c r="J111" s="712">
        <f t="shared" si="10"/>
        <v>0</v>
      </c>
      <c r="K111" s="722">
        <v>0.0</v>
      </c>
      <c r="L111" s="713"/>
    </row>
    <row r="112">
      <c r="A112" s="708">
        <v>45601.7</v>
      </c>
      <c r="B112" s="716">
        <v>0.0</v>
      </c>
      <c r="C112" s="717">
        <f t="shared" si="2"/>
        <v>83189.87</v>
      </c>
      <c r="D112" s="718">
        <v>0.0</v>
      </c>
      <c r="E112" s="710">
        <f t="shared" si="3"/>
        <v>50945.17</v>
      </c>
      <c r="F112" s="719">
        <v>256.0</v>
      </c>
      <c r="G112" s="711">
        <f t="shared" si="4"/>
        <v>32500.7</v>
      </c>
      <c r="H112" s="712">
        <f t="shared" si="1"/>
        <v>256</v>
      </c>
      <c r="I112" s="712">
        <f t="shared" si="5"/>
        <v>83445.87</v>
      </c>
      <c r="J112" s="712">
        <f t="shared" si="10"/>
        <v>-256</v>
      </c>
      <c r="K112" s="722">
        <v>256.0</v>
      </c>
      <c r="L112" s="713"/>
    </row>
    <row r="113">
      <c r="A113" s="674"/>
      <c r="B113" s="681">
        <f>SUM(B3:B67)</f>
        <v>49309.87</v>
      </c>
      <c r="C113" s="674"/>
      <c r="D113" s="681">
        <f>SUM(D3:D67)</f>
        <v>28300.17</v>
      </c>
      <c r="E113" s="674"/>
      <c r="F113" s="681">
        <f>SUM(F3:F67)</f>
        <v>21009.7</v>
      </c>
      <c r="G113" s="674"/>
      <c r="H113" s="681">
        <f t="shared" si="1"/>
        <v>49309.87</v>
      </c>
      <c r="I113" s="674"/>
      <c r="J113" s="674"/>
      <c r="L113" s="674"/>
    </row>
    <row r="114">
      <c r="A114" s="674"/>
      <c r="B114" s="674"/>
      <c r="C114" s="674"/>
      <c r="D114" s="674"/>
      <c r="E114" s="674"/>
      <c r="F114" s="674"/>
      <c r="G114" s="674"/>
      <c r="H114" s="674"/>
      <c r="I114" s="674"/>
      <c r="J114" s="674"/>
      <c r="L114" s="674"/>
    </row>
    <row r="115">
      <c r="A115" s="674"/>
      <c r="B115" s="674"/>
      <c r="C115" s="674"/>
      <c r="D115" s="674"/>
      <c r="E115" s="674"/>
      <c r="F115" s="674"/>
      <c r="G115" s="674"/>
      <c r="H115" s="674"/>
      <c r="I115" s="674"/>
      <c r="J115" s="674"/>
      <c r="L115" s="674"/>
    </row>
    <row r="116">
      <c r="A116" s="674"/>
      <c r="B116" s="674"/>
      <c r="C116" s="674"/>
      <c r="D116" s="674"/>
      <c r="E116" s="674"/>
      <c r="F116" s="674"/>
      <c r="G116" s="674"/>
      <c r="H116" s="674"/>
      <c r="I116" s="674"/>
      <c r="J116" s="674"/>
      <c r="L116" s="674"/>
    </row>
    <row r="117">
      <c r="A117" s="674"/>
      <c r="B117" s="674"/>
      <c r="C117" s="674"/>
      <c r="D117" s="674"/>
      <c r="E117" s="674"/>
      <c r="F117" s="674"/>
      <c r="G117" s="674"/>
      <c r="H117" s="674"/>
      <c r="I117" s="674"/>
      <c r="J117" s="674"/>
      <c r="L117" s="674"/>
    </row>
    <row r="118">
      <c r="A118" s="674"/>
      <c r="B118" s="674"/>
      <c r="C118" s="674"/>
      <c r="D118" s="674"/>
      <c r="E118" s="674"/>
      <c r="F118" s="674"/>
      <c r="G118" s="674"/>
      <c r="H118" s="674"/>
      <c r="I118" s="674"/>
      <c r="J118" s="674"/>
      <c r="L118" s="674"/>
    </row>
    <row r="119">
      <c r="A119" s="674"/>
      <c r="B119" s="674"/>
      <c r="C119" s="674"/>
      <c r="D119" s="674"/>
      <c r="E119" s="674"/>
      <c r="F119" s="674"/>
      <c r="G119" s="674"/>
      <c r="H119" s="674"/>
      <c r="I119" s="674"/>
      <c r="J119" s="674"/>
      <c r="L119" s="674"/>
    </row>
    <row r="120">
      <c r="A120" s="674"/>
      <c r="B120" s="674"/>
      <c r="C120" s="674"/>
      <c r="D120" s="674"/>
      <c r="E120" s="674"/>
      <c r="F120" s="674"/>
      <c r="G120" s="674"/>
      <c r="H120" s="674"/>
      <c r="I120" s="674"/>
      <c r="J120" s="674"/>
      <c r="L120" s="674"/>
    </row>
    <row r="121">
      <c r="A121" s="674"/>
      <c r="B121" s="674"/>
      <c r="C121" s="674"/>
      <c r="D121" s="674"/>
      <c r="E121" s="674"/>
      <c r="F121" s="674"/>
      <c r="G121" s="674"/>
      <c r="H121" s="674"/>
      <c r="I121" s="674"/>
      <c r="J121" s="674"/>
      <c r="L121" s="674"/>
    </row>
    <row r="122">
      <c r="A122" s="674"/>
      <c r="B122" s="674"/>
      <c r="C122" s="674"/>
      <c r="D122" s="674"/>
      <c r="E122" s="674"/>
      <c r="F122" s="674"/>
      <c r="G122" s="674"/>
      <c r="H122" s="674"/>
      <c r="I122" s="674"/>
      <c r="J122" s="674"/>
      <c r="L122" s="674"/>
    </row>
    <row r="123">
      <c r="A123" s="674"/>
      <c r="B123" s="674"/>
      <c r="C123" s="674"/>
      <c r="D123" s="674"/>
      <c r="E123" s="674"/>
      <c r="F123" s="674"/>
      <c r="G123" s="674"/>
      <c r="H123" s="674"/>
      <c r="I123" s="674"/>
      <c r="J123" s="674"/>
      <c r="L123" s="674"/>
    </row>
    <row r="124">
      <c r="A124" s="674"/>
      <c r="B124" s="674"/>
      <c r="C124" s="674"/>
      <c r="D124" s="674"/>
      <c r="E124" s="674"/>
      <c r="F124" s="674"/>
      <c r="G124" s="674"/>
      <c r="H124" s="674"/>
      <c r="I124" s="674"/>
      <c r="J124" s="674"/>
      <c r="L124" s="674"/>
    </row>
    <row r="125">
      <c r="A125" s="674"/>
      <c r="B125" s="674"/>
      <c r="C125" s="674"/>
      <c r="D125" s="674"/>
      <c r="E125" s="674"/>
      <c r="F125" s="674"/>
      <c r="G125" s="674"/>
      <c r="H125" s="674"/>
      <c r="I125" s="674"/>
      <c r="J125" s="674"/>
      <c r="L125" s="674"/>
    </row>
    <row r="126">
      <c r="A126" s="674"/>
      <c r="B126" s="674"/>
      <c r="C126" s="674"/>
      <c r="D126" s="674"/>
      <c r="E126" s="674"/>
      <c r="F126" s="674"/>
      <c r="G126" s="674"/>
      <c r="H126" s="674"/>
      <c r="I126" s="674"/>
      <c r="J126" s="674"/>
      <c r="L126" s="674"/>
    </row>
    <row r="127">
      <c r="A127" s="674"/>
      <c r="B127" s="674"/>
      <c r="C127" s="674"/>
      <c r="D127" s="674"/>
      <c r="E127" s="674"/>
      <c r="F127" s="674"/>
      <c r="G127" s="674"/>
      <c r="H127" s="674"/>
      <c r="I127" s="674"/>
      <c r="J127" s="674"/>
      <c r="L127" s="674"/>
    </row>
    <row r="128">
      <c r="A128" s="674"/>
      <c r="B128" s="674"/>
      <c r="C128" s="674"/>
      <c r="D128" s="674"/>
      <c r="E128" s="674"/>
      <c r="F128" s="674"/>
      <c r="G128" s="674"/>
      <c r="H128" s="674"/>
      <c r="I128" s="674"/>
      <c r="J128" s="674"/>
      <c r="L128" s="674"/>
    </row>
    <row r="129">
      <c r="A129" s="674"/>
      <c r="B129" s="674"/>
      <c r="C129" s="674"/>
      <c r="D129" s="674"/>
      <c r="E129" s="674"/>
      <c r="F129" s="674"/>
      <c r="G129" s="674"/>
      <c r="H129" s="674"/>
      <c r="I129" s="674"/>
      <c r="J129" s="674"/>
      <c r="L129" s="674"/>
    </row>
    <row r="130">
      <c r="A130" s="674"/>
      <c r="B130" s="674"/>
      <c r="C130" s="674"/>
      <c r="D130" s="674"/>
      <c r="E130" s="674"/>
      <c r="F130" s="674"/>
      <c r="G130" s="674"/>
      <c r="H130" s="674"/>
      <c r="I130" s="674"/>
      <c r="J130" s="674"/>
      <c r="L130" s="674"/>
    </row>
    <row r="131">
      <c r="A131" s="674"/>
      <c r="B131" s="674"/>
      <c r="C131" s="674"/>
      <c r="D131" s="674"/>
      <c r="E131" s="674"/>
      <c r="F131" s="674"/>
      <c r="G131" s="674"/>
      <c r="H131" s="674"/>
      <c r="I131" s="674"/>
      <c r="J131" s="674"/>
      <c r="L131" s="674"/>
    </row>
    <row r="132">
      <c r="A132" s="674"/>
      <c r="B132" s="674"/>
      <c r="C132" s="674"/>
      <c r="D132" s="674"/>
      <c r="E132" s="674"/>
      <c r="F132" s="674"/>
      <c r="G132" s="674"/>
      <c r="H132" s="674"/>
      <c r="I132" s="674"/>
      <c r="J132" s="674"/>
      <c r="L132" s="674"/>
    </row>
    <row r="133">
      <c r="A133" s="674"/>
      <c r="B133" s="674"/>
      <c r="C133" s="674"/>
      <c r="D133" s="674"/>
      <c r="E133" s="674"/>
      <c r="F133" s="674"/>
      <c r="G133" s="674"/>
      <c r="H133" s="674"/>
      <c r="I133" s="674"/>
      <c r="J133" s="674"/>
      <c r="L133" s="674"/>
    </row>
    <row r="134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L134" s="674"/>
    </row>
    <row r="135">
      <c r="A135" s="674"/>
      <c r="B135" s="674"/>
      <c r="C135" s="674"/>
      <c r="D135" s="674"/>
      <c r="E135" s="674"/>
      <c r="F135" s="674"/>
      <c r="G135" s="674"/>
      <c r="H135" s="674"/>
      <c r="I135" s="674"/>
      <c r="J135" s="674"/>
      <c r="L135" s="674"/>
    </row>
    <row r="136">
      <c r="A136" s="674"/>
      <c r="B136" s="674"/>
      <c r="C136" s="674"/>
      <c r="D136" s="674"/>
      <c r="E136" s="674"/>
      <c r="F136" s="674"/>
      <c r="G136" s="674"/>
      <c r="H136" s="674"/>
      <c r="I136" s="674"/>
      <c r="J136" s="674"/>
      <c r="L136" s="674"/>
    </row>
    <row r="137">
      <c r="A137" s="674"/>
      <c r="B137" s="674"/>
      <c r="C137" s="674"/>
      <c r="D137" s="674"/>
      <c r="E137" s="674"/>
      <c r="F137" s="674"/>
      <c r="G137" s="674"/>
      <c r="H137" s="674"/>
      <c r="I137" s="674"/>
      <c r="J137" s="674"/>
      <c r="L137" s="674"/>
    </row>
    <row r="138">
      <c r="A138" s="674"/>
      <c r="B138" s="674"/>
      <c r="C138" s="674"/>
      <c r="D138" s="674"/>
      <c r="E138" s="674"/>
      <c r="F138" s="674"/>
      <c r="G138" s="674"/>
      <c r="H138" s="674"/>
      <c r="I138" s="674"/>
      <c r="J138" s="674"/>
      <c r="L138" s="674"/>
    </row>
    <row r="139">
      <c r="A139" s="674"/>
      <c r="B139" s="674"/>
      <c r="C139" s="674"/>
      <c r="D139" s="674"/>
      <c r="E139" s="674"/>
      <c r="F139" s="674"/>
      <c r="G139" s="674"/>
      <c r="H139" s="674"/>
      <c r="I139" s="674"/>
      <c r="J139" s="674"/>
      <c r="L139" s="674"/>
    </row>
    <row r="140">
      <c r="A140" s="674"/>
      <c r="B140" s="674"/>
      <c r="C140" s="674"/>
      <c r="D140" s="674"/>
      <c r="E140" s="674"/>
      <c r="F140" s="674"/>
      <c r="G140" s="674"/>
      <c r="H140" s="674"/>
      <c r="I140" s="674"/>
      <c r="J140" s="674"/>
      <c r="L140" s="674"/>
    </row>
    <row r="141">
      <c r="A141" s="674"/>
      <c r="B141" s="674"/>
      <c r="C141" s="674"/>
      <c r="D141" s="674"/>
      <c r="E141" s="674"/>
      <c r="F141" s="674"/>
      <c r="G141" s="674"/>
      <c r="H141" s="674"/>
      <c r="I141" s="674"/>
      <c r="J141" s="674"/>
      <c r="L141" s="674"/>
    </row>
    <row r="142">
      <c r="A142" s="674"/>
      <c r="B142" s="674"/>
      <c r="C142" s="674"/>
      <c r="D142" s="674"/>
      <c r="E142" s="674"/>
      <c r="F142" s="674"/>
      <c r="G142" s="674"/>
      <c r="H142" s="674"/>
      <c r="I142" s="674"/>
      <c r="J142" s="674"/>
      <c r="L142" s="674"/>
    </row>
    <row r="143">
      <c r="A143" s="674"/>
      <c r="B143" s="674"/>
      <c r="C143" s="674"/>
      <c r="D143" s="674"/>
      <c r="E143" s="674"/>
      <c r="F143" s="674"/>
      <c r="G143" s="674"/>
      <c r="H143" s="674"/>
      <c r="I143" s="674"/>
      <c r="J143" s="674"/>
      <c r="L143" s="674"/>
    </row>
    <row r="144">
      <c r="A144" s="674"/>
      <c r="B144" s="674"/>
      <c r="C144" s="674"/>
      <c r="D144" s="674"/>
      <c r="E144" s="674"/>
      <c r="F144" s="674"/>
      <c r="G144" s="674"/>
      <c r="H144" s="674"/>
      <c r="I144" s="674"/>
      <c r="J144" s="674"/>
      <c r="L144" s="674"/>
    </row>
    <row r="145">
      <c r="A145" s="674"/>
      <c r="B145" s="674"/>
      <c r="C145" s="674"/>
      <c r="D145" s="674"/>
      <c r="E145" s="674"/>
      <c r="F145" s="674"/>
      <c r="G145" s="674"/>
      <c r="H145" s="674"/>
      <c r="I145" s="674"/>
      <c r="J145" s="674"/>
      <c r="L145" s="674"/>
    </row>
    <row r="146">
      <c r="A146" s="674"/>
      <c r="B146" s="674"/>
      <c r="C146" s="674"/>
      <c r="D146" s="674"/>
      <c r="E146" s="674"/>
      <c r="F146" s="674"/>
      <c r="G146" s="674"/>
      <c r="H146" s="674"/>
      <c r="I146" s="674"/>
      <c r="J146" s="674"/>
      <c r="L146" s="674"/>
    </row>
    <row r="147">
      <c r="A147" s="674"/>
      <c r="B147" s="674"/>
      <c r="C147" s="674"/>
      <c r="D147" s="674"/>
      <c r="E147" s="674"/>
      <c r="F147" s="674"/>
      <c r="G147" s="674"/>
      <c r="H147" s="674"/>
      <c r="I147" s="674"/>
      <c r="J147" s="674"/>
      <c r="L147" s="674"/>
    </row>
    <row r="148">
      <c r="A148" s="674"/>
      <c r="B148" s="674"/>
      <c r="C148" s="674"/>
      <c r="D148" s="674"/>
      <c r="E148" s="674"/>
      <c r="F148" s="674"/>
      <c r="G148" s="674"/>
      <c r="H148" s="674"/>
      <c r="I148" s="674"/>
      <c r="J148" s="674"/>
      <c r="L148" s="674"/>
    </row>
    <row r="149">
      <c r="A149" s="674"/>
      <c r="B149" s="674"/>
      <c r="C149" s="674"/>
      <c r="D149" s="674"/>
      <c r="E149" s="674"/>
      <c r="F149" s="674"/>
      <c r="G149" s="674"/>
      <c r="H149" s="674"/>
      <c r="I149" s="674"/>
      <c r="J149" s="674"/>
      <c r="L149" s="674"/>
    </row>
    <row r="150">
      <c r="A150" s="674"/>
      <c r="B150" s="674"/>
      <c r="C150" s="674"/>
      <c r="D150" s="674"/>
      <c r="E150" s="674"/>
      <c r="F150" s="674"/>
      <c r="G150" s="674"/>
      <c r="H150" s="674"/>
      <c r="I150" s="674"/>
      <c r="J150" s="674"/>
      <c r="L150" s="674"/>
    </row>
    <row r="151">
      <c r="A151" s="674"/>
      <c r="B151" s="674"/>
      <c r="C151" s="674"/>
      <c r="D151" s="674"/>
      <c r="E151" s="674"/>
      <c r="F151" s="674"/>
      <c r="G151" s="674"/>
      <c r="H151" s="674"/>
      <c r="I151" s="674"/>
      <c r="J151" s="674"/>
      <c r="L151" s="674"/>
    </row>
    <row r="152">
      <c r="A152" s="674"/>
      <c r="B152" s="674"/>
      <c r="C152" s="674"/>
      <c r="D152" s="674"/>
      <c r="E152" s="674"/>
      <c r="F152" s="674"/>
      <c r="G152" s="674"/>
      <c r="H152" s="674"/>
      <c r="I152" s="674"/>
      <c r="J152" s="674"/>
      <c r="L152" s="674"/>
    </row>
    <row r="153">
      <c r="A153" s="674"/>
      <c r="B153" s="674"/>
      <c r="C153" s="674"/>
      <c r="D153" s="674"/>
      <c r="E153" s="674"/>
      <c r="F153" s="674"/>
      <c r="G153" s="674"/>
      <c r="H153" s="674"/>
      <c r="I153" s="674"/>
      <c r="J153" s="674"/>
      <c r="L153" s="674"/>
    </row>
    <row r="154">
      <c r="A154" s="674"/>
      <c r="B154" s="674"/>
      <c r="C154" s="674"/>
      <c r="D154" s="674"/>
      <c r="E154" s="674"/>
      <c r="F154" s="674"/>
      <c r="G154" s="674"/>
      <c r="H154" s="674"/>
      <c r="I154" s="674"/>
      <c r="J154" s="674"/>
      <c r="L154" s="674"/>
    </row>
    <row r="155">
      <c r="A155" s="674"/>
      <c r="B155" s="674"/>
      <c r="C155" s="674"/>
      <c r="D155" s="674"/>
      <c r="E155" s="674"/>
      <c r="F155" s="674"/>
      <c r="G155" s="674"/>
      <c r="H155" s="674"/>
      <c r="I155" s="674"/>
      <c r="J155" s="674"/>
      <c r="L155" s="674"/>
    </row>
    <row r="156">
      <c r="A156" s="674"/>
      <c r="B156" s="674"/>
      <c r="C156" s="674"/>
      <c r="D156" s="674"/>
      <c r="E156" s="674"/>
      <c r="F156" s="674"/>
      <c r="G156" s="674"/>
      <c r="H156" s="674"/>
      <c r="I156" s="674"/>
      <c r="J156" s="674"/>
      <c r="L156" s="674"/>
    </row>
    <row r="157">
      <c r="A157" s="674"/>
      <c r="B157" s="674"/>
      <c r="C157" s="674"/>
      <c r="D157" s="674"/>
      <c r="E157" s="674"/>
      <c r="F157" s="674"/>
      <c r="G157" s="674"/>
      <c r="H157" s="674"/>
      <c r="I157" s="674"/>
      <c r="J157" s="674"/>
      <c r="L157" s="674"/>
    </row>
    <row r="158">
      <c r="A158" s="674"/>
      <c r="B158" s="674"/>
      <c r="C158" s="674"/>
      <c r="D158" s="674"/>
      <c r="E158" s="674"/>
      <c r="F158" s="674"/>
      <c r="G158" s="674"/>
      <c r="H158" s="674"/>
      <c r="I158" s="674"/>
      <c r="J158" s="674"/>
      <c r="L158" s="674"/>
    </row>
    <row r="159">
      <c r="A159" s="674"/>
      <c r="B159" s="674"/>
      <c r="C159" s="674"/>
      <c r="D159" s="674"/>
      <c r="E159" s="674"/>
      <c r="F159" s="674"/>
      <c r="G159" s="674"/>
      <c r="H159" s="674"/>
      <c r="I159" s="674"/>
      <c r="J159" s="674"/>
      <c r="L159" s="674"/>
    </row>
    <row r="160">
      <c r="A160" s="674"/>
      <c r="B160" s="674"/>
      <c r="C160" s="674"/>
      <c r="D160" s="674"/>
      <c r="E160" s="674"/>
      <c r="F160" s="674"/>
      <c r="G160" s="674"/>
      <c r="H160" s="674"/>
      <c r="I160" s="674"/>
      <c r="J160" s="674"/>
      <c r="L160" s="674"/>
    </row>
    <row r="161">
      <c r="A161" s="674"/>
      <c r="B161" s="674"/>
      <c r="C161" s="674"/>
      <c r="D161" s="674"/>
      <c r="E161" s="674"/>
      <c r="F161" s="674"/>
      <c r="G161" s="674"/>
      <c r="H161" s="674"/>
      <c r="I161" s="674"/>
      <c r="J161" s="674"/>
      <c r="L161" s="674"/>
    </row>
    <row r="162">
      <c r="A162" s="674"/>
      <c r="B162" s="674"/>
      <c r="C162" s="674"/>
      <c r="D162" s="674"/>
      <c r="E162" s="674"/>
      <c r="F162" s="674"/>
      <c r="G162" s="674"/>
      <c r="H162" s="674"/>
      <c r="I162" s="674"/>
      <c r="J162" s="674"/>
      <c r="L162" s="674"/>
    </row>
    <row r="163">
      <c r="A163" s="674"/>
      <c r="B163" s="674"/>
      <c r="C163" s="674"/>
      <c r="D163" s="674"/>
      <c r="E163" s="674"/>
      <c r="F163" s="674"/>
      <c r="G163" s="674"/>
      <c r="H163" s="674"/>
      <c r="I163" s="674"/>
      <c r="J163" s="674"/>
      <c r="L163" s="674"/>
    </row>
    <row r="164">
      <c r="A164" s="674"/>
      <c r="B164" s="674"/>
      <c r="C164" s="674"/>
      <c r="D164" s="674"/>
      <c r="E164" s="674"/>
      <c r="F164" s="674"/>
      <c r="G164" s="674"/>
      <c r="H164" s="674"/>
      <c r="I164" s="674"/>
      <c r="J164" s="674"/>
      <c r="L164" s="674"/>
    </row>
    <row r="165">
      <c r="A165" s="674"/>
      <c r="B165" s="674"/>
      <c r="C165" s="674"/>
      <c r="D165" s="674"/>
      <c r="E165" s="674"/>
      <c r="F165" s="674"/>
      <c r="G165" s="674"/>
      <c r="H165" s="674"/>
      <c r="I165" s="674"/>
      <c r="J165" s="674"/>
      <c r="L165" s="674"/>
    </row>
    <row r="166">
      <c r="A166" s="674"/>
      <c r="B166" s="674"/>
      <c r="C166" s="674"/>
      <c r="D166" s="674"/>
      <c r="E166" s="674"/>
      <c r="F166" s="674"/>
      <c r="G166" s="674"/>
      <c r="H166" s="674"/>
      <c r="I166" s="674"/>
      <c r="J166" s="674"/>
      <c r="L166" s="674"/>
    </row>
    <row r="167">
      <c r="A167" s="674"/>
      <c r="B167" s="674"/>
      <c r="C167" s="674"/>
      <c r="D167" s="674"/>
      <c r="E167" s="674"/>
      <c r="F167" s="674"/>
      <c r="G167" s="674"/>
      <c r="H167" s="674"/>
      <c r="I167" s="674"/>
      <c r="J167" s="674"/>
      <c r="L167" s="674"/>
    </row>
    <row r="168">
      <c r="A168" s="674"/>
      <c r="B168" s="674"/>
      <c r="C168" s="674"/>
      <c r="D168" s="674"/>
      <c r="E168" s="674"/>
      <c r="F168" s="674"/>
      <c r="G168" s="674"/>
      <c r="H168" s="674"/>
      <c r="I168" s="674"/>
      <c r="J168" s="674"/>
      <c r="L168" s="674"/>
    </row>
    <row r="169">
      <c r="A169" s="674"/>
      <c r="B169" s="674"/>
      <c r="C169" s="674"/>
      <c r="D169" s="674"/>
      <c r="E169" s="674"/>
      <c r="F169" s="674"/>
      <c r="G169" s="674"/>
      <c r="H169" s="674"/>
      <c r="I169" s="674"/>
      <c r="J169" s="674"/>
      <c r="L169" s="674"/>
    </row>
    <row r="170">
      <c r="A170" s="674"/>
      <c r="B170" s="674"/>
      <c r="C170" s="674"/>
      <c r="D170" s="674"/>
      <c r="E170" s="674"/>
      <c r="F170" s="674"/>
      <c r="G170" s="674"/>
      <c r="H170" s="674"/>
      <c r="I170" s="674"/>
      <c r="J170" s="674"/>
      <c r="L170" s="674"/>
    </row>
    <row r="171">
      <c r="A171" s="674"/>
      <c r="B171" s="674"/>
      <c r="C171" s="674"/>
      <c r="D171" s="674"/>
      <c r="E171" s="674"/>
      <c r="F171" s="674"/>
      <c r="G171" s="674"/>
      <c r="H171" s="674"/>
      <c r="I171" s="674"/>
      <c r="J171" s="674"/>
      <c r="L171" s="674"/>
    </row>
    <row r="172">
      <c r="A172" s="674"/>
      <c r="B172" s="674"/>
      <c r="C172" s="674"/>
      <c r="D172" s="674"/>
      <c r="E172" s="674"/>
      <c r="F172" s="674"/>
      <c r="G172" s="674"/>
      <c r="H172" s="674"/>
      <c r="I172" s="674"/>
      <c r="J172" s="674"/>
      <c r="L172" s="674"/>
    </row>
    <row r="173">
      <c r="A173" s="674"/>
      <c r="B173" s="674"/>
      <c r="C173" s="674"/>
      <c r="D173" s="674"/>
      <c r="E173" s="674"/>
      <c r="F173" s="674"/>
      <c r="G173" s="674"/>
      <c r="H173" s="674"/>
      <c r="I173" s="674"/>
      <c r="J173" s="674"/>
      <c r="L173" s="674"/>
    </row>
    <row r="174">
      <c r="A174" s="674"/>
      <c r="B174" s="674"/>
      <c r="C174" s="674"/>
      <c r="D174" s="674"/>
      <c r="E174" s="674"/>
      <c r="F174" s="674"/>
      <c r="G174" s="674"/>
      <c r="H174" s="674"/>
      <c r="I174" s="674"/>
      <c r="J174" s="674"/>
      <c r="L174" s="674"/>
    </row>
    <row r="175">
      <c r="A175" s="674"/>
      <c r="B175" s="674"/>
      <c r="C175" s="674"/>
      <c r="D175" s="674"/>
      <c r="E175" s="674"/>
      <c r="F175" s="674"/>
      <c r="G175" s="674"/>
      <c r="H175" s="674"/>
      <c r="I175" s="674"/>
      <c r="J175" s="674"/>
      <c r="L175" s="674"/>
    </row>
    <row r="176">
      <c r="A176" s="674"/>
      <c r="B176" s="674"/>
      <c r="C176" s="674"/>
      <c r="D176" s="674"/>
      <c r="E176" s="674"/>
      <c r="F176" s="674"/>
      <c r="G176" s="674"/>
      <c r="H176" s="674"/>
      <c r="I176" s="674"/>
      <c r="J176" s="674"/>
      <c r="L176" s="674"/>
    </row>
    <row r="177">
      <c r="A177" s="674"/>
      <c r="B177" s="674"/>
      <c r="C177" s="674"/>
      <c r="D177" s="674"/>
      <c r="E177" s="674"/>
      <c r="F177" s="674"/>
      <c r="G177" s="674"/>
      <c r="H177" s="674"/>
      <c r="I177" s="674"/>
      <c r="J177" s="674"/>
      <c r="L177" s="674"/>
    </row>
    <row r="178">
      <c r="A178" s="674"/>
      <c r="B178" s="674"/>
      <c r="C178" s="674"/>
      <c r="D178" s="674"/>
      <c r="E178" s="674"/>
      <c r="F178" s="674"/>
      <c r="G178" s="674"/>
      <c r="H178" s="674"/>
      <c r="I178" s="674"/>
      <c r="J178" s="674"/>
      <c r="L178" s="674"/>
    </row>
    <row r="179">
      <c r="A179" s="674"/>
      <c r="B179" s="674"/>
      <c r="C179" s="674"/>
      <c r="D179" s="674"/>
      <c r="E179" s="674"/>
      <c r="F179" s="674"/>
      <c r="G179" s="674"/>
      <c r="H179" s="674"/>
      <c r="I179" s="674"/>
      <c r="J179" s="674"/>
      <c r="L179" s="674"/>
    </row>
    <row r="180">
      <c r="A180" s="674"/>
      <c r="B180" s="674"/>
      <c r="C180" s="674"/>
      <c r="D180" s="674"/>
      <c r="E180" s="674"/>
      <c r="F180" s="674"/>
      <c r="G180" s="674"/>
      <c r="H180" s="674"/>
      <c r="I180" s="674"/>
      <c r="J180" s="674"/>
      <c r="L180" s="674"/>
    </row>
    <row r="181">
      <c r="A181" s="674"/>
      <c r="B181" s="674"/>
      <c r="C181" s="674"/>
      <c r="D181" s="674"/>
      <c r="E181" s="674"/>
      <c r="F181" s="674"/>
      <c r="G181" s="674"/>
      <c r="H181" s="674"/>
      <c r="I181" s="674"/>
      <c r="J181" s="674"/>
      <c r="L181" s="674"/>
    </row>
    <row r="182">
      <c r="A182" s="674"/>
      <c r="B182" s="674"/>
      <c r="C182" s="674"/>
      <c r="D182" s="674"/>
      <c r="E182" s="674"/>
      <c r="F182" s="674"/>
      <c r="G182" s="674"/>
      <c r="H182" s="674"/>
      <c r="I182" s="674"/>
      <c r="J182" s="674"/>
      <c r="L182" s="674"/>
    </row>
    <row r="183">
      <c r="A183" s="674"/>
      <c r="B183" s="674"/>
      <c r="C183" s="674"/>
      <c r="D183" s="674"/>
      <c r="E183" s="674"/>
      <c r="F183" s="674"/>
      <c r="G183" s="674"/>
      <c r="H183" s="674"/>
      <c r="I183" s="674"/>
      <c r="J183" s="674"/>
      <c r="L183" s="674"/>
    </row>
    <row r="184">
      <c r="A184" s="674"/>
      <c r="B184" s="674"/>
      <c r="C184" s="674"/>
      <c r="D184" s="674"/>
      <c r="E184" s="674"/>
      <c r="F184" s="674"/>
      <c r="G184" s="674"/>
      <c r="H184" s="674"/>
      <c r="I184" s="674"/>
      <c r="J184" s="674"/>
      <c r="L184" s="674"/>
    </row>
    <row r="185">
      <c r="A185" s="674"/>
      <c r="B185" s="674"/>
      <c r="C185" s="674"/>
      <c r="D185" s="674"/>
      <c r="E185" s="674"/>
      <c r="F185" s="674"/>
      <c r="G185" s="674"/>
      <c r="H185" s="674"/>
      <c r="I185" s="674"/>
      <c r="J185" s="674"/>
      <c r="L185" s="674"/>
    </row>
    <row r="186">
      <c r="A186" s="674"/>
      <c r="B186" s="674"/>
      <c r="C186" s="674"/>
      <c r="D186" s="674"/>
      <c r="E186" s="674"/>
      <c r="F186" s="674"/>
      <c r="G186" s="674"/>
      <c r="H186" s="674"/>
      <c r="I186" s="674"/>
      <c r="J186" s="674"/>
      <c r="L186" s="674"/>
    </row>
    <row r="187">
      <c r="A187" s="674"/>
      <c r="B187" s="674"/>
      <c r="C187" s="674"/>
      <c r="D187" s="674"/>
      <c r="E187" s="674"/>
      <c r="F187" s="674"/>
      <c r="G187" s="674"/>
      <c r="H187" s="674"/>
      <c r="I187" s="674"/>
      <c r="J187" s="674"/>
      <c r="L187" s="674"/>
    </row>
    <row r="188">
      <c r="A188" s="674"/>
      <c r="B188" s="674"/>
      <c r="C188" s="674"/>
      <c r="D188" s="674"/>
      <c r="E188" s="674"/>
      <c r="F188" s="674"/>
      <c r="G188" s="674"/>
      <c r="H188" s="674"/>
      <c r="I188" s="674"/>
      <c r="J188" s="674"/>
      <c r="L188" s="674"/>
    </row>
    <row r="189">
      <c r="A189" s="674"/>
      <c r="B189" s="674"/>
      <c r="C189" s="674"/>
      <c r="D189" s="674"/>
      <c r="E189" s="674"/>
      <c r="F189" s="674"/>
      <c r="G189" s="674"/>
      <c r="H189" s="674"/>
      <c r="I189" s="674"/>
      <c r="J189" s="674"/>
      <c r="L189" s="674"/>
    </row>
    <row r="190">
      <c r="A190" s="674"/>
      <c r="B190" s="674"/>
      <c r="C190" s="674"/>
      <c r="D190" s="674"/>
      <c r="E190" s="674"/>
      <c r="F190" s="674"/>
      <c r="G190" s="674"/>
      <c r="H190" s="674"/>
      <c r="I190" s="674"/>
      <c r="J190" s="674"/>
      <c r="L190" s="674"/>
    </row>
    <row r="191">
      <c r="A191" s="674"/>
      <c r="B191" s="674"/>
      <c r="C191" s="674"/>
      <c r="D191" s="674"/>
      <c r="E191" s="674"/>
      <c r="F191" s="674"/>
      <c r="G191" s="674"/>
      <c r="H191" s="674"/>
      <c r="I191" s="674"/>
      <c r="J191" s="674"/>
      <c r="L191" s="674"/>
    </row>
    <row r="192">
      <c r="A192" s="674"/>
      <c r="B192" s="674"/>
      <c r="C192" s="674"/>
      <c r="D192" s="674"/>
      <c r="E192" s="674"/>
      <c r="F192" s="674"/>
      <c r="G192" s="674"/>
      <c r="H192" s="674"/>
      <c r="I192" s="674"/>
      <c r="J192" s="674"/>
      <c r="L192" s="674"/>
    </row>
    <row r="193">
      <c r="A193" s="674"/>
      <c r="B193" s="674"/>
      <c r="C193" s="674"/>
      <c r="D193" s="674"/>
      <c r="E193" s="674"/>
      <c r="F193" s="674"/>
      <c r="G193" s="674"/>
      <c r="H193" s="674"/>
      <c r="I193" s="674"/>
      <c r="J193" s="674"/>
      <c r="L193" s="674"/>
    </row>
    <row r="194">
      <c r="A194" s="674"/>
      <c r="B194" s="674"/>
      <c r="C194" s="674"/>
      <c r="D194" s="674"/>
      <c r="E194" s="674"/>
      <c r="F194" s="674"/>
      <c r="G194" s="674"/>
      <c r="H194" s="674"/>
      <c r="I194" s="674"/>
      <c r="J194" s="674"/>
      <c r="L194" s="674"/>
    </row>
    <row r="195">
      <c r="A195" s="674"/>
      <c r="B195" s="674"/>
      <c r="C195" s="674"/>
      <c r="D195" s="674"/>
      <c r="E195" s="674"/>
      <c r="F195" s="674"/>
      <c r="G195" s="674"/>
      <c r="H195" s="674"/>
      <c r="I195" s="674"/>
      <c r="J195" s="674"/>
      <c r="L195" s="674"/>
    </row>
    <row r="196">
      <c r="A196" s="674"/>
      <c r="B196" s="674"/>
      <c r="C196" s="674"/>
      <c r="D196" s="674"/>
      <c r="E196" s="674"/>
      <c r="F196" s="674"/>
      <c r="G196" s="674"/>
      <c r="H196" s="674"/>
      <c r="I196" s="674"/>
      <c r="J196" s="674"/>
      <c r="L196" s="674"/>
    </row>
    <row r="197">
      <c r="A197" s="674"/>
      <c r="B197" s="674"/>
      <c r="C197" s="674"/>
      <c r="D197" s="674"/>
      <c r="E197" s="674"/>
      <c r="F197" s="674"/>
      <c r="G197" s="674"/>
      <c r="H197" s="674"/>
      <c r="I197" s="674"/>
      <c r="J197" s="674"/>
      <c r="L197" s="674"/>
    </row>
    <row r="198">
      <c r="A198" s="674"/>
      <c r="B198" s="674"/>
      <c r="C198" s="674"/>
      <c r="D198" s="674"/>
      <c r="E198" s="674"/>
      <c r="F198" s="674"/>
      <c r="G198" s="674"/>
      <c r="H198" s="674"/>
      <c r="I198" s="674"/>
      <c r="J198" s="674"/>
      <c r="L198" s="674"/>
    </row>
    <row r="199">
      <c r="A199" s="674"/>
      <c r="B199" s="674"/>
      <c r="C199" s="674"/>
      <c r="D199" s="674"/>
      <c r="E199" s="674"/>
      <c r="F199" s="674"/>
      <c r="G199" s="674"/>
      <c r="H199" s="674"/>
      <c r="I199" s="674"/>
      <c r="J199" s="674"/>
      <c r="L199" s="674"/>
    </row>
    <row r="200">
      <c r="A200" s="674"/>
      <c r="B200" s="674"/>
      <c r="C200" s="674"/>
      <c r="D200" s="674"/>
      <c r="E200" s="674"/>
      <c r="F200" s="674"/>
      <c r="G200" s="674"/>
      <c r="H200" s="674"/>
      <c r="I200" s="674"/>
      <c r="J200" s="674"/>
      <c r="L200" s="674"/>
    </row>
    <row r="201">
      <c r="A201" s="674"/>
      <c r="B201" s="674"/>
      <c r="C201" s="674"/>
      <c r="D201" s="674"/>
      <c r="E201" s="674"/>
      <c r="F201" s="674"/>
      <c r="G201" s="674"/>
      <c r="H201" s="674"/>
      <c r="I201" s="674"/>
      <c r="J201" s="674"/>
      <c r="L201" s="674"/>
    </row>
    <row r="202">
      <c r="A202" s="674"/>
      <c r="B202" s="674"/>
      <c r="C202" s="674"/>
      <c r="D202" s="674"/>
      <c r="E202" s="674"/>
      <c r="F202" s="674"/>
      <c r="G202" s="674"/>
      <c r="H202" s="674"/>
      <c r="I202" s="674"/>
      <c r="J202" s="674"/>
      <c r="L202" s="674"/>
    </row>
    <row r="203">
      <c r="A203" s="674"/>
      <c r="B203" s="674"/>
      <c r="C203" s="674"/>
      <c r="D203" s="674"/>
      <c r="E203" s="674"/>
      <c r="F203" s="674"/>
      <c r="G203" s="674"/>
      <c r="H203" s="674"/>
      <c r="I203" s="674"/>
      <c r="J203" s="674"/>
      <c r="L203" s="674"/>
    </row>
    <row r="204">
      <c r="A204" s="674"/>
      <c r="B204" s="674"/>
      <c r="C204" s="674"/>
      <c r="D204" s="674"/>
      <c r="E204" s="674"/>
      <c r="F204" s="674"/>
      <c r="G204" s="674"/>
      <c r="H204" s="674"/>
      <c r="I204" s="674"/>
      <c r="J204" s="674"/>
      <c r="L204" s="674"/>
    </row>
    <row r="205">
      <c r="A205" s="674"/>
      <c r="B205" s="674"/>
      <c r="C205" s="674"/>
      <c r="D205" s="674"/>
      <c r="E205" s="674"/>
      <c r="F205" s="674"/>
      <c r="G205" s="674"/>
      <c r="H205" s="674"/>
      <c r="I205" s="674"/>
      <c r="J205" s="674"/>
      <c r="L205" s="674"/>
    </row>
    <row r="206">
      <c r="A206" s="674"/>
      <c r="B206" s="674"/>
      <c r="C206" s="674"/>
      <c r="D206" s="674"/>
      <c r="E206" s="674"/>
      <c r="F206" s="674"/>
      <c r="G206" s="674"/>
      <c r="H206" s="674"/>
      <c r="I206" s="674"/>
      <c r="J206" s="674"/>
      <c r="L206" s="674"/>
    </row>
    <row r="207">
      <c r="A207" s="674"/>
      <c r="B207" s="674"/>
      <c r="C207" s="674"/>
      <c r="D207" s="674"/>
      <c r="E207" s="674"/>
      <c r="F207" s="674"/>
      <c r="G207" s="674"/>
      <c r="H207" s="674"/>
      <c r="I207" s="674"/>
      <c r="J207" s="674"/>
      <c r="L207" s="674"/>
    </row>
    <row r="208">
      <c r="A208" s="674"/>
      <c r="B208" s="674"/>
      <c r="C208" s="674"/>
      <c r="D208" s="674"/>
      <c r="E208" s="674"/>
      <c r="F208" s="674"/>
      <c r="G208" s="674"/>
      <c r="H208" s="674"/>
      <c r="I208" s="674"/>
      <c r="J208" s="674"/>
      <c r="L208" s="674"/>
    </row>
    <row r="209">
      <c r="A209" s="674"/>
      <c r="B209" s="674"/>
      <c r="C209" s="674"/>
      <c r="D209" s="674"/>
      <c r="E209" s="674"/>
      <c r="F209" s="674"/>
      <c r="G209" s="674"/>
      <c r="H209" s="674"/>
      <c r="I209" s="674"/>
      <c r="J209" s="674"/>
      <c r="L209" s="674"/>
    </row>
    <row r="210">
      <c r="A210" s="674"/>
      <c r="B210" s="674"/>
      <c r="C210" s="674"/>
      <c r="D210" s="674"/>
      <c r="E210" s="674"/>
      <c r="F210" s="674"/>
      <c r="G210" s="674"/>
      <c r="H210" s="674"/>
      <c r="I210" s="674"/>
      <c r="J210" s="674"/>
      <c r="L210" s="674"/>
    </row>
    <row r="211">
      <c r="A211" s="674"/>
      <c r="B211" s="674"/>
      <c r="C211" s="674"/>
      <c r="D211" s="674"/>
      <c r="E211" s="674"/>
      <c r="F211" s="674"/>
      <c r="G211" s="674"/>
      <c r="H211" s="674"/>
      <c r="I211" s="674"/>
      <c r="J211" s="674"/>
      <c r="L211" s="674"/>
    </row>
    <row r="212">
      <c r="A212" s="674"/>
      <c r="B212" s="674"/>
      <c r="C212" s="674"/>
      <c r="D212" s="674"/>
      <c r="E212" s="674"/>
      <c r="F212" s="674"/>
      <c r="G212" s="674"/>
      <c r="H212" s="674"/>
      <c r="I212" s="674"/>
      <c r="J212" s="674"/>
      <c r="L212" s="674"/>
    </row>
    <row r="213">
      <c r="A213" s="674"/>
      <c r="B213" s="674"/>
      <c r="C213" s="674"/>
      <c r="D213" s="674"/>
      <c r="E213" s="674"/>
      <c r="F213" s="674"/>
      <c r="G213" s="674"/>
      <c r="H213" s="674"/>
      <c r="I213" s="674"/>
      <c r="J213" s="674"/>
      <c r="L213" s="674"/>
    </row>
    <row r="214">
      <c r="A214" s="674"/>
      <c r="B214" s="674"/>
      <c r="C214" s="674"/>
      <c r="D214" s="674"/>
      <c r="E214" s="674"/>
      <c r="F214" s="674"/>
      <c r="G214" s="674"/>
      <c r="H214" s="674"/>
      <c r="I214" s="674"/>
      <c r="J214" s="674"/>
      <c r="L214" s="674"/>
    </row>
    <row r="215">
      <c r="A215" s="674"/>
      <c r="B215" s="674"/>
      <c r="C215" s="674"/>
      <c r="D215" s="674"/>
      <c r="E215" s="674"/>
      <c r="F215" s="674"/>
      <c r="G215" s="674"/>
      <c r="H215" s="674"/>
      <c r="I215" s="674"/>
      <c r="J215" s="674"/>
      <c r="L215" s="674"/>
    </row>
    <row r="216">
      <c r="A216" s="674"/>
      <c r="B216" s="674"/>
      <c r="C216" s="674"/>
      <c r="D216" s="674"/>
      <c r="E216" s="674"/>
      <c r="F216" s="674"/>
      <c r="G216" s="674"/>
      <c r="H216" s="674"/>
      <c r="I216" s="674"/>
      <c r="J216" s="674"/>
      <c r="L216" s="674"/>
    </row>
    <row r="217">
      <c r="A217" s="674"/>
      <c r="B217" s="674"/>
      <c r="C217" s="674"/>
      <c r="D217" s="674"/>
      <c r="E217" s="674"/>
      <c r="F217" s="674"/>
      <c r="G217" s="674"/>
      <c r="H217" s="674"/>
      <c r="I217" s="674"/>
      <c r="J217" s="674"/>
      <c r="L217" s="674"/>
    </row>
    <row r="218">
      <c r="A218" s="674"/>
      <c r="B218" s="674"/>
      <c r="C218" s="674"/>
      <c r="D218" s="674"/>
      <c r="E218" s="674"/>
      <c r="F218" s="674"/>
      <c r="G218" s="674"/>
      <c r="H218" s="674"/>
      <c r="I218" s="674"/>
      <c r="J218" s="674"/>
      <c r="L218" s="674"/>
    </row>
    <row r="219">
      <c r="A219" s="674"/>
      <c r="B219" s="674"/>
      <c r="C219" s="674"/>
      <c r="D219" s="674"/>
      <c r="E219" s="674"/>
      <c r="F219" s="674"/>
      <c r="G219" s="674"/>
      <c r="H219" s="674"/>
      <c r="I219" s="674"/>
      <c r="J219" s="674"/>
      <c r="L219" s="674"/>
    </row>
    <row r="220">
      <c r="A220" s="674"/>
      <c r="B220" s="674"/>
      <c r="C220" s="674"/>
      <c r="D220" s="674"/>
      <c r="E220" s="674"/>
      <c r="F220" s="674"/>
      <c r="G220" s="674"/>
      <c r="H220" s="674"/>
      <c r="I220" s="674"/>
      <c r="J220" s="674"/>
      <c r="L220" s="674"/>
    </row>
    <row r="221">
      <c r="A221" s="674"/>
      <c r="B221" s="674"/>
      <c r="C221" s="674"/>
      <c r="D221" s="674"/>
      <c r="E221" s="674"/>
      <c r="F221" s="674"/>
      <c r="G221" s="674"/>
      <c r="H221" s="674"/>
      <c r="I221" s="674"/>
      <c r="J221" s="674"/>
      <c r="L221" s="674"/>
    </row>
    <row r="222">
      <c r="A222" s="674"/>
      <c r="B222" s="674"/>
      <c r="C222" s="674"/>
      <c r="D222" s="674"/>
      <c r="E222" s="674"/>
      <c r="F222" s="674"/>
      <c r="G222" s="674"/>
      <c r="H222" s="674"/>
      <c r="I222" s="674"/>
      <c r="J222" s="674"/>
      <c r="L222" s="674"/>
    </row>
    <row r="223">
      <c r="A223" s="674"/>
      <c r="B223" s="674"/>
      <c r="C223" s="674"/>
      <c r="D223" s="674"/>
      <c r="E223" s="674"/>
      <c r="F223" s="674"/>
      <c r="G223" s="674"/>
      <c r="H223" s="674"/>
      <c r="I223" s="674"/>
      <c r="J223" s="674"/>
      <c r="L223" s="674"/>
    </row>
    <row r="224">
      <c r="A224" s="674"/>
      <c r="B224" s="674"/>
      <c r="C224" s="674"/>
      <c r="D224" s="674"/>
      <c r="E224" s="674"/>
      <c r="F224" s="674"/>
      <c r="G224" s="674"/>
      <c r="H224" s="674"/>
      <c r="I224" s="674"/>
      <c r="J224" s="674"/>
      <c r="L224" s="674"/>
    </row>
    <row r="225">
      <c r="A225" s="674"/>
      <c r="B225" s="674"/>
      <c r="C225" s="674"/>
      <c r="D225" s="674"/>
      <c r="E225" s="674"/>
      <c r="F225" s="674"/>
      <c r="G225" s="674"/>
      <c r="H225" s="674"/>
      <c r="I225" s="674"/>
      <c r="J225" s="674"/>
      <c r="L225" s="674"/>
    </row>
    <row r="226">
      <c r="A226" s="674"/>
      <c r="B226" s="674"/>
      <c r="C226" s="674"/>
      <c r="D226" s="674"/>
      <c r="E226" s="674"/>
      <c r="F226" s="674"/>
      <c r="G226" s="674"/>
      <c r="H226" s="674"/>
      <c r="I226" s="674"/>
      <c r="J226" s="674"/>
      <c r="L226" s="674"/>
    </row>
    <row r="227">
      <c r="A227" s="674"/>
      <c r="B227" s="674"/>
      <c r="C227" s="674"/>
      <c r="D227" s="674"/>
      <c r="E227" s="674"/>
      <c r="F227" s="674"/>
      <c r="G227" s="674"/>
      <c r="H227" s="674"/>
      <c r="I227" s="674"/>
      <c r="J227" s="674"/>
      <c r="L227" s="674"/>
    </row>
    <row r="228">
      <c r="A228" s="674"/>
      <c r="B228" s="674"/>
      <c r="C228" s="674"/>
      <c r="D228" s="674"/>
      <c r="E228" s="674"/>
      <c r="F228" s="674"/>
      <c r="G228" s="674"/>
      <c r="H228" s="674"/>
      <c r="I228" s="674"/>
      <c r="J228" s="674"/>
      <c r="L228" s="674"/>
    </row>
    <row r="229">
      <c r="A229" s="674"/>
      <c r="B229" s="674"/>
      <c r="C229" s="674"/>
      <c r="D229" s="674"/>
      <c r="E229" s="674"/>
      <c r="F229" s="674"/>
      <c r="G229" s="674"/>
      <c r="H229" s="674"/>
      <c r="I229" s="674"/>
      <c r="J229" s="674"/>
      <c r="L229" s="674"/>
    </row>
    <row r="230">
      <c r="A230" s="674"/>
      <c r="B230" s="674"/>
      <c r="C230" s="674"/>
      <c r="D230" s="674"/>
      <c r="E230" s="674"/>
      <c r="F230" s="674"/>
      <c r="G230" s="674"/>
      <c r="H230" s="674"/>
      <c r="I230" s="674"/>
      <c r="J230" s="674"/>
      <c r="L230" s="674"/>
    </row>
    <row r="231">
      <c r="A231" s="674"/>
      <c r="B231" s="674"/>
      <c r="C231" s="674"/>
      <c r="D231" s="674"/>
      <c r="E231" s="674"/>
      <c r="F231" s="674"/>
      <c r="G231" s="674"/>
      <c r="H231" s="674"/>
      <c r="I231" s="674"/>
      <c r="J231" s="674"/>
      <c r="L231" s="674"/>
    </row>
    <row r="232">
      <c r="A232" s="674"/>
      <c r="B232" s="674"/>
      <c r="C232" s="674"/>
      <c r="D232" s="674"/>
      <c r="E232" s="674"/>
      <c r="F232" s="674"/>
      <c r="G232" s="674"/>
      <c r="H232" s="674"/>
      <c r="I232" s="674"/>
      <c r="J232" s="674"/>
      <c r="L232" s="674"/>
    </row>
    <row r="233">
      <c r="A233" s="674"/>
      <c r="B233" s="674"/>
      <c r="C233" s="674"/>
      <c r="D233" s="674"/>
      <c r="E233" s="674"/>
      <c r="F233" s="674"/>
      <c r="G233" s="674"/>
      <c r="H233" s="674"/>
      <c r="I233" s="674"/>
      <c r="J233" s="674"/>
      <c r="L233" s="674"/>
    </row>
    <row r="234">
      <c r="A234" s="674"/>
      <c r="B234" s="674"/>
      <c r="C234" s="674"/>
      <c r="D234" s="674"/>
      <c r="E234" s="674"/>
      <c r="F234" s="674"/>
      <c r="G234" s="674"/>
      <c r="H234" s="674"/>
      <c r="I234" s="674"/>
      <c r="J234" s="674"/>
      <c r="L234" s="674"/>
    </row>
    <row r="235">
      <c r="A235" s="674"/>
      <c r="B235" s="674"/>
      <c r="C235" s="674"/>
      <c r="D235" s="674"/>
      <c r="E235" s="674"/>
      <c r="F235" s="674"/>
      <c r="G235" s="674"/>
      <c r="H235" s="674"/>
      <c r="I235" s="674"/>
      <c r="J235" s="674"/>
      <c r="L235" s="674"/>
    </row>
    <row r="236">
      <c r="A236" s="674"/>
      <c r="B236" s="674"/>
      <c r="C236" s="674"/>
      <c r="D236" s="674"/>
      <c r="E236" s="674"/>
      <c r="F236" s="674"/>
      <c r="G236" s="674"/>
      <c r="H236" s="674"/>
      <c r="I236" s="674"/>
      <c r="J236" s="674"/>
      <c r="L236" s="674"/>
    </row>
    <row r="237">
      <c r="A237" s="674"/>
      <c r="B237" s="674"/>
      <c r="C237" s="674"/>
      <c r="D237" s="674"/>
      <c r="E237" s="674"/>
      <c r="F237" s="674"/>
      <c r="G237" s="674"/>
      <c r="H237" s="674"/>
      <c r="I237" s="674"/>
      <c r="J237" s="674"/>
      <c r="L237" s="674"/>
    </row>
    <row r="238">
      <c r="A238" s="674"/>
      <c r="B238" s="674"/>
      <c r="C238" s="674"/>
      <c r="D238" s="674"/>
      <c r="E238" s="674"/>
      <c r="F238" s="674"/>
      <c r="G238" s="674"/>
      <c r="H238" s="674"/>
      <c r="I238" s="674"/>
      <c r="J238" s="674"/>
      <c r="L238" s="674"/>
    </row>
    <row r="239">
      <c r="A239" s="674"/>
      <c r="B239" s="674"/>
      <c r="C239" s="674"/>
      <c r="D239" s="674"/>
      <c r="E239" s="674"/>
      <c r="F239" s="674"/>
      <c r="G239" s="674"/>
      <c r="H239" s="674"/>
      <c r="I239" s="674"/>
      <c r="J239" s="674"/>
      <c r="L239" s="674"/>
    </row>
    <row r="240">
      <c r="A240" s="674"/>
      <c r="B240" s="674"/>
      <c r="C240" s="674"/>
      <c r="D240" s="674"/>
      <c r="E240" s="674"/>
      <c r="F240" s="674"/>
      <c r="G240" s="674"/>
      <c r="H240" s="674"/>
      <c r="I240" s="674"/>
      <c r="J240" s="674"/>
      <c r="L240" s="674"/>
    </row>
    <row r="241">
      <c r="A241" s="674"/>
      <c r="B241" s="674"/>
      <c r="C241" s="674"/>
      <c r="D241" s="674"/>
      <c r="E241" s="674"/>
      <c r="F241" s="674"/>
      <c r="G241" s="674"/>
      <c r="H241" s="674"/>
      <c r="I241" s="674"/>
      <c r="J241" s="674"/>
      <c r="L241" s="674"/>
    </row>
    <row r="242">
      <c r="A242" s="674"/>
      <c r="B242" s="674"/>
      <c r="C242" s="674"/>
      <c r="D242" s="674"/>
      <c r="E242" s="674"/>
      <c r="F242" s="674"/>
      <c r="G242" s="674"/>
      <c r="H242" s="674"/>
      <c r="I242" s="674"/>
      <c r="J242" s="674"/>
      <c r="L242" s="674"/>
    </row>
    <row r="243">
      <c r="A243" s="674"/>
      <c r="B243" s="674"/>
      <c r="C243" s="674"/>
      <c r="D243" s="674"/>
      <c r="E243" s="674"/>
      <c r="F243" s="674"/>
      <c r="G243" s="674"/>
      <c r="H243" s="674"/>
      <c r="I243" s="674"/>
      <c r="J243" s="674"/>
      <c r="L243" s="674"/>
    </row>
    <row r="244">
      <c r="A244" s="674"/>
      <c r="B244" s="674"/>
      <c r="C244" s="674"/>
      <c r="D244" s="674"/>
      <c r="E244" s="674"/>
      <c r="F244" s="674"/>
      <c r="G244" s="674"/>
      <c r="H244" s="674"/>
      <c r="I244" s="674"/>
      <c r="J244" s="674"/>
      <c r="L244" s="674"/>
    </row>
    <row r="245">
      <c r="A245" s="674"/>
      <c r="B245" s="674"/>
      <c r="C245" s="674"/>
      <c r="D245" s="674"/>
      <c r="E245" s="674"/>
      <c r="F245" s="674"/>
      <c r="G245" s="674"/>
      <c r="H245" s="674"/>
      <c r="I245" s="674"/>
      <c r="J245" s="674"/>
      <c r="L245" s="674"/>
    </row>
    <row r="246">
      <c r="A246" s="674"/>
      <c r="B246" s="674"/>
      <c r="C246" s="674"/>
      <c r="D246" s="674"/>
      <c r="E246" s="674"/>
      <c r="F246" s="674"/>
      <c r="G246" s="674"/>
      <c r="H246" s="674"/>
      <c r="I246" s="674"/>
      <c r="J246" s="674"/>
      <c r="L246" s="674"/>
    </row>
    <row r="247">
      <c r="A247" s="674"/>
      <c r="B247" s="674"/>
      <c r="C247" s="674"/>
      <c r="D247" s="674"/>
      <c r="E247" s="674"/>
      <c r="F247" s="674"/>
      <c r="G247" s="674"/>
      <c r="H247" s="674"/>
      <c r="I247" s="674"/>
      <c r="J247" s="674"/>
      <c r="L247" s="674"/>
    </row>
    <row r="248">
      <c r="A248" s="674"/>
      <c r="B248" s="674"/>
      <c r="C248" s="674"/>
      <c r="D248" s="674"/>
      <c r="E248" s="674"/>
      <c r="F248" s="674"/>
      <c r="G248" s="674"/>
      <c r="H248" s="674"/>
      <c r="I248" s="674"/>
      <c r="J248" s="674"/>
      <c r="L248" s="674"/>
    </row>
    <row r="249">
      <c r="A249" s="674"/>
      <c r="B249" s="674"/>
      <c r="C249" s="674"/>
      <c r="D249" s="674"/>
      <c r="E249" s="674"/>
      <c r="F249" s="674"/>
      <c r="G249" s="674"/>
      <c r="H249" s="674"/>
      <c r="I249" s="674"/>
      <c r="J249" s="674"/>
      <c r="L249" s="674"/>
    </row>
    <row r="250">
      <c r="A250" s="674"/>
      <c r="B250" s="674"/>
      <c r="C250" s="674"/>
      <c r="D250" s="674"/>
      <c r="E250" s="674"/>
      <c r="F250" s="674"/>
      <c r="G250" s="674"/>
      <c r="H250" s="674"/>
      <c r="I250" s="674"/>
      <c r="J250" s="674"/>
      <c r="L250" s="674"/>
    </row>
    <row r="251">
      <c r="A251" s="674"/>
      <c r="B251" s="674"/>
      <c r="C251" s="674"/>
      <c r="D251" s="674"/>
      <c r="E251" s="674"/>
      <c r="F251" s="674"/>
      <c r="G251" s="674"/>
      <c r="H251" s="674"/>
      <c r="I251" s="674"/>
      <c r="J251" s="674"/>
      <c r="L251" s="674"/>
    </row>
    <row r="252">
      <c r="A252" s="674"/>
      <c r="B252" s="674"/>
      <c r="C252" s="674"/>
      <c r="D252" s="674"/>
      <c r="E252" s="674"/>
      <c r="F252" s="674"/>
      <c r="G252" s="674"/>
      <c r="H252" s="674"/>
      <c r="I252" s="674"/>
      <c r="J252" s="674"/>
      <c r="L252" s="674"/>
    </row>
    <row r="253">
      <c r="A253" s="674"/>
      <c r="B253" s="674"/>
      <c r="C253" s="674"/>
      <c r="D253" s="674"/>
      <c r="E253" s="674"/>
      <c r="F253" s="674"/>
      <c r="G253" s="674"/>
      <c r="H253" s="674"/>
      <c r="I253" s="674"/>
      <c r="J253" s="674"/>
      <c r="L253" s="674"/>
    </row>
    <row r="254">
      <c r="A254" s="674"/>
      <c r="B254" s="674"/>
      <c r="C254" s="674"/>
      <c r="D254" s="674"/>
      <c r="E254" s="674"/>
      <c r="F254" s="674"/>
      <c r="G254" s="674"/>
      <c r="H254" s="674"/>
      <c r="I254" s="674"/>
      <c r="J254" s="674"/>
      <c r="L254" s="674"/>
    </row>
    <row r="255">
      <c r="A255" s="674"/>
      <c r="B255" s="674"/>
      <c r="C255" s="674"/>
      <c r="D255" s="674"/>
      <c r="E255" s="674"/>
      <c r="F255" s="674"/>
      <c r="G255" s="674"/>
      <c r="H255" s="674"/>
      <c r="I255" s="674"/>
      <c r="J255" s="674"/>
      <c r="L255" s="674"/>
    </row>
    <row r="256">
      <c r="A256" s="674"/>
      <c r="B256" s="674"/>
      <c r="C256" s="674"/>
      <c r="D256" s="674"/>
      <c r="E256" s="674"/>
      <c r="F256" s="674"/>
      <c r="G256" s="674"/>
      <c r="H256" s="674"/>
      <c r="I256" s="674"/>
      <c r="J256" s="674"/>
      <c r="L256" s="674"/>
    </row>
    <row r="257">
      <c r="A257" s="674"/>
      <c r="B257" s="674"/>
      <c r="C257" s="674"/>
      <c r="D257" s="674"/>
      <c r="E257" s="674"/>
      <c r="F257" s="674"/>
      <c r="G257" s="674"/>
      <c r="H257" s="674"/>
      <c r="I257" s="674"/>
      <c r="J257" s="674"/>
      <c r="L257" s="674"/>
    </row>
    <row r="258">
      <c r="A258" s="674"/>
      <c r="B258" s="674"/>
      <c r="C258" s="674"/>
      <c r="D258" s="674"/>
      <c r="E258" s="674"/>
      <c r="F258" s="674"/>
      <c r="G258" s="674"/>
      <c r="H258" s="674"/>
      <c r="I258" s="674"/>
      <c r="J258" s="674"/>
      <c r="L258" s="674"/>
    </row>
    <row r="259">
      <c r="A259" s="674"/>
      <c r="B259" s="674"/>
      <c r="C259" s="674"/>
      <c r="D259" s="674"/>
      <c r="E259" s="674"/>
      <c r="F259" s="674"/>
      <c r="G259" s="674"/>
      <c r="H259" s="674"/>
      <c r="I259" s="674"/>
      <c r="J259" s="674"/>
      <c r="L259" s="674"/>
    </row>
    <row r="260">
      <c r="A260" s="674"/>
      <c r="B260" s="674"/>
      <c r="C260" s="674"/>
      <c r="D260" s="674"/>
      <c r="E260" s="674"/>
      <c r="F260" s="674"/>
      <c r="G260" s="674"/>
      <c r="H260" s="674"/>
      <c r="I260" s="674"/>
      <c r="J260" s="674"/>
      <c r="L260" s="674"/>
    </row>
    <row r="261">
      <c r="A261" s="674"/>
      <c r="B261" s="674"/>
      <c r="C261" s="674"/>
      <c r="D261" s="674"/>
      <c r="E261" s="674"/>
      <c r="F261" s="674"/>
      <c r="G261" s="674"/>
      <c r="H261" s="674"/>
      <c r="I261" s="674"/>
      <c r="J261" s="674"/>
      <c r="L261" s="674"/>
    </row>
    <row r="262">
      <c r="A262" s="674"/>
      <c r="B262" s="674"/>
      <c r="C262" s="674"/>
      <c r="D262" s="674"/>
      <c r="E262" s="674"/>
      <c r="F262" s="674"/>
      <c r="G262" s="674"/>
      <c r="H262" s="674"/>
      <c r="I262" s="674"/>
      <c r="J262" s="674"/>
      <c r="L262" s="674"/>
    </row>
    <row r="263">
      <c r="A263" s="674"/>
      <c r="B263" s="674"/>
      <c r="C263" s="674"/>
      <c r="D263" s="674"/>
      <c r="E263" s="674"/>
      <c r="F263" s="674"/>
      <c r="G263" s="674"/>
      <c r="H263" s="674"/>
      <c r="I263" s="674"/>
      <c r="J263" s="674"/>
      <c r="L263" s="674"/>
    </row>
    <row r="264">
      <c r="A264" s="674"/>
      <c r="B264" s="674"/>
      <c r="C264" s="674"/>
      <c r="D264" s="674"/>
      <c r="E264" s="674"/>
      <c r="F264" s="674"/>
      <c r="G264" s="674"/>
      <c r="H264" s="674"/>
      <c r="I264" s="674"/>
      <c r="J264" s="674"/>
      <c r="L264" s="674"/>
    </row>
    <row r="265">
      <c r="A265" s="674"/>
      <c r="B265" s="674"/>
      <c r="C265" s="674"/>
      <c r="D265" s="674"/>
      <c r="E265" s="674"/>
      <c r="F265" s="674"/>
      <c r="G265" s="674"/>
      <c r="H265" s="674"/>
      <c r="I265" s="674"/>
      <c r="J265" s="674"/>
      <c r="L265" s="674"/>
    </row>
    <row r="266">
      <c r="A266" s="674"/>
      <c r="B266" s="674"/>
      <c r="C266" s="674"/>
      <c r="D266" s="674"/>
      <c r="E266" s="674"/>
      <c r="F266" s="674"/>
      <c r="G266" s="674"/>
      <c r="H266" s="674"/>
      <c r="I266" s="674"/>
      <c r="J266" s="674"/>
      <c r="L266" s="674"/>
    </row>
    <row r="267">
      <c r="A267" s="674"/>
      <c r="B267" s="674"/>
      <c r="C267" s="674"/>
      <c r="D267" s="674"/>
      <c r="E267" s="674"/>
      <c r="F267" s="674"/>
      <c r="G267" s="674"/>
      <c r="H267" s="674"/>
      <c r="I267" s="674"/>
      <c r="J267" s="674"/>
      <c r="L267" s="674"/>
    </row>
    <row r="268">
      <c r="A268" s="674"/>
      <c r="B268" s="674"/>
      <c r="C268" s="674"/>
      <c r="D268" s="674"/>
      <c r="E268" s="674"/>
      <c r="F268" s="674"/>
      <c r="G268" s="674"/>
      <c r="H268" s="674"/>
      <c r="I268" s="674"/>
      <c r="J268" s="674"/>
      <c r="L268" s="674"/>
    </row>
    <row r="269">
      <c r="A269" s="674"/>
      <c r="B269" s="674"/>
      <c r="C269" s="674"/>
      <c r="D269" s="674"/>
      <c r="E269" s="674"/>
      <c r="F269" s="674"/>
      <c r="G269" s="674"/>
      <c r="H269" s="674"/>
      <c r="I269" s="674"/>
      <c r="J269" s="674"/>
      <c r="L269" s="674"/>
    </row>
    <row r="270">
      <c r="A270" s="674"/>
      <c r="B270" s="674"/>
      <c r="C270" s="674"/>
      <c r="D270" s="674"/>
      <c r="E270" s="674"/>
      <c r="F270" s="674"/>
      <c r="G270" s="674"/>
      <c r="H270" s="674"/>
      <c r="I270" s="674"/>
      <c r="J270" s="674"/>
      <c r="L270" s="674"/>
    </row>
    <row r="271">
      <c r="A271" s="674"/>
      <c r="B271" s="674"/>
      <c r="C271" s="674"/>
      <c r="D271" s="674"/>
      <c r="E271" s="674"/>
      <c r="F271" s="674"/>
      <c r="G271" s="674"/>
      <c r="H271" s="674"/>
      <c r="I271" s="674"/>
      <c r="J271" s="674"/>
      <c r="L271" s="674"/>
    </row>
    <row r="272">
      <c r="A272" s="674"/>
      <c r="B272" s="674"/>
      <c r="C272" s="674"/>
      <c r="D272" s="674"/>
      <c r="E272" s="674"/>
      <c r="F272" s="674"/>
      <c r="G272" s="674"/>
      <c r="H272" s="674"/>
      <c r="I272" s="674"/>
      <c r="J272" s="674"/>
      <c r="L272" s="674"/>
    </row>
    <row r="273">
      <c r="A273" s="674"/>
      <c r="B273" s="674"/>
      <c r="C273" s="674"/>
      <c r="D273" s="674"/>
      <c r="E273" s="674"/>
      <c r="F273" s="674"/>
      <c r="G273" s="674"/>
      <c r="H273" s="674"/>
      <c r="I273" s="674"/>
      <c r="J273" s="674"/>
      <c r="L273" s="674"/>
    </row>
    <row r="274">
      <c r="A274" s="674"/>
      <c r="B274" s="674"/>
      <c r="C274" s="674"/>
      <c r="D274" s="674"/>
      <c r="E274" s="674"/>
      <c r="F274" s="674"/>
      <c r="G274" s="674"/>
      <c r="H274" s="674"/>
      <c r="I274" s="674"/>
      <c r="J274" s="674"/>
      <c r="L274" s="674"/>
    </row>
    <row r="275">
      <c r="A275" s="674"/>
      <c r="B275" s="674"/>
      <c r="C275" s="674"/>
      <c r="D275" s="674"/>
      <c r="E275" s="674"/>
      <c r="F275" s="674"/>
      <c r="G275" s="674"/>
      <c r="H275" s="674"/>
      <c r="I275" s="674"/>
      <c r="J275" s="674"/>
      <c r="L275" s="674"/>
    </row>
    <row r="276">
      <c r="A276" s="674"/>
      <c r="B276" s="674"/>
      <c r="C276" s="674"/>
      <c r="D276" s="674"/>
      <c r="E276" s="674"/>
      <c r="F276" s="674"/>
      <c r="G276" s="674"/>
      <c r="H276" s="674"/>
      <c r="I276" s="674"/>
      <c r="J276" s="674"/>
      <c r="L276" s="674"/>
    </row>
    <row r="277">
      <c r="A277" s="674"/>
      <c r="B277" s="674"/>
      <c r="C277" s="674"/>
      <c r="D277" s="674"/>
      <c r="E277" s="674"/>
      <c r="F277" s="674"/>
      <c r="G277" s="674"/>
      <c r="H277" s="674"/>
      <c r="I277" s="674"/>
      <c r="J277" s="674"/>
      <c r="L277" s="674"/>
    </row>
    <row r="278">
      <c r="A278" s="674"/>
      <c r="B278" s="674"/>
      <c r="C278" s="674"/>
      <c r="D278" s="674"/>
      <c r="E278" s="674"/>
      <c r="F278" s="674"/>
      <c r="G278" s="674"/>
      <c r="H278" s="674"/>
      <c r="I278" s="674"/>
      <c r="J278" s="674"/>
      <c r="L278" s="674"/>
    </row>
    <row r="279">
      <c r="A279" s="674"/>
      <c r="B279" s="674"/>
      <c r="C279" s="674"/>
      <c r="D279" s="674"/>
      <c r="E279" s="674"/>
      <c r="F279" s="674"/>
      <c r="G279" s="674"/>
      <c r="H279" s="674"/>
      <c r="I279" s="674"/>
      <c r="J279" s="674"/>
      <c r="L279" s="674"/>
    </row>
    <row r="280">
      <c r="A280" s="674"/>
      <c r="B280" s="674"/>
      <c r="C280" s="674"/>
      <c r="D280" s="674"/>
      <c r="E280" s="674"/>
      <c r="F280" s="674"/>
      <c r="G280" s="674"/>
      <c r="H280" s="674"/>
      <c r="I280" s="674"/>
      <c r="J280" s="674"/>
      <c r="L280" s="674"/>
    </row>
    <row r="281">
      <c r="A281" s="674"/>
      <c r="B281" s="674"/>
      <c r="C281" s="674"/>
      <c r="D281" s="674"/>
      <c r="E281" s="674"/>
      <c r="F281" s="674"/>
      <c r="G281" s="674"/>
      <c r="H281" s="674"/>
      <c r="I281" s="674"/>
      <c r="J281" s="674"/>
      <c r="L281" s="674"/>
    </row>
    <row r="282">
      <c r="A282" s="674"/>
      <c r="B282" s="674"/>
      <c r="C282" s="674"/>
      <c r="D282" s="674"/>
      <c r="E282" s="674"/>
      <c r="F282" s="674"/>
      <c r="G282" s="674"/>
      <c r="H282" s="674"/>
      <c r="I282" s="674"/>
      <c r="J282" s="674"/>
      <c r="L282" s="674"/>
    </row>
    <row r="283">
      <c r="A283" s="674"/>
      <c r="B283" s="674"/>
      <c r="C283" s="674"/>
      <c r="D283" s="674"/>
      <c r="E283" s="674"/>
      <c r="F283" s="674"/>
      <c r="G283" s="674"/>
      <c r="H283" s="674"/>
      <c r="I283" s="674"/>
      <c r="J283" s="674"/>
      <c r="L283" s="674"/>
    </row>
    <row r="284">
      <c r="A284" s="674"/>
      <c r="B284" s="674"/>
      <c r="C284" s="674"/>
      <c r="D284" s="674"/>
      <c r="E284" s="674"/>
      <c r="F284" s="674"/>
      <c r="G284" s="674"/>
      <c r="H284" s="674"/>
      <c r="I284" s="674"/>
      <c r="J284" s="674"/>
      <c r="L284" s="674"/>
    </row>
    <row r="285">
      <c r="A285" s="674"/>
      <c r="B285" s="674"/>
      <c r="C285" s="674"/>
      <c r="D285" s="674"/>
      <c r="E285" s="674"/>
      <c r="F285" s="674"/>
      <c r="G285" s="674"/>
      <c r="H285" s="674"/>
      <c r="I285" s="674"/>
      <c r="J285" s="674"/>
      <c r="L285" s="674"/>
    </row>
    <row r="286">
      <c r="A286" s="674"/>
      <c r="B286" s="674"/>
      <c r="C286" s="674"/>
      <c r="D286" s="674"/>
      <c r="E286" s="674"/>
      <c r="F286" s="674"/>
      <c r="G286" s="674"/>
      <c r="H286" s="674"/>
      <c r="I286" s="674"/>
      <c r="J286" s="674"/>
      <c r="L286" s="674"/>
    </row>
    <row r="287">
      <c r="A287" s="674"/>
      <c r="B287" s="674"/>
      <c r="C287" s="674"/>
      <c r="D287" s="674"/>
      <c r="E287" s="674"/>
      <c r="F287" s="674"/>
      <c r="G287" s="674"/>
      <c r="H287" s="674"/>
      <c r="I287" s="674"/>
      <c r="J287" s="674"/>
      <c r="L287" s="674"/>
    </row>
    <row r="288">
      <c r="A288" s="674"/>
      <c r="B288" s="674"/>
      <c r="C288" s="674"/>
      <c r="D288" s="674"/>
      <c r="E288" s="674"/>
      <c r="F288" s="674"/>
      <c r="G288" s="674"/>
      <c r="H288" s="674"/>
      <c r="I288" s="674"/>
      <c r="J288" s="674"/>
      <c r="L288" s="674"/>
    </row>
    <row r="289">
      <c r="A289" s="674"/>
      <c r="B289" s="674"/>
      <c r="C289" s="674"/>
      <c r="D289" s="674"/>
      <c r="E289" s="674"/>
      <c r="F289" s="674"/>
      <c r="G289" s="674"/>
      <c r="H289" s="674"/>
      <c r="I289" s="674"/>
      <c r="J289" s="674"/>
      <c r="L289" s="674"/>
    </row>
    <row r="290">
      <c r="A290" s="674"/>
      <c r="B290" s="674"/>
      <c r="C290" s="674"/>
      <c r="D290" s="674"/>
      <c r="E290" s="674"/>
      <c r="F290" s="674"/>
      <c r="G290" s="674"/>
      <c r="H290" s="674"/>
      <c r="I290" s="674"/>
      <c r="J290" s="674"/>
      <c r="L290" s="674"/>
    </row>
    <row r="291">
      <c r="A291" s="674"/>
      <c r="B291" s="674"/>
      <c r="C291" s="674"/>
      <c r="D291" s="674"/>
      <c r="E291" s="674"/>
      <c r="F291" s="674"/>
      <c r="G291" s="674"/>
      <c r="H291" s="674"/>
      <c r="I291" s="674"/>
      <c r="J291" s="674"/>
      <c r="L291" s="674"/>
    </row>
    <row r="292">
      <c r="A292" s="674"/>
      <c r="B292" s="674"/>
      <c r="C292" s="674"/>
      <c r="D292" s="674"/>
      <c r="E292" s="674"/>
      <c r="F292" s="674"/>
      <c r="G292" s="674"/>
      <c r="H292" s="674"/>
      <c r="I292" s="674"/>
      <c r="J292" s="674"/>
      <c r="L292" s="674"/>
    </row>
    <row r="293">
      <c r="A293" s="674"/>
      <c r="B293" s="674"/>
      <c r="C293" s="674"/>
      <c r="D293" s="674"/>
      <c r="E293" s="674"/>
      <c r="F293" s="674"/>
      <c r="G293" s="674"/>
      <c r="H293" s="674"/>
      <c r="I293" s="674"/>
      <c r="J293" s="674"/>
      <c r="L293" s="674"/>
    </row>
    <row r="294">
      <c r="A294" s="674"/>
      <c r="B294" s="674"/>
      <c r="C294" s="674"/>
      <c r="D294" s="674"/>
      <c r="E294" s="674"/>
      <c r="F294" s="674"/>
      <c r="G294" s="674"/>
      <c r="H294" s="674"/>
      <c r="I294" s="674"/>
      <c r="J294" s="674"/>
      <c r="L294" s="674"/>
    </row>
    <row r="295">
      <c r="A295" s="674"/>
      <c r="B295" s="674"/>
      <c r="C295" s="674"/>
      <c r="D295" s="674"/>
      <c r="E295" s="674"/>
      <c r="F295" s="674"/>
      <c r="G295" s="674"/>
      <c r="H295" s="674"/>
      <c r="I295" s="674"/>
      <c r="J295" s="674"/>
      <c r="L295" s="674"/>
    </row>
    <row r="296">
      <c r="A296" s="674"/>
      <c r="B296" s="674"/>
      <c r="C296" s="674"/>
      <c r="D296" s="674"/>
      <c r="E296" s="674"/>
      <c r="F296" s="674"/>
      <c r="G296" s="674"/>
      <c r="H296" s="674"/>
      <c r="I296" s="674"/>
      <c r="J296" s="674"/>
      <c r="L296" s="674"/>
    </row>
    <row r="297">
      <c r="A297" s="674"/>
      <c r="B297" s="674"/>
      <c r="C297" s="674"/>
      <c r="D297" s="674"/>
      <c r="E297" s="674"/>
      <c r="F297" s="674"/>
      <c r="G297" s="674"/>
      <c r="H297" s="674"/>
      <c r="I297" s="674"/>
      <c r="J297" s="674"/>
      <c r="L297" s="674"/>
    </row>
    <row r="298">
      <c r="A298" s="674"/>
      <c r="B298" s="674"/>
      <c r="C298" s="674"/>
      <c r="D298" s="674"/>
      <c r="E298" s="674"/>
      <c r="F298" s="674"/>
      <c r="G298" s="674"/>
      <c r="H298" s="674"/>
      <c r="I298" s="674"/>
      <c r="J298" s="674"/>
      <c r="L298" s="674"/>
    </row>
    <row r="299">
      <c r="A299" s="674"/>
      <c r="B299" s="674"/>
      <c r="C299" s="674"/>
      <c r="D299" s="674"/>
      <c r="E299" s="674"/>
      <c r="F299" s="674"/>
      <c r="G299" s="674"/>
      <c r="H299" s="674"/>
      <c r="I299" s="674"/>
      <c r="J299" s="674"/>
      <c r="L299" s="674"/>
    </row>
    <row r="300">
      <c r="A300" s="674"/>
      <c r="B300" s="674"/>
      <c r="C300" s="674"/>
      <c r="D300" s="674"/>
      <c r="E300" s="674"/>
      <c r="F300" s="674"/>
      <c r="G300" s="674"/>
      <c r="H300" s="674"/>
      <c r="I300" s="674"/>
      <c r="J300" s="674"/>
      <c r="L300" s="674"/>
    </row>
    <row r="301">
      <c r="A301" s="674"/>
      <c r="B301" s="674"/>
      <c r="C301" s="674"/>
      <c r="D301" s="674"/>
      <c r="E301" s="674"/>
      <c r="F301" s="674"/>
      <c r="G301" s="674"/>
      <c r="H301" s="674"/>
      <c r="I301" s="674"/>
      <c r="J301" s="674"/>
      <c r="L301" s="674"/>
    </row>
    <row r="302">
      <c r="A302" s="674"/>
      <c r="B302" s="674"/>
      <c r="C302" s="674"/>
      <c r="D302" s="674"/>
      <c r="E302" s="674"/>
      <c r="F302" s="674"/>
      <c r="G302" s="674"/>
      <c r="H302" s="674"/>
      <c r="I302" s="674"/>
      <c r="J302" s="674"/>
      <c r="L302" s="674"/>
    </row>
    <row r="303">
      <c r="A303" s="674"/>
      <c r="B303" s="674"/>
      <c r="C303" s="674"/>
      <c r="D303" s="674"/>
      <c r="E303" s="674"/>
      <c r="F303" s="674"/>
      <c r="G303" s="674"/>
      <c r="H303" s="674"/>
      <c r="I303" s="674"/>
      <c r="J303" s="674"/>
      <c r="L303" s="674"/>
    </row>
    <row r="304">
      <c r="A304" s="674"/>
      <c r="B304" s="674"/>
      <c r="C304" s="674"/>
      <c r="D304" s="674"/>
      <c r="E304" s="674"/>
      <c r="F304" s="674"/>
      <c r="G304" s="674"/>
      <c r="H304" s="674"/>
      <c r="I304" s="674"/>
      <c r="J304" s="674"/>
      <c r="L304" s="674"/>
    </row>
    <row r="305">
      <c r="A305" s="674"/>
      <c r="B305" s="674"/>
      <c r="C305" s="674"/>
      <c r="D305" s="674"/>
      <c r="E305" s="674"/>
      <c r="F305" s="674"/>
      <c r="G305" s="674"/>
      <c r="H305" s="674"/>
      <c r="I305" s="674"/>
      <c r="J305" s="674"/>
      <c r="L305" s="674"/>
    </row>
    <row r="306">
      <c r="A306" s="674"/>
      <c r="B306" s="674"/>
      <c r="C306" s="674"/>
      <c r="D306" s="674"/>
      <c r="E306" s="674"/>
      <c r="F306" s="674"/>
      <c r="G306" s="674"/>
      <c r="H306" s="674"/>
      <c r="I306" s="674"/>
      <c r="J306" s="674"/>
      <c r="L306" s="674"/>
    </row>
    <row r="307">
      <c r="A307" s="674"/>
      <c r="B307" s="674"/>
      <c r="C307" s="674"/>
      <c r="D307" s="674"/>
      <c r="E307" s="674"/>
      <c r="F307" s="674"/>
      <c r="G307" s="674"/>
      <c r="H307" s="674"/>
      <c r="I307" s="674"/>
      <c r="J307" s="674"/>
      <c r="L307" s="674"/>
    </row>
    <row r="308">
      <c r="A308" s="674"/>
      <c r="B308" s="674"/>
      <c r="C308" s="674"/>
      <c r="D308" s="674"/>
      <c r="E308" s="674"/>
      <c r="F308" s="674"/>
      <c r="G308" s="674"/>
      <c r="H308" s="674"/>
      <c r="I308" s="674"/>
      <c r="J308" s="674"/>
      <c r="L308" s="674"/>
    </row>
    <row r="309">
      <c r="A309" s="674"/>
      <c r="B309" s="674"/>
      <c r="C309" s="674"/>
      <c r="D309" s="674"/>
      <c r="E309" s="674"/>
      <c r="F309" s="674"/>
      <c r="G309" s="674"/>
      <c r="H309" s="674"/>
      <c r="I309" s="674"/>
      <c r="J309" s="674"/>
      <c r="L309" s="674"/>
    </row>
    <row r="310">
      <c r="A310" s="674"/>
      <c r="B310" s="674"/>
      <c r="C310" s="674"/>
      <c r="D310" s="674"/>
      <c r="E310" s="674"/>
      <c r="F310" s="674"/>
      <c r="G310" s="674"/>
      <c r="H310" s="674"/>
      <c r="I310" s="674"/>
      <c r="J310" s="674"/>
      <c r="L310" s="674"/>
    </row>
    <row r="311">
      <c r="A311" s="674"/>
      <c r="B311" s="674"/>
      <c r="C311" s="674"/>
      <c r="D311" s="674"/>
      <c r="E311" s="674"/>
      <c r="F311" s="674"/>
      <c r="G311" s="674"/>
      <c r="H311" s="674"/>
      <c r="I311" s="674"/>
      <c r="J311" s="674"/>
      <c r="L311" s="674"/>
    </row>
    <row r="312">
      <c r="A312" s="674"/>
      <c r="B312" s="674"/>
      <c r="C312" s="674"/>
      <c r="D312" s="674"/>
      <c r="E312" s="674"/>
      <c r="F312" s="674"/>
      <c r="G312" s="674"/>
      <c r="H312" s="674"/>
      <c r="I312" s="674"/>
      <c r="J312" s="674"/>
      <c r="L312" s="674"/>
    </row>
    <row r="313">
      <c r="A313" s="674"/>
      <c r="B313" s="674"/>
      <c r="C313" s="674"/>
      <c r="D313" s="674"/>
      <c r="E313" s="674"/>
      <c r="F313" s="674"/>
      <c r="G313" s="674"/>
      <c r="H313" s="674"/>
      <c r="I313" s="674"/>
      <c r="J313" s="674"/>
      <c r="L313" s="674"/>
    </row>
    <row r="314">
      <c r="A314" s="674"/>
      <c r="B314" s="674"/>
      <c r="C314" s="674"/>
      <c r="D314" s="674"/>
      <c r="E314" s="674"/>
      <c r="F314" s="674"/>
      <c r="G314" s="674"/>
      <c r="H314" s="674"/>
      <c r="I314" s="674"/>
      <c r="J314" s="674"/>
      <c r="L314" s="674"/>
    </row>
    <row r="315">
      <c r="A315" s="674"/>
      <c r="B315" s="674"/>
      <c r="C315" s="674"/>
      <c r="D315" s="674"/>
      <c r="E315" s="674"/>
      <c r="F315" s="674"/>
      <c r="G315" s="674"/>
      <c r="H315" s="674"/>
      <c r="I315" s="674"/>
      <c r="J315" s="674"/>
      <c r="L315" s="674"/>
    </row>
    <row r="316">
      <c r="A316" s="674"/>
      <c r="B316" s="674"/>
      <c r="C316" s="674"/>
      <c r="D316" s="674"/>
      <c r="E316" s="674"/>
      <c r="F316" s="674"/>
      <c r="G316" s="674"/>
      <c r="H316" s="674"/>
      <c r="I316" s="674"/>
      <c r="J316" s="674"/>
      <c r="L316" s="674"/>
    </row>
    <row r="317">
      <c r="A317" s="674"/>
      <c r="B317" s="674"/>
      <c r="C317" s="674"/>
      <c r="D317" s="674"/>
      <c r="E317" s="674"/>
      <c r="F317" s="674"/>
      <c r="G317" s="674"/>
      <c r="H317" s="674"/>
      <c r="I317" s="674"/>
      <c r="J317" s="674"/>
      <c r="L317" s="674"/>
    </row>
    <row r="318">
      <c r="A318" s="674"/>
      <c r="B318" s="674"/>
      <c r="C318" s="674"/>
      <c r="D318" s="674"/>
      <c r="E318" s="674"/>
      <c r="F318" s="674"/>
      <c r="G318" s="674"/>
      <c r="H318" s="674"/>
      <c r="I318" s="674"/>
      <c r="J318" s="674"/>
      <c r="L318" s="674"/>
    </row>
    <row r="319">
      <c r="A319" s="674"/>
      <c r="B319" s="674"/>
      <c r="C319" s="674"/>
      <c r="D319" s="674"/>
      <c r="E319" s="674"/>
      <c r="F319" s="674"/>
      <c r="G319" s="674"/>
      <c r="H319" s="674"/>
      <c r="I319" s="674"/>
      <c r="J319" s="674"/>
      <c r="L319" s="674"/>
    </row>
    <row r="320">
      <c r="A320" s="674"/>
      <c r="B320" s="674"/>
      <c r="C320" s="674"/>
      <c r="D320" s="674"/>
      <c r="E320" s="674"/>
      <c r="F320" s="674"/>
      <c r="G320" s="674"/>
      <c r="H320" s="674"/>
      <c r="I320" s="674"/>
      <c r="J320" s="674"/>
      <c r="L320" s="674"/>
    </row>
    <row r="321">
      <c r="A321" s="674"/>
      <c r="B321" s="674"/>
      <c r="C321" s="674"/>
      <c r="D321" s="674"/>
      <c r="E321" s="674"/>
      <c r="F321" s="674"/>
      <c r="G321" s="674"/>
      <c r="H321" s="674"/>
      <c r="I321" s="674"/>
      <c r="J321" s="674"/>
      <c r="L321" s="674"/>
    </row>
    <row r="322">
      <c r="A322" s="674"/>
      <c r="B322" s="674"/>
      <c r="C322" s="674"/>
      <c r="D322" s="674"/>
      <c r="E322" s="674"/>
      <c r="F322" s="674"/>
      <c r="G322" s="674"/>
      <c r="H322" s="674"/>
      <c r="I322" s="674"/>
      <c r="J322" s="674"/>
      <c r="L322" s="674"/>
    </row>
    <row r="323">
      <c r="A323" s="674"/>
      <c r="B323" s="674"/>
      <c r="C323" s="674"/>
      <c r="D323" s="674"/>
      <c r="E323" s="674"/>
      <c r="F323" s="674"/>
      <c r="G323" s="674"/>
      <c r="H323" s="674"/>
      <c r="I323" s="674"/>
      <c r="J323" s="674"/>
      <c r="L323" s="674"/>
    </row>
    <row r="324">
      <c r="A324" s="674"/>
      <c r="B324" s="674"/>
      <c r="C324" s="674"/>
      <c r="D324" s="674"/>
      <c r="E324" s="674"/>
      <c r="F324" s="674"/>
      <c r="G324" s="674"/>
      <c r="H324" s="674"/>
      <c r="I324" s="674"/>
      <c r="J324" s="674"/>
      <c r="L324" s="674"/>
    </row>
    <row r="325">
      <c r="A325" s="674"/>
      <c r="B325" s="674"/>
      <c r="C325" s="674"/>
      <c r="D325" s="674"/>
      <c r="E325" s="674"/>
      <c r="F325" s="674"/>
      <c r="G325" s="674"/>
      <c r="H325" s="674"/>
      <c r="I325" s="674"/>
      <c r="J325" s="674"/>
      <c r="L325" s="674"/>
    </row>
    <row r="326">
      <c r="A326" s="674"/>
      <c r="B326" s="674"/>
      <c r="C326" s="674"/>
      <c r="D326" s="674"/>
      <c r="E326" s="674"/>
      <c r="F326" s="674"/>
      <c r="G326" s="674"/>
      <c r="H326" s="674"/>
      <c r="I326" s="674"/>
      <c r="J326" s="674"/>
      <c r="L326" s="674"/>
    </row>
    <row r="327">
      <c r="A327" s="674"/>
      <c r="B327" s="674"/>
      <c r="C327" s="674"/>
      <c r="D327" s="674"/>
      <c r="E327" s="674"/>
      <c r="F327" s="674"/>
      <c r="G327" s="674"/>
      <c r="H327" s="674"/>
      <c r="I327" s="674"/>
      <c r="J327" s="674"/>
      <c r="L327" s="674"/>
    </row>
    <row r="328">
      <c r="A328" s="674"/>
      <c r="B328" s="674"/>
      <c r="C328" s="674"/>
      <c r="D328" s="674"/>
      <c r="E328" s="674"/>
      <c r="F328" s="674"/>
      <c r="G328" s="674"/>
      <c r="H328" s="674"/>
      <c r="I328" s="674"/>
      <c r="J328" s="674"/>
      <c r="L328" s="674"/>
    </row>
    <row r="329">
      <c r="A329" s="674"/>
      <c r="B329" s="674"/>
      <c r="C329" s="674"/>
      <c r="D329" s="674"/>
      <c r="E329" s="674"/>
      <c r="F329" s="674"/>
      <c r="G329" s="674"/>
      <c r="H329" s="674"/>
      <c r="I329" s="674"/>
      <c r="J329" s="674"/>
      <c r="L329" s="674"/>
    </row>
    <row r="330">
      <c r="A330" s="674"/>
      <c r="B330" s="674"/>
      <c r="C330" s="674"/>
      <c r="D330" s="674"/>
      <c r="E330" s="674"/>
      <c r="F330" s="674"/>
      <c r="G330" s="674"/>
      <c r="H330" s="674"/>
      <c r="I330" s="674"/>
      <c r="J330" s="674"/>
      <c r="L330" s="674"/>
    </row>
    <row r="331">
      <c r="A331" s="674"/>
      <c r="B331" s="674"/>
      <c r="C331" s="674"/>
      <c r="D331" s="674"/>
      <c r="E331" s="674"/>
      <c r="F331" s="674"/>
      <c r="G331" s="674"/>
      <c r="H331" s="674"/>
      <c r="I331" s="674"/>
      <c r="J331" s="674"/>
      <c r="L331" s="674"/>
    </row>
    <row r="332">
      <c r="A332" s="674"/>
      <c r="B332" s="674"/>
      <c r="C332" s="674"/>
      <c r="D332" s="674"/>
      <c r="E332" s="674"/>
      <c r="F332" s="674"/>
      <c r="G332" s="674"/>
      <c r="H332" s="674"/>
      <c r="I332" s="674"/>
      <c r="J332" s="674"/>
      <c r="L332" s="674"/>
    </row>
    <row r="333">
      <c r="A333" s="674"/>
      <c r="B333" s="674"/>
      <c r="C333" s="674"/>
      <c r="D333" s="674"/>
      <c r="E333" s="674"/>
      <c r="F333" s="674"/>
      <c r="G333" s="674"/>
      <c r="H333" s="674"/>
      <c r="I333" s="674"/>
      <c r="J333" s="674"/>
      <c r="L333" s="674"/>
    </row>
    <row r="334">
      <c r="A334" s="674"/>
      <c r="B334" s="674"/>
      <c r="C334" s="674"/>
      <c r="D334" s="674"/>
      <c r="E334" s="674"/>
      <c r="F334" s="674"/>
      <c r="G334" s="674"/>
      <c r="H334" s="674"/>
      <c r="I334" s="674"/>
      <c r="J334" s="674"/>
      <c r="L334" s="674"/>
    </row>
    <row r="335">
      <c r="A335" s="674"/>
      <c r="B335" s="674"/>
      <c r="C335" s="674"/>
      <c r="D335" s="674"/>
      <c r="E335" s="674"/>
      <c r="F335" s="674"/>
      <c r="G335" s="674"/>
      <c r="H335" s="674"/>
      <c r="I335" s="674"/>
      <c r="J335" s="674"/>
      <c r="L335" s="674"/>
    </row>
    <row r="336">
      <c r="A336" s="674"/>
      <c r="B336" s="674"/>
      <c r="C336" s="674"/>
      <c r="D336" s="674"/>
      <c r="E336" s="674"/>
      <c r="F336" s="674"/>
      <c r="G336" s="674"/>
      <c r="H336" s="674"/>
      <c r="I336" s="674"/>
      <c r="J336" s="674"/>
      <c r="L336" s="674"/>
    </row>
    <row r="337">
      <c r="A337" s="674"/>
      <c r="B337" s="674"/>
      <c r="C337" s="674"/>
      <c r="D337" s="674"/>
      <c r="E337" s="674"/>
      <c r="F337" s="674"/>
      <c r="G337" s="674"/>
      <c r="H337" s="674"/>
      <c r="I337" s="674"/>
      <c r="J337" s="674"/>
      <c r="L337" s="674"/>
    </row>
    <row r="338">
      <c r="A338" s="674"/>
      <c r="B338" s="674"/>
      <c r="C338" s="674"/>
      <c r="D338" s="674"/>
      <c r="E338" s="674"/>
      <c r="F338" s="674"/>
      <c r="G338" s="674"/>
      <c r="H338" s="674"/>
      <c r="I338" s="674"/>
      <c r="J338" s="674"/>
      <c r="L338" s="674"/>
    </row>
    <row r="339">
      <c r="A339" s="674"/>
      <c r="B339" s="674"/>
      <c r="C339" s="674"/>
      <c r="D339" s="674"/>
      <c r="E339" s="674"/>
      <c r="F339" s="674"/>
      <c r="G339" s="674"/>
      <c r="H339" s="674"/>
      <c r="I339" s="674"/>
      <c r="J339" s="674"/>
      <c r="L339" s="674"/>
    </row>
    <row r="340">
      <c r="A340" s="674"/>
      <c r="B340" s="674"/>
      <c r="C340" s="674"/>
      <c r="D340" s="674"/>
      <c r="E340" s="674"/>
      <c r="F340" s="674"/>
      <c r="G340" s="674"/>
      <c r="H340" s="674"/>
      <c r="I340" s="674"/>
      <c r="J340" s="674"/>
      <c r="L340" s="674"/>
    </row>
    <row r="341">
      <c r="A341" s="674"/>
      <c r="B341" s="674"/>
      <c r="C341" s="674"/>
      <c r="D341" s="674"/>
      <c r="E341" s="674"/>
      <c r="F341" s="674"/>
      <c r="G341" s="674"/>
      <c r="H341" s="674"/>
      <c r="I341" s="674"/>
      <c r="J341" s="674"/>
      <c r="L341" s="674"/>
    </row>
    <row r="342">
      <c r="A342" s="674"/>
      <c r="B342" s="674"/>
      <c r="C342" s="674"/>
      <c r="D342" s="674"/>
      <c r="E342" s="674"/>
      <c r="F342" s="674"/>
      <c r="G342" s="674"/>
      <c r="H342" s="674"/>
      <c r="I342" s="674"/>
      <c r="J342" s="674"/>
      <c r="L342" s="674"/>
    </row>
    <row r="343">
      <c r="A343" s="674"/>
      <c r="B343" s="674"/>
      <c r="C343" s="674"/>
      <c r="D343" s="674"/>
      <c r="E343" s="674"/>
      <c r="F343" s="674"/>
      <c r="G343" s="674"/>
      <c r="H343" s="674"/>
      <c r="I343" s="674"/>
      <c r="J343" s="674"/>
      <c r="L343" s="674"/>
    </row>
    <row r="344">
      <c r="A344" s="674"/>
      <c r="B344" s="674"/>
      <c r="C344" s="674"/>
      <c r="D344" s="674"/>
      <c r="E344" s="674"/>
      <c r="F344" s="674"/>
      <c r="G344" s="674"/>
      <c r="H344" s="674"/>
      <c r="I344" s="674"/>
      <c r="J344" s="674"/>
      <c r="L344" s="674"/>
    </row>
    <row r="345">
      <c r="A345" s="674"/>
      <c r="B345" s="674"/>
      <c r="C345" s="674"/>
      <c r="D345" s="674"/>
      <c r="E345" s="674"/>
      <c r="F345" s="674"/>
      <c r="G345" s="674"/>
      <c r="H345" s="674"/>
      <c r="I345" s="674"/>
      <c r="J345" s="674"/>
      <c r="L345" s="674"/>
    </row>
    <row r="346">
      <c r="A346" s="674"/>
      <c r="B346" s="674"/>
      <c r="C346" s="674"/>
      <c r="D346" s="674"/>
      <c r="E346" s="674"/>
      <c r="F346" s="674"/>
      <c r="G346" s="674"/>
      <c r="H346" s="674"/>
      <c r="I346" s="674"/>
      <c r="J346" s="674"/>
      <c r="L346" s="674"/>
    </row>
    <row r="347">
      <c r="A347" s="674"/>
      <c r="B347" s="674"/>
      <c r="C347" s="674"/>
      <c r="D347" s="674"/>
      <c r="E347" s="674"/>
      <c r="F347" s="674"/>
      <c r="G347" s="674"/>
      <c r="H347" s="674"/>
      <c r="I347" s="674"/>
      <c r="J347" s="674"/>
      <c r="L347" s="674"/>
    </row>
    <row r="348">
      <c r="A348" s="674"/>
      <c r="B348" s="674"/>
      <c r="C348" s="674"/>
      <c r="D348" s="674"/>
      <c r="E348" s="674"/>
      <c r="F348" s="674"/>
      <c r="G348" s="674"/>
      <c r="H348" s="674"/>
      <c r="I348" s="674"/>
      <c r="J348" s="674"/>
      <c r="L348" s="674"/>
    </row>
    <row r="349">
      <c r="A349" s="674"/>
      <c r="B349" s="674"/>
      <c r="C349" s="674"/>
      <c r="D349" s="674"/>
      <c r="E349" s="674"/>
      <c r="F349" s="674"/>
      <c r="G349" s="674"/>
      <c r="H349" s="674"/>
      <c r="I349" s="674"/>
      <c r="J349" s="674"/>
      <c r="L349" s="674"/>
    </row>
    <row r="350">
      <c r="A350" s="674"/>
      <c r="B350" s="674"/>
      <c r="C350" s="674"/>
      <c r="D350" s="674"/>
      <c r="E350" s="674"/>
      <c r="F350" s="674"/>
      <c r="G350" s="674"/>
      <c r="H350" s="674"/>
      <c r="I350" s="674"/>
      <c r="J350" s="674"/>
      <c r="L350" s="674"/>
    </row>
    <row r="351">
      <c r="A351" s="674"/>
      <c r="B351" s="674"/>
      <c r="C351" s="674"/>
      <c r="D351" s="674"/>
      <c r="E351" s="674"/>
      <c r="F351" s="674"/>
      <c r="G351" s="674"/>
      <c r="H351" s="674"/>
      <c r="I351" s="674"/>
      <c r="J351" s="674"/>
      <c r="L351" s="674"/>
    </row>
    <row r="352">
      <c r="A352" s="674"/>
      <c r="B352" s="674"/>
      <c r="C352" s="674"/>
      <c r="D352" s="674"/>
      <c r="E352" s="674"/>
      <c r="F352" s="674"/>
      <c r="G352" s="674"/>
      <c r="H352" s="674"/>
      <c r="I352" s="674"/>
      <c r="J352" s="674"/>
      <c r="L352" s="674"/>
    </row>
    <row r="353">
      <c r="A353" s="674"/>
      <c r="B353" s="674"/>
      <c r="C353" s="674"/>
      <c r="D353" s="674"/>
      <c r="E353" s="674"/>
      <c r="F353" s="674"/>
      <c r="G353" s="674"/>
      <c r="H353" s="674"/>
      <c r="I353" s="674"/>
      <c r="J353" s="674"/>
      <c r="L353" s="674"/>
    </row>
    <row r="354">
      <c r="A354" s="674"/>
      <c r="B354" s="674"/>
      <c r="C354" s="674"/>
      <c r="D354" s="674"/>
      <c r="E354" s="674"/>
      <c r="F354" s="674"/>
      <c r="G354" s="674"/>
      <c r="H354" s="674"/>
      <c r="I354" s="674"/>
      <c r="J354" s="674"/>
      <c r="L354" s="674"/>
    </row>
    <row r="355">
      <c r="A355" s="674"/>
      <c r="B355" s="674"/>
      <c r="C355" s="674"/>
      <c r="D355" s="674"/>
      <c r="E355" s="674"/>
      <c r="F355" s="674"/>
      <c r="G355" s="674"/>
      <c r="H355" s="674"/>
      <c r="I355" s="674"/>
      <c r="J355" s="674"/>
      <c r="L355" s="674"/>
    </row>
    <row r="356">
      <c r="A356" s="674"/>
      <c r="B356" s="674"/>
      <c r="C356" s="674"/>
      <c r="D356" s="674"/>
      <c r="E356" s="674"/>
      <c r="F356" s="674"/>
      <c r="G356" s="674"/>
      <c r="H356" s="674"/>
      <c r="I356" s="674"/>
      <c r="J356" s="674"/>
      <c r="L356" s="674"/>
    </row>
    <row r="357">
      <c r="A357" s="674"/>
      <c r="B357" s="674"/>
      <c r="C357" s="674"/>
      <c r="D357" s="674"/>
      <c r="E357" s="674"/>
      <c r="F357" s="674"/>
      <c r="G357" s="674"/>
      <c r="H357" s="674"/>
      <c r="I357" s="674"/>
      <c r="J357" s="674"/>
      <c r="L357" s="674"/>
    </row>
    <row r="358">
      <c r="A358" s="674"/>
      <c r="B358" s="674"/>
      <c r="C358" s="674"/>
      <c r="D358" s="674"/>
      <c r="E358" s="674"/>
      <c r="F358" s="674"/>
      <c r="G358" s="674"/>
      <c r="H358" s="674"/>
      <c r="I358" s="674"/>
      <c r="J358" s="674"/>
      <c r="L358" s="674"/>
    </row>
    <row r="359">
      <c r="A359" s="674"/>
      <c r="B359" s="674"/>
      <c r="C359" s="674"/>
      <c r="D359" s="674"/>
      <c r="E359" s="674"/>
      <c r="F359" s="674"/>
      <c r="G359" s="674"/>
      <c r="H359" s="674"/>
      <c r="I359" s="674"/>
      <c r="J359" s="674"/>
      <c r="L359" s="674"/>
    </row>
    <row r="360">
      <c r="A360" s="674"/>
      <c r="B360" s="674"/>
      <c r="C360" s="674"/>
      <c r="D360" s="674"/>
      <c r="E360" s="674"/>
      <c r="F360" s="674"/>
      <c r="G360" s="674"/>
      <c r="H360" s="674"/>
      <c r="I360" s="674"/>
      <c r="J360" s="674"/>
      <c r="L360" s="674"/>
    </row>
    <row r="361">
      <c r="A361" s="674"/>
      <c r="B361" s="674"/>
      <c r="C361" s="674"/>
      <c r="D361" s="674"/>
      <c r="E361" s="674"/>
      <c r="F361" s="674"/>
      <c r="G361" s="674"/>
      <c r="H361" s="674"/>
      <c r="I361" s="674"/>
      <c r="J361" s="674"/>
      <c r="L361" s="674"/>
    </row>
    <row r="362">
      <c r="A362" s="674"/>
      <c r="B362" s="674"/>
      <c r="C362" s="674"/>
      <c r="D362" s="674"/>
      <c r="E362" s="674"/>
      <c r="F362" s="674"/>
      <c r="G362" s="674"/>
      <c r="H362" s="674"/>
      <c r="I362" s="674"/>
      <c r="J362" s="674"/>
      <c r="L362" s="674"/>
    </row>
    <row r="363">
      <c r="A363" s="674"/>
      <c r="B363" s="674"/>
      <c r="C363" s="674"/>
      <c r="D363" s="674"/>
      <c r="E363" s="674"/>
      <c r="F363" s="674"/>
      <c r="G363" s="674"/>
      <c r="H363" s="674"/>
      <c r="I363" s="674"/>
      <c r="J363" s="674"/>
      <c r="L363" s="674"/>
    </row>
    <row r="364">
      <c r="A364" s="674"/>
      <c r="B364" s="674"/>
      <c r="C364" s="674"/>
      <c r="D364" s="674"/>
      <c r="E364" s="674"/>
      <c r="F364" s="674"/>
      <c r="G364" s="674"/>
      <c r="H364" s="674"/>
      <c r="I364" s="674"/>
      <c r="J364" s="674"/>
      <c r="L364" s="674"/>
    </row>
    <row r="365">
      <c r="A365" s="674"/>
      <c r="B365" s="674"/>
      <c r="C365" s="674"/>
      <c r="D365" s="674"/>
      <c r="E365" s="674"/>
      <c r="F365" s="674"/>
      <c r="G365" s="674"/>
      <c r="H365" s="674"/>
      <c r="I365" s="674"/>
      <c r="J365" s="674"/>
      <c r="L365" s="674"/>
    </row>
    <row r="366">
      <c r="A366" s="674"/>
      <c r="B366" s="674"/>
      <c r="C366" s="674"/>
      <c r="D366" s="674"/>
      <c r="E366" s="674"/>
      <c r="F366" s="674"/>
      <c r="G366" s="674"/>
      <c r="H366" s="674"/>
      <c r="I366" s="674"/>
      <c r="J366" s="674"/>
      <c r="L366" s="674"/>
    </row>
    <row r="367">
      <c r="A367" s="674"/>
      <c r="B367" s="674"/>
      <c r="C367" s="674"/>
      <c r="D367" s="674"/>
      <c r="E367" s="674"/>
      <c r="F367" s="674"/>
      <c r="G367" s="674"/>
      <c r="H367" s="674"/>
      <c r="I367" s="674"/>
      <c r="J367" s="674"/>
      <c r="L367" s="674"/>
    </row>
    <row r="368">
      <c r="A368" s="674"/>
      <c r="B368" s="674"/>
      <c r="C368" s="674"/>
      <c r="D368" s="674"/>
      <c r="E368" s="674"/>
      <c r="F368" s="674"/>
      <c r="G368" s="674"/>
      <c r="H368" s="674"/>
      <c r="I368" s="674"/>
      <c r="J368" s="674"/>
      <c r="L368" s="674"/>
    </row>
    <row r="369">
      <c r="A369" s="674"/>
      <c r="B369" s="674"/>
      <c r="C369" s="674"/>
      <c r="D369" s="674"/>
      <c r="E369" s="674"/>
      <c r="F369" s="674"/>
      <c r="G369" s="674"/>
      <c r="H369" s="674"/>
      <c r="I369" s="674"/>
      <c r="J369" s="674"/>
      <c r="L369" s="674"/>
    </row>
    <row r="370">
      <c r="A370" s="674"/>
      <c r="B370" s="674"/>
      <c r="C370" s="674"/>
      <c r="D370" s="674"/>
      <c r="E370" s="674"/>
      <c r="F370" s="674"/>
      <c r="G370" s="674"/>
      <c r="H370" s="674"/>
      <c r="I370" s="674"/>
      <c r="J370" s="674"/>
      <c r="L370" s="674"/>
    </row>
    <row r="371">
      <c r="A371" s="674"/>
      <c r="B371" s="674"/>
      <c r="C371" s="674"/>
      <c r="D371" s="674"/>
      <c r="E371" s="674"/>
      <c r="F371" s="674"/>
      <c r="G371" s="674"/>
      <c r="H371" s="674"/>
      <c r="I371" s="674"/>
      <c r="J371" s="674"/>
      <c r="L371" s="674"/>
    </row>
    <row r="372">
      <c r="A372" s="674"/>
      <c r="B372" s="674"/>
      <c r="C372" s="674"/>
      <c r="D372" s="674"/>
      <c r="E372" s="674"/>
      <c r="F372" s="674"/>
      <c r="G372" s="674"/>
      <c r="H372" s="674"/>
      <c r="I372" s="674"/>
      <c r="J372" s="674"/>
      <c r="L372" s="674"/>
    </row>
    <row r="373">
      <c r="A373" s="674"/>
      <c r="B373" s="674"/>
      <c r="C373" s="674"/>
      <c r="D373" s="674"/>
      <c r="E373" s="674"/>
      <c r="F373" s="674"/>
      <c r="G373" s="674"/>
      <c r="H373" s="674"/>
      <c r="I373" s="674"/>
      <c r="J373" s="674"/>
      <c r="L373" s="674"/>
    </row>
    <row r="374">
      <c r="A374" s="674"/>
      <c r="B374" s="674"/>
      <c r="C374" s="674"/>
      <c r="D374" s="674"/>
      <c r="E374" s="674"/>
      <c r="F374" s="674"/>
      <c r="G374" s="674"/>
      <c r="H374" s="674"/>
      <c r="I374" s="674"/>
      <c r="J374" s="674"/>
      <c r="L374" s="674"/>
    </row>
    <row r="375">
      <c r="A375" s="674"/>
      <c r="B375" s="674"/>
      <c r="C375" s="674"/>
      <c r="D375" s="674"/>
      <c r="E375" s="674"/>
      <c r="F375" s="674"/>
      <c r="G375" s="674"/>
      <c r="H375" s="674"/>
      <c r="I375" s="674"/>
      <c r="J375" s="674"/>
      <c r="L375" s="674"/>
    </row>
    <row r="376">
      <c r="A376" s="674"/>
      <c r="B376" s="674"/>
      <c r="C376" s="674"/>
      <c r="D376" s="674"/>
      <c r="E376" s="674"/>
      <c r="F376" s="674"/>
      <c r="G376" s="674"/>
      <c r="H376" s="674"/>
      <c r="I376" s="674"/>
      <c r="J376" s="674"/>
      <c r="L376" s="674"/>
    </row>
    <row r="377">
      <c r="A377" s="674"/>
      <c r="B377" s="674"/>
      <c r="C377" s="674"/>
      <c r="D377" s="674"/>
      <c r="E377" s="674"/>
      <c r="F377" s="674"/>
      <c r="G377" s="674"/>
      <c r="H377" s="674"/>
      <c r="I377" s="674"/>
      <c r="J377" s="674"/>
      <c r="L377" s="674"/>
    </row>
    <row r="378">
      <c r="A378" s="674"/>
      <c r="B378" s="674"/>
      <c r="C378" s="674"/>
      <c r="D378" s="674"/>
      <c r="E378" s="674"/>
      <c r="F378" s="674"/>
      <c r="G378" s="674"/>
      <c r="H378" s="674"/>
      <c r="I378" s="674"/>
      <c r="J378" s="674"/>
      <c r="L378" s="674"/>
    </row>
    <row r="379">
      <c r="A379" s="674"/>
      <c r="B379" s="674"/>
      <c r="C379" s="674"/>
      <c r="D379" s="674"/>
      <c r="E379" s="674"/>
      <c r="F379" s="674"/>
      <c r="G379" s="674"/>
      <c r="H379" s="674"/>
      <c r="I379" s="674"/>
      <c r="J379" s="674"/>
      <c r="L379" s="674"/>
    </row>
    <row r="380">
      <c r="A380" s="674"/>
      <c r="B380" s="674"/>
      <c r="C380" s="674"/>
      <c r="D380" s="674"/>
      <c r="E380" s="674"/>
      <c r="F380" s="674"/>
      <c r="G380" s="674"/>
      <c r="H380" s="674"/>
      <c r="I380" s="674"/>
      <c r="J380" s="674"/>
      <c r="L380" s="674"/>
    </row>
    <row r="381">
      <c r="A381" s="674"/>
      <c r="B381" s="674"/>
      <c r="C381" s="674"/>
      <c r="D381" s="674"/>
      <c r="E381" s="674"/>
      <c r="F381" s="674"/>
      <c r="G381" s="674"/>
      <c r="H381" s="674"/>
      <c r="I381" s="674"/>
      <c r="J381" s="674"/>
      <c r="L381" s="674"/>
    </row>
    <row r="382">
      <c r="A382" s="674"/>
      <c r="B382" s="674"/>
      <c r="C382" s="674"/>
      <c r="D382" s="674"/>
      <c r="E382" s="674"/>
      <c r="F382" s="674"/>
      <c r="G382" s="674"/>
      <c r="H382" s="674"/>
      <c r="I382" s="674"/>
      <c r="J382" s="674"/>
      <c r="L382" s="674"/>
    </row>
    <row r="383">
      <c r="A383" s="674"/>
      <c r="B383" s="674"/>
      <c r="C383" s="674"/>
      <c r="D383" s="674"/>
      <c r="E383" s="674"/>
      <c r="F383" s="674"/>
      <c r="G383" s="674"/>
      <c r="H383" s="674"/>
      <c r="I383" s="674"/>
      <c r="J383" s="674"/>
      <c r="L383" s="674"/>
    </row>
    <row r="384">
      <c r="A384" s="674"/>
      <c r="B384" s="674"/>
      <c r="C384" s="674"/>
      <c r="D384" s="674"/>
      <c r="E384" s="674"/>
      <c r="F384" s="674"/>
      <c r="G384" s="674"/>
      <c r="H384" s="674"/>
      <c r="I384" s="674"/>
      <c r="J384" s="674"/>
      <c r="L384" s="674"/>
    </row>
    <row r="385">
      <c r="A385" s="674"/>
      <c r="B385" s="674"/>
      <c r="C385" s="674"/>
      <c r="D385" s="674"/>
      <c r="E385" s="674"/>
      <c r="F385" s="674"/>
      <c r="G385" s="674"/>
      <c r="H385" s="674"/>
      <c r="I385" s="674"/>
      <c r="J385" s="674"/>
      <c r="L385" s="674"/>
    </row>
    <row r="386">
      <c r="A386" s="674"/>
      <c r="B386" s="674"/>
      <c r="C386" s="674"/>
      <c r="D386" s="674"/>
      <c r="E386" s="674"/>
      <c r="F386" s="674"/>
      <c r="G386" s="674"/>
      <c r="H386" s="674"/>
      <c r="I386" s="674"/>
      <c r="J386" s="674"/>
      <c r="L386" s="674"/>
    </row>
    <row r="387">
      <c r="A387" s="674"/>
      <c r="B387" s="674"/>
      <c r="C387" s="674"/>
      <c r="D387" s="674"/>
      <c r="E387" s="674"/>
      <c r="F387" s="674"/>
      <c r="G387" s="674"/>
      <c r="H387" s="674"/>
      <c r="I387" s="674"/>
      <c r="J387" s="674"/>
      <c r="L387" s="674"/>
    </row>
    <row r="388">
      <c r="A388" s="674"/>
      <c r="B388" s="674"/>
      <c r="C388" s="674"/>
      <c r="D388" s="674"/>
      <c r="E388" s="674"/>
      <c r="F388" s="674"/>
      <c r="G388" s="674"/>
      <c r="H388" s="674"/>
      <c r="I388" s="674"/>
      <c r="J388" s="674"/>
      <c r="L388" s="674"/>
    </row>
    <row r="389">
      <c r="A389" s="674"/>
      <c r="B389" s="674"/>
      <c r="C389" s="674"/>
      <c r="D389" s="674"/>
      <c r="E389" s="674"/>
      <c r="F389" s="674"/>
      <c r="G389" s="674"/>
      <c r="H389" s="674"/>
      <c r="I389" s="674"/>
      <c r="J389" s="674"/>
      <c r="L389" s="674"/>
    </row>
    <row r="390">
      <c r="A390" s="674"/>
      <c r="B390" s="674"/>
      <c r="C390" s="674"/>
      <c r="D390" s="674"/>
      <c r="E390" s="674"/>
      <c r="F390" s="674"/>
      <c r="G390" s="674"/>
      <c r="H390" s="674"/>
      <c r="I390" s="674"/>
      <c r="J390" s="674"/>
      <c r="L390" s="674"/>
    </row>
    <row r="391">
      <c r="A391" s="674"/>
      <c r="B391" s="674"/>
      <c r="C391" s="674"/>
      <c r="D391" s="674"/>
      <c r="E391" s="674"/>
      <c r="F391" s="674"/>
      <c r="G391" s="674"/>
      <c r="H391" s="674"/>
      <c r="I391" s="674"/>
      <c r="J391" s="674"/>
      <c r="L391" s="674"/>
    </row>
    <row r="392">
      <c r="A392" s="674"/>
      <c r="B392" s="674"/>
      <c r="C392" s="674"/>
      <c r="D392" s="674"/>
      <c r="E392" s="674"/>
      <c r="F392" s="674"/>
      <c r="G392" s="674"/>
      <c r="H392" s="674"/>
      <c r="I392" s="674"/>
      <c r="J392" s="674"/>
      <c r="L392" s="674"/>
    </row>
    <row r="393">
      <c r="A393" s="674"/>
      <c r="B393" s="674"/>
      <c r="C393" s="674"/>
      <c r="D393" s="674"/>
      <c r="E393" s="674"/>
      <c r="F393" s="674"/>
      <c r="G393" s="674"/>
      <c r="H393" s="674"/>
      <c r="I393" s="674"/>
      <c r="J393" s="674"/>
      <c r="L393" s="674"/>
    </row>
    <row r="394">
      <c r="A394" s="674"/>
      <c r="B394" s="674"/>
      <c r="C394" s="674"/>
      <c r="D394" s="674"/>
      <c r="E394" s="674"/>
      <c r="F394" s="674"/>
      <c r="G394" s="674"/>
      <c r="H394" s="674"/>
      <c r="I394" s="674"/>
      <c r="J394" s="674"/>
      <c r="L394" s="674"/>
    </row>
    <row r="395">
      <c r="A395" s="674"/>
      <c r="B395" s="674"/>
      <c r="C395" s="674"/>
      <c r="D395" s="674"/>
      <c r="E395" s="674"/>
      <c r="F395" s="674"/>
      <c r="G395" s="674"/>
      <c r="H395" s="674"/>
      <c r="I395" s="674"/>
      <c r="J395" s="674"/>
      <c r="L395" s="674"/>
    </row>
    <row r="396">
      <c r="A396" s="674"/>
      <c r="B396" s="674"/>
      <c r="C396" s="674"/>
      <c r="D396" s="674"/>
      <c r="E396" s="674"/>
      <c r="F396" s="674"/>
      <c r="G396" s="674"/>
      <c r="H396" s="674"/>
      <c r="I396" s="674"/>
      <c r="J396" s="674"/>
      <c r="L396" s="674"/>
    </row>
    <row r="397">
      <c r="A397" s="674"/>
      <c r="B397" s="674"/>
      <c r="C397" s="674"/>
      <c r="D397" s="674"/>
      <c r="E397" s="674"/>
      <c r="F397" s="674"/>
      <c r="G397" s="674"/>
      <c r="H397" s="674"/>
      <c r="I397" s="674"/>
      <c r="J397" s="674"/>
      <c r="L397" s="674"/>
    </row>
    <row r="398">
      <c r="A398" s="674"/>
      <c r="B398" s="674"/>
      <c r="C398" s="674"/>
      <c r="D398" s="674"/>
      <c r="E398" s="674"/>
      <c r="F398" s="674"/>
      <c r="G398" s="674"/>
      <c r="H398" s="674"/>
      <c r="I398" s="674"/>
      <c r="J398" s="674"/>
      <c r="L398" s="674"/>
    </row>
    <row r="399">
      <c r="A399" s="674"/>
      <c r="B399" s="674"/>
      <c r="C399" s="674"/>
      <c r="D399" s="674"/>
      <c r="E399" s="674"/>
      <c r="F399" s="674"/>
      <c r="G399" s="674"/>
      <c r="H399" s="674"/>
      <c r="I399" s="674"/>
      <c r="J399" s="674"/>
      <c r="L399" s="674"/>
    </row>
    <row r="400">
      <c r="A400" s="674"/>
      <c r="B400" s="674"/>
      <c r="C400" s="674"/>
      <c r="D400" s="674"/>
      <c r="E400" s="674"/>
      <c r="F400" s="674"/>
      <c r="G400" s="674"/>
      <c r="H400" s="674"/>
      <c r="I400" s="674"/>
      <c r="J400" s="674"/>
      <c r="L400" s="674"/>
    </row>
    <row r="401">
      <c r="A401" s="674"/>
      <c r="B401" s="674"/>
      <c r="C401" s="674"/>
      <c r="D401" s="674"/>
      <c r="E401" s="674"/>
      <c r="F401" s="674"/>
      <c r="G401" s="674"/>
      <c r="H401" s="674"/>
      <c r="I401" s="674"/>
      <c r="J401" s="674"/>
      <c r="L401" s="674"/>
    </row>
    <row r="402">
      <c r="A402" s="674"/>
      <c r="B402" s="674"/>
      <c r="C402" s="674"/>
      <c r="D402" s="674"/>
      <c r="E402" s="674"/>
      <c r="F402" s="674"/>
      <c r="G402" s="674"/>
      <c r="H402" s="674"/>
      <c r="I402" s="674"/>
      <c r="J402" s="674"/>
      <c r="L402" s="674"/>
    </row>
    <row r="403">
      <c r="A403" s="674"/>
      <c r="B403" s="674"/>
      <c r="C403" s="674"/>
      <c r="D403" s="674"/>
      <c r="E403" s="674"/>
      <c r="F403" s="674"/>
      <c r="G403" s="674"/>
      <c r="H403" s="674"/>
      <c r="I403" s="674"/>
      <c r="J403" s="674"/>
      <c r="L403" s="674"/>
    </row>
    <row r="404">
      <c r="A404" s="674"/>
      <c r="B404" s="674"/>
      <c r="C404" s="674"/>
      <c r="D404" s="674"/>
      <c r="E404" s="674"/>
      <c r="F404" s="674"/>
      <c r="G404" s="674"/>
      <c r="H404" s="674"/>
      <c r="I404" s="674"/>
      <c r="J404" s="674"/>
      <c r="L404" s="674"/>
    </row>
    <row r="405">
      <c r="A405" s="674"/>
      <c r="B405" s="674"/>
      <c r="C405" s="674"/>
      <c r="D405" s="674"/>
      <c r="E405" s="674"/>
      <c r="F405" s="674"/>
      <c r="G405" s="674"/>
      <c r="H405" s="674"/>
      <c r="I405" s="674"/>
      <c r="J405" s="674"/>
      <c r="L405" s="674"/>
    </row>
    <row r="406">
      <c r="A406" s="674"/>
      <c r="B406" s="674"/>
      <c r="C406" s="674"/>
      <c r="D406" s="674"/>
      <c r="E406" s="674"/>
      <c r="F406" s="674"/>
      <c r="G406" s="674"/>
      <c r="H406" s="674"/>
      <c r="I406" s="674"/>
      <c r="J406" s="674"/>
      <c r="L406" s="674"/>
    </row>
    <row r="407">
      <c r="A407" s="674"/>
      <c r="B407" s="674"/>
      <c r="C407" s="674"/>
      <c r="D407" s="674"/>
      <c r="E407" s="674"/>
      <c r="F407" s="674"/>
      <c r="G407" s="674"/>
      <c r="H407" s="674"/>
      <c r="I407" s="674"/>
      <c r="J407" s="674"/>
      <c r="L407" s="674"/>
    </row>
    <row r="408">
      <c r="A408" s="674"/>
      <c r="B408" s="674"/>
      <c r="C408" s="674"/>
      <c r="D408" s="674"/>
      <c r="E408" s="674"/>
      <c r="F408" s="674"/>
      <c r="G408" s="674"/>
      <c r="H408" s="674"/>
      <c r="I408" s="674"/>
      <c r="J408" s="674"/>
      <c r="L408" s="674"/>
    </row>
    <row r="409">
      <c r="A409" s="674"/>
      <c r="B409" s="674"/>
      <c r="C409" s="674"/>
      <c r="D409" s="674"/>
      <c r="E409" s="674"/>
      <c r="F409" s="674"/>
      <c r="G409" s="674"/>
      <c r="H409" s="674"/>
      <c r="I409" s="674"/>
      <c r="J409" s="674"/>
      <c r="L409" s="674"/>
    </row>
    <row r="410">
      <c r="A410" s="674"/>
      <c r="B410" s="674"/>
      <c r="C410" s="674"/>
      <c r="D410" s="674"/>
      <c r="E410" s="674"/>
      <c r="F410" s="674"/>
      <c r="G410" s="674"/>
      <c r="H410" s="674"/>
      <c r="I410" s="674"/>
      <c r="J410" s="674"/>
      <c r="L410" s="674"/>
    </row>
    <row r="411">
      <c r="A411" s="674"/>
      <c r="B411" s="674"/>
      <c r="C411" s="674"/>
      <c r="D411" s="674"/>
      <c r="E411" s="674"/>
      <c r="F411" s="674"/>
      <c r="G411" s="674"/>
      <c r="H411" s="674"/>
      <c r="I411" s="674"/>
      <c r="J411" s="674"/>
      <c r="L411" s="674"/>
    </row>
    <row r="412">
      <c r="A412" s="674"/>
      <c r="B412" s="674"/>
      <c r="C412" s="674"/>
      <c r="D412" s="674"/>
      <c r="E412" s="674"/>
      <c r="F412" s="674"/>
      <c r="G412" s="674"/>
      <c r="H412" s="674"/>
      <c r="I412" s="674"/>
      <c r="J412" s="674"/>
      <c r="L412" s="674"/>
    </row>
    <row r="413">
      <c r="A413" s="674"/>
      <c r="B413" s="674"/>
      <c r="C413" s="674"/>
      <c r="D413" s="674"/>
      <c r="E413" s="674"/>
      <c r="F413" s="674"/>
      <c r="G413" s="674"/>
      <c r="H413" s="674"/>
      <c r="I413" s="674"/>
      <c r="J413" s="674"/>
      <c r="L413" s="674"/>
    </row>
    <row r="414">
      <c r="A414" s="674"/>
      <c r="B414" s="674"/>
      <c r="C414" s="674"/>
      <c r="D414" s="674"/>
      <c r="E414" s="674"/>
      <c r="F414" s="674"/>
      <c r="G414" s="674"/>
      <c r="H414" s="674"/>
      <c r="I414" s="674"/>
      <c r="J414" s="674"/>
      <c r="L414" s="674"/>
    </row>
    <row r="415">
      <c r="A415" s="674"/>
      <c r="B415" s="674"/>
      <c r="C415" s="674"/>
      <c r="D415" s="674"/>
      <c r="E415" s="674"/>
      <c r="F415" s="674"/>
      <c r="G415" s="674"/>
      <c r="H415" s="674"/>
      <c r="I415" s="674"/>
      <c r="J415" s="674"/>
      <c r="L415" s="674"/>
    </row>
    <row r="416">
      <c r="A416" s="674"/>
      <c r="B416" s="674"/>
      <c r="C416" s="674"/>
      <c r="D416" s="674"/>
      <c r="E416" s="674"/>
      <c r="F416" s="674"/>
      <c r="G416" s="674"/>
      <c r="H416" s="674"/>
      <c r="I416" s="674"/>
      <c r="J416" s="674"/>
      <c r="L416" s="674"/>
    </row>
    <row r="417">
      <c r="A417" s="674"/>
      <c r="B417" s="674"/>
      <c r="C417" s="674"/>
      <c r="D417" s="674"/>
      <c r="E417" s="674"/>
      <c r="F417" s="674"/>
      <c r="G417" s="674"/>
      <c r="H417" s="674"/>
      <c r="I417" s="674"/>
      <c r="J417" s="674"/>
      <c r="L417" s="674"/>
    </row>
    <row r="418">
      <c r="A418" s="674"/>
      <c r="B418" s="674"/>
      <c r="C418" s="674"/>
      <c r="D418" s="674"/>
      <c r="E418" s="674"/>
      <c r="F418" s="674"/>
      <c r="G418" s="674"/>
      <c r="H418" s="674"/>
      <c r="I418" s="674"/>
      <c r="J418" s="674"/>
      <c r="L418" s="674"/>
    </row>
    <row r="419">
      <c r="A419" s="674"/>
      <c r="B419" s="674"/>
      <c r="C419" s="674"/>
      <c r="D419" s="674"/>
      <c r="E419" s="674"/>
      <c r="F419" s="674"/>
      <c r="G419" s="674"/>
      <c r="H419" s="674"/>
      <c r="I419" s="674"/>
      <c r="J419" s="674"/>
      <c r="L419" s="674"/>
    </row>
    <row r="420">
      <c r="A420" s="674"/>
      <c r="B420" s="674"/>
      <c r="C420" s="674"/>
      <c r="D420" s="674"/>
      <c r="E420" s="674"/>
      <c r="F420" s="674"/>
      <c r="G420" s="674"/>
      <c r="H420" s="674"/>
      <c r="I420" s="674"/>
      <c r="J420" s="674"/>
      <c r="L420" s="674"/>
    </row>
    <row r="421">
      <c r="A421" s="674"/>
      <c r="B421" s="674"/>
      <c r="C421" s="674"/>
      <c r="D421" s="674"/>
      <c r="E421" s="674"/>
      <c r="F421" s="674"/>
      <c r="G421" s="674"/>
      <c r="H421" s="674"/>
      <c r="I421" s="674"/>
      <c r="J421" s="674"/>
      <c r="L421" s="674"/>
    </row>
    <row r="422">
      <c r="A422" s="674"/>
      <c r="B422" s="674"/>
      <c r="C422" s="674"/>
      <c r="D422" s="674"/>
      <c r="E422" s="674"/>
      <c r="F422" s="674"/>
      <c r="G422" s="674"/>
      <c r="H422" s="674"/>
      <c r="I422" s="674"/>
      <c r="J422" s="674"/>
      <c r="L422" s="674"/>
    </row>
    <row r="423">
      <c r="A423" s="674"/>
      <c r="B423" s="674"/>
      <c r="C423" s="674"/>
      <c r="D423" s="674"/>
      <c r="E423" s="674"/>
      <c r="F423" s="674"/>
      <c r="G423" s="674"/>
      <c r="H423" s="674"/>
      <c r="I423" s="674"/>
      <c r="J423" s="674"/>
      <c r="L423" s="674"/>
    </row>
    <row r="424">
      <c r="A424" s="674"/>
      <c r="B424" s="674"/>
      <c r="C424" s="674"/>
      <c r="D424" s="674"/>
      <c r="E424" s="674"/>
      <c r="F424" s="674"/>
      <c r="G424" s="674"/>
      <c r="H424" s="674"/>
      <c r="I424" s="674"/>
      <c r="J424" s="674"/>
      <c r="L424" s="674"/>
    </row>
    <row r="425">
      <c r="A425" s="674"/>
      <c r="B425" s="674"/>
      <c r="C425" s="674"/>
      <c r="D425" s="674"/>
      <c r="E425" s="674"/>
      <c r="F425" s="674"/>
      <c r="G425" s="674"/>
      <c r="H425" s="674"/>
      <c r="I425" s="674"/>
      <c r="J425" s="674"/>
      <c r="L425" s="674"/>
    </row>
    <row r="426">
      <c r="A426" s="674"/>
      <c r="B426" s="674"/>
      <c r="C426" s="674"/>
      <c r="D426" s="674"/>
      <c r="E426" s="674"/>
      <c r="F426" s="674"/>
      <c r="G426" s="674"/>
      <c r="H426" s="674"/>
      <c r="I426" s="674"/>
      <c r="J426" s="674"/>
      <c r="L426" s="674"/>
    </row>
    <row r="427">
      <c r="A427" s="674"/>
      <c r="B427" s="674"/>
      <c r="C427" s="674"/>
      <c r="D427" s="674"/>
      <c r="E427" s="674"/>
      <c r="F427" s="674"/>
      <c r="G427" s="674"/>
      <c r="H427" s="674"/>
      <c r="I427" s="674"/>
      <c r="J427" s="674"/>
      <c r="L427" s="674"/>
    </row>
    <row r="428">
      <c r="A428" s="674"/>
      <c r="B428" s="674"/>
      <c r="C428" s="674"/>
      <c r="D428" s="674"/>
      <c r="E428" s="674"/>
      <c r="F428" s="674"/>
      <c r="G428" s="674"/>
      <c r="H428" s="674"/>
      <c r="I428" s="674"/>
      <c r="J428" s="674"/>
      <c r="L428" s="674"/>
    </row>
    <row r="429">
      <c r="A429" s="674"/>
      <c r="B429" s="674"/>
      <c r="C429" s="674"/>
      <c r="D429" s="674"/>
      <c r="E429" s="674"/>
      <c r="F429" s="674"/>
      <c r="G429" s="674"/>
      <c r="H429" s="674"/>
      <c r="I429" s="674"/>
      <c r="J429" s="674"/>
      <c r="L429" s="674"/>
    </row>
    <row r="430">
      <c r="A430" s="674"/>
      <c r="B430" s="674"/>
      <c r="C430" s="674"/>
      <c r="D430" s="674"/>
      <c r="E430" s="674"/>
      <c r="F430" s="674"/>
      <c r="G430" s="674"/>
      <c r="H430" s="674"/>
      <c r="I430" s="674"/>
      <c r="J430" s="674"/>
      <c r="L430" s="674"/>
    </row>
    <row r="431">
      <c r="A431" s="674"/>
      <c r="B431" s="674"/>
      <c r="C431" s="674"/>
      <c r="D431" s="674"/>
      <c r="E431" s="674"/>
      <c r="F431" s="674"/>
      <c r="G431" s="674"/>
      <c r="H431" s="674"/>
      <c r="I431" s="674"/>
      <c r="J431" s="674"/>
      <c r="L431" s="674"/>
    </row>
    <row r="432">
      <c r="A432" s="674"/>
      <c r="B432" s="674"/>
      <c r="C432" s="674"/>
      <c r="D432" s="674"/>
      <c r="E432" s="674"/>
      <c r="F432" s="674"/>
      <c r="G432" s="674"/>
      <c r="H432" s="674"/>
      <c r="I432" s="674"/>
      <c r="J432" s="674"/>
      <c r="L432" s="674"/>
    </row>
    <row r="433">
      <c r="A433" s="674"/>
      <c r="B433" s="674"/>
      <c r="C433" s="674"/>
      <c r="D433" s="674"/>
      <c r="E433" s="674"/>
      <c r="F433" s="674"/>
      <c r="G433" s="674"/>
      <c r="H433" s="674"/>
      <c r="I433" s="674"/>
      <c r="J433" s="674"/>
      <c r="L433" s="674"/>
    </row>
    <row r="434">
      <c r="A434" s="674"/>
      <c r="B434" s="674"/>
      <c r="C434" s="674"/>
      <c r="D434" s="674"/>
      <c r="E434" s="674"/>
      <c r="F434" s="674"/>
      <c r="G434" s="674"/>
      <c r="H434" s="674"/>
      <c r="I434" s="674"/>
      <c r="J434" s="674"/>
      <c r="L434" s="674"/>
    </row>
    <row r="435">
      <c r="A435" s="674"/>
      <c r="B435" s="674"/>
      <c r="C435" s="674"/>
      <c r="D435" s="674"/>
      <c r="E435" s="674"/>
      <c r="F435" s="674"/>
      <c r="G435" s="674"/>
      <c r="H435" s="674"/>
      <c r="I435" s="674"/>
      <c r="J435" s="674"/>
      <c r="L435" s="674"/>
    </row>
    <row r="436">
      <c r="A436" s="674"/>
      <c r="B436" s="674"/>
      <c r="C436" s="674"/>
      <c r="D436" s="674"/>
      <c r="E436" s="674"/>
      <c r="F436" s="674"/>
      <c r="G436" s="674"/>
      <c r="H436" s="674"/>
      <c r="I436" s="674"/>
      <c r="J436" s="674"/>
      <c r="L436" s="674"/>
    </row>
    <row r="437">
      <c r="A437" s="674"/>
      <c r="B437" s="674"/>
      <c r="C437" s="674"/>
      <c r="D437" s="674"/>
      <c r="E437" s="674"/>
      <c r="F437" s="674"/>
      <c r="G437" s="674"/>
      <c r="H437" s="674"/>
      <c r="I437" s="674"/>
      <c r="J437" s="674"/>
      <c r="L437" s="674"/>
    </row>
    <row r="438">
      <c r="A438" s="674"/>
      <c r="B438" s="674"/>
      <c r="C438" s="674"/>
      <c r="D438" s="674"/>
      <c r="E438" s="674"/>
      <c r="F438" s="674"/>
      <c r="G438" s="674"/>
      <c r="H438" s="674"/>
      <c r="I438" s="674"/>
      <c r="J438" s="674"/>
      <c r="L438" s="674"/>
    </row>
    <row r="439">
      <c r="A439" s="674"/>
      <c r="B439" s="674"/>
      <c r="C439" s="674"/>
      <c r="D439" s="674"/>
      <c r="E439" s="674"/>
      <c r="F439" s="674"/>
      <c r="G439" s="674"/>
      <c r="H439" s="674"/>
      <c r="I439" s="674"/>
      <c r="J439" s="674"/>
      <c r="L439" s="674"/>
    </row>
    <row r="440">
      <c r="A440" s="674"/>
      <c r="B440" s="674"/>
      <c r="C440" s="674"/>
      <c r="D440" s="674"/>
      <c r="E440" s="674"/>
      <c r="F440" s="674"/>
      <c r="G440" s="674"/>
      <c r="H440" s="674"/>
      <c r="I440" s="674"/>
      <c r="J440" s="674"/>
      <c r="L440" s="674"/>
    </row>
    <row r="441">
      <c r="A441" s="674"/>
      <c r="B441" s="674"/>
      <c r="C441" s="674"/>
      <c r="D441" s="674"/>
      <c r="E441" s="674"/>
      <c r="F441" s="674"/>
      <c r="G441" s="674"/>
      <c r="H441" s="674"/>
      <c r="I441" s="674"/>
      <c r="J441" s="674"/>
      <c r="L441" s="674"/>
    </row>
    <row r="442">
      <c r="A442" s="674"/>
      <c r="B442" s="674"/>
      <c r="C442" s="674"/>
      <c r="D442" s="674"/>
      <c r="E442" s="674"/>
      <c r="F442" s="674"/>
      <c r="G442" s="674"/>
      <c r="H442" s="674"/>
      <c r="I442" s="674"/>
      <c r="J442" s="674"/>
      <c r="L442" s="674"/>
    </row>
    <row r="443">
      <c r="A443" s="674"/>
      <c r="B443" s="674"/>
      <c r="C443" s="674"/>
      <c r="D443" s="674"/>
      <c r="E443" s="674"/>
      <c r="F443" s="674"/>
      <c r="G443" s="674"/>
      <c r="H443" s="674"/>
      <c r="I443" s="674"/>
      <c r="J443" s="674"/>
      <c r="L443" s="674"/>
    </row>
    <row r="444">
      <c r="A444" s="674"/>
      <c r="B444" s="674"/>
      <c r="C444" s="674"/>
      <c r="D444" s="674"/>
      <c r="E444" s="674"/>
      <c r="F444" s="674"/>
      <c r="G444" s="674"/>
      <c r="H444" s="674"/>
      <c r="I444" s="674"/>
      <c r="J444" s="674"/>
      <c r="L444" s="674"/>
    </row>
    <row r="445">
      <c r="A445" s="674"/>
      <c r="B445" s="674"/>
      <c r="C445" s="674"/>
      <c r="D445" s="674"/>
      <c r="E445" s="674"/>
      <c r="F445" s="674"/>
      <c r="G445" s="674"/>
      <c r="H445" s="674"/>
      <c r="I445" s="674"/>
      <c r="J445" s="674"/>
      <c r="L445" s="674"/>
    </row>
    <row r="446">
      <c r="A446" s="674"/>
      <c r="B446" s="674"/>
      <c r="C446" s="674"/>
      <c r="D446" s="674"/>
      <c r="E446" s="674"/>
      <c r="F446" s="674"/>
      <c r="G446" s="674"/>
      <c r="H446" s="674"/>
      <c r="I446" s="674"/>
      <c r="J446" s="674"/>
      <c r="L446" s="674"/>
    </row>
    <row r="447">
      <c r="A447" s="674"/>
      <c r="B447" s="674"/>
      <c r="C447" s="674"/>
      <c r="D447" s="674"/>
      <c r="E447" s="674"/>
      <c r="F447" s="674"/>
      <c r="G447" s="674"/>
      <c r="H447" s="674"/>
      <c r="I447" s="674"/>
      <c r="J447" s="674"/>
      <c r="L447" s="674"/>
    </row>
    <row r="448">
      <c r="A448" s="674"/>
      <c r="B448" s="674"/>
      <c r="C448" s="674"/>
      <c r="D448" s="674"/>
      <c r="E448" s="674"/>
      <c r="F448" s="674"/>
      <c r="G448" s="674"/>
      <c r="H448" s="674"/>
      <c r="I448" s="674"/>
      <c r="J448" s="674"/>
      <c r="L448" s="674"/>
    </row>
    <row r="449">
      <c r="A449" s="674"/>
      <c r="B449" s="674"/>
      <c r="C449" s="674"/>
      <c r="D449" s="674"/>
      <c r="E449" s="674"/>
      <c r="F449" s="674"/>
      <c r="G449" s="674"/>
      <c r="H449" s="674"/>
      <c r="I449" s="674"/>
      <c r="J449" s="674"/>
      <c r="L449" s="674"/>
    </row>
    <row r="450">
      <c r="A450" s="674"/>
      <c r="B450" s="674"/>
      <c r="C450" s="674"/>
      <c r="D450" s="674"/>
      <c r="E450" s="674"/>
      <c r="F450" s="674"/>
      <c r="G450" s="674"/>
      <c r="H450" s="674"/>
      <c r="I450" s="674"/>
      <c r="J450" s="674"/>
      <c r="L450" s="674"/>
    </row>
    <row r="451">
      <c r="A451" s="674"/>
      <c r="B451" s="674"/>
      <c r="C451" s="674"/>
      <c r="D451" s="674"/>
      <c r="E451" s="674"/>
      <c r="F451" s="674"/>
      <c r="G451" s="674"/>
      <c r="H451" s="674"/>
      <c r="I451" s="674"/>
      <c r="J451" s="674"/>
      <c r="L451" s="674"/>
    </row>
    <row r="452">
      <c r="A452" s="674"/>
      <c r="B452" s="674"/>
      <c r="C452" s="674"/>
      <c r="D452" s="674"/>
      <c r="E452" s="674"/>
      <c r="F452" s="674"/>
      <c r="G452" s="674"/>
      <c r="H452" s="674"/>
      <c r="I452" s="674"/>
      <c r="J452" s="674"/>
      <c r="L452" s="674"/>
    </row>
    <row r="453">
      <c r="A453" s="674"/>
      <c r="B453" s="674"/>
      <c r="C453" s="674"/>
      <c r="D453" s="674"/>
      <c r="E453" s="674"/>
      <c r="F453" s="674"/>
      <c r="G453" s="674"/>
      <c r="H453" s="674"/>
      <c r="I453" s="674"/>
      <c r="J453" s="674"/>
      <c r="L453" s="674"/>
    </row>
    <row r="454">
      <c r="A454" s="674"/>
      <c r="B454" s="674"/>
      <c r="C454" s="674"/>
      <c r="D454" s="674"/>
      <c r="E454" s="674"/>
      <c r="F454" s="674"/>
      <c r="G454" s="674"/>
      <c r="H454" s="674"/>
      <c r="I454" s="674"/>
      <c r="J454" s="674"/>
      <c r="L454" s="674"/>
    </row>
    <row r="455">
      <c r="A455" s="674"/>
      <c r="B455" s="674"/>
      <c r="C455" s="674"/>
      <c r="D455" s="674"/>
      <c r="E455" s="674"/>
      <c r="F455" s="674"/>
      <c r="G455" s="674"/>
      <c r="H455" s="674"/>
      <c r="I455" s="674"/>
      <c r="J455" s="674"/>
      <c r="L455" s="674"/>
    </row>
    <row r="456">
      <c r="A456" s="674"/>
      <c r="B456" s="674"/>
      <c r="C456" s="674"/>
      <c r="D456" s="674"/>
      <c r="E456" s="674"/>
      <c r="F456" s="674"/>
      <c r="G456" s="674"/>
      <c r="H456" s="674"/>
      <c r="I456" s="674"/>
      <c r="J456" s="674"/>
      <c r="L456" s="674"/>
    </row>
    <row r="457">
      <c r="A457" s="674"/>
      <c r="B457" s="674"/>
      <c r="C457" s="674"/>
      <c r="D457" s="674"/>
      <c r="E457" s="674"/>
      <c r="F457" s="674"/>
      <c r="G457" s="674"/>
      <c r="H457" s="674"/>
      <c r="I457" s="674"/>
      <c r="J457" s="674"/>
      <c r="L457" s="674"/>
    </row>
    <row r="458">
      <c r="A458" s="674"/>
      <c r="B458" s="674"/>
      <c r="C458" s="674"/>
      <c r="D458" s="674"/>
      <c r="E458" s="674"/>
      <c r="F458" s="674"/>
      <c r="G458" s="674"/>
      <c r="H458" s="674"/>
      <c r="I458" s="674"/>
      <c r="J458" s="674"/>
      <c r="L458" s="674"/>
    </row>
    <row r="459">
      <c r="A459" s="674"/>
      <c r="B459" s="674"/>
      <c r="C459" s="674"/>
      <c r="D459" s="674"/>
      <c r="E459" s="674"/>
      <c r="F459" s="674"/>
      <c r="G459" s="674"/>
      <c r="H459" s="674"/>
      <c r="I459" s="674"/>
      <c r="J459" s="674"/>
      <c r="L459" s="674"/>
    </row>
    <row r="460">
      <c r="A460" s="674"/>
      <c r="B460" s="674"/>
      <c r="C460" s="674"/>
      <c r="D460" s="674"/>
      <c r="E460" s="674"/>
      <c r="F460" s="674"/>
      <c r="G460" s="674"/>
      <c r="H460" s="674"/>
      <c r="I460" s="674"/>
      <c r="J460" s="674"/>
      <c r="L460" s="674"/>
    </row>
    <row r="461">
      <c r="A461" s="674"/>
      <c r="B461" s="674"/>
      <c r="C461" s="674"/>
      <c r="D461" s="674"/>
      <c r="E461" s="674"/>
      <c r="F461" s="674"/>
      <c r="G461" s="674"/>
      <c r="H461" s="674"/>
      <c r="I461" s="674"/>
      <c r="J461" s="674"/>
      <c r="L461" s="674"/>
    </row>
    <row r="462">
      <c r="A462" s="674"/>
      <c r="B462" s="674"/>
      <c r="C462" s="674"/>
      <c r="D462" s="674"/>
      <c r="E462" s="674"/>
      <c r="F462" s="674"/>
      <c r="G462" s="674"/>
      <c r="H462" s="674"/>
      <c r="I462" s="674"/>
      <c r="J462" s="674"/>
      <c r="L462" s="674"/>
    </row>
    <row r="463">
      <c r="A463" s="674"/>
      <c r="B463" s="674"/>
      <c r="C463" s="674"/>
      <c r="D463" s="674"/>
      <c r="E463" s="674"/>
      <c r="F463" s="674"/>
      <c r="G463" s="674"/>
      <c r="H463" s="674"/>
      <c r="I463" s="674"/>
      <c r="J463" s="674"/>
      <c r="L463" s="674"/>
    </row>
    <row r="464">
      <c r="A464" s="674"/>
      <c r="B464" s="674"/>
      <c r="C464" s="674"/>
      <c r="D464" s="674"/>
      <c r="E464" s="674"/>
      <c r="F464" s="674"/>
      <c r="G464" s="674"/>
      <c r="H464" s="674"/>
      <c r="I464" s="674"/>
      <c r="J464" s="674"/>
      <c r="L464" s="674"/>
    </row>
    <row r="465">
      <c r="A465" s="674"/>
      <c r="B465" s="674"/>
      <c r="C465" s="674"/>
      <c r="D465" s="674"/>
      <c r="E465" s="674"/>
      <c r="F465" s="674"/>
      <c r="G465" s="674"/>
      <c r="H465" s="674"/>
      <c r="I465" s="674"/>
      <c r="J465" s="674"/>
      <c r="L465" s="674"/>
    </row>
    <row r="466">
      <c r="A466" s="674"/>
      <c r="B466" s="674"/>
      <c r="C466" s="674"/>
      <c r="D466" s="674"/>
      <c r="E466" s="674"/>
      <c r="F466" s="674"/>
      <c r="G466" s="674"/>
      <c r="H466" s="674"/>
      <c r="I466" s="674"/>
      <c r="J466" s="674"/>
      <c r="L466" s="674"/>
    </row>
    <row r="467">
      <c r="A467" s="674"/>
      <c r="B467" s="674"/>
      <c r="C467" s="674"/>
      <c r="D467" s="674"/>
      <c r="E467" s="674"/>
      <c r="F467" s="674"/>
      <c r="G467" s="674"/>
      <c r="H467" s="674"/>
      <c r="I467" s="674"/>
      <c r="J467" s="674"/>
      <c r="L467" s="674"/>
    </row>
    <row r="468">
      <c r="A468" s="674"/>
      <c r="B468" s="674"/>
      <c r="C468" s="674"/>
      <c r="D468" s="674"/>
      <c r="E468" s="674"/>
      <c r="F468" s="674"/>
      <c r="G468" s="674"/>
      <c r="H468" s="674"/>
      <c r="I468" s="674"/>
      <c r="J468" s="674"/>
      <c r="L468" s="674"/>
    </row>
    <row r="469">
      <c r="A469" s="674"/>
      <c r="B469" s="674"/>
      <c r="C469" s="674"/>
      <c r="D469" s="674"/>
      <c r="E469" s="674"/>
      <c r="F469" s="674"/>
      <c r="G469" s="674"/>
      <c r="H469" s="674"/>
      <c r="I469" s="674"/>
      <c r="J469" s="674"/>
      <c r="L469" s="674"/>
    </row>
    <row r="470">
      <c r="A470" s="674"/>
      <c r="B470" s="674"/>
      <c r="C470" s="674"/>
      <c r="D470" s="674"/>
      <c r="E470" s="674"/>
      <c r="F470" s="674"/>
      <c r="G470" s="674"/>
      <c r="H470" s="674"/>
      <c r="I470" s="674"/>
      <c r="J470" s="674"/>
      <c r="L470" s="674"/>
    </row>
    <row r="471">
      <c r="A471" s="674"/>
      <c r="B471" s="674"/>
      <c r="C471" s="674"/>
      <c r="D471" s="674"/>
      <c r="E471" s="674"/>
      <c r="F471" s="674"/>
      <c r="G471" s="674"/>
      <c r="H471" s="674"/>
      <c r="I471" s="674"/>
      <c r="J471" s="674"/>
      <c r="L471" s="674"/>
    </row>
    <row r="472">
      <c r="A472" s="674"/>
      <c r="B472" s="674"/>
      <c r="C472" s="674"/>
      <c r="D472" s="674"/>
      <c r="E472" s="674"/>
      <c r="F472" s="674"/>
      <c r="G472" s="674"/>
      <c r="H472" s="674"/>
      <c r="I472" s="674"/>
      <c r="J472" s="674"/>
      <c r="L472" s="674"/>
    </row>
    <row r="473">
      <c r="A473" s="674"/>
      <c r="B473" s="674"/>
      <c r="C473" s="674"/>
      <c r="D473" s="674"/>
      <c r="E473" s="674"/>
      <c r="F473" s="674"/>
      <c r="G473" s="674"/>
      <c r="H473" s="674"/>
      <c r="I473" s="674"/>
      <c r="J473" s="674"/>
      <c r="L473" s="674"/>
    </row>
    <row r="474">
      <c r="A474" s="674"/>
      <c r="B474" s="674"/>
      <c r="C474" s="674"/>
      <c r="D474" s="674"/>
      <c r="E474" s="674"/>
      <c r="F474" s="674"/>
      <c r="G474" s="674"/>
      <c r="H474" s="674"/>
      <c r="I474" s="674"/>
      <c r="J474" s="674"/>
      <c r="L474" s="674"/>
    </row>
    <row r="475">
      <c r="A475" s="674"/>
      <c r="B475" s="674"/>
      <c r="C475" s="674"/>
      <c r="D475" s="674"/>
      <c r="E475" s="674"/>
      <c r="F475" s="674"/>
      <c r="G475" s="674"/>
      <c r="H475" s="674"/>
      <c r="I475" s="674"/>
      <c r="J475" s="674"/>
      <c r="L475" s="674"/>
    </row>
    <row r="476">
      <c r="A476" s="674"/>
      <c r="B476" s="674"/>
      <c r="C476" s="674"/>
      <c r="D476" s="674"/>
      <c r="E476" s="674"/>
      <c r="F476" s="674"/>
      <c r="G476" s="674"/>
      <c r="H476" s="674"/>
      <c r="I476" s="674"/>
      <c r="J476" s="674"/>
      <c r="L476" s="674"/>
    </row>
    <row r="477">
      <c r="A477" s="674"/>
      <c r="B477" s="674"/>
      <c r="C477" s="674"/>
      <c r="D477" s="674"/>
      <c r="E477" s="674"/>
      <c r="F477" s="674"/>
      <c r="G477" s="674"/>
      <c r="H477" s="674"/>
      <c r="I477" s="674"/>
      <c r="J477" s="674"/>
      <c r="L477" s="674"/>
    </row>
    <row r="478">
      <c r="A478" s="674"/>
      <c r="B478" s="674"/>
      <c r="C478" s="674"/>
      <c r="D478" s="674"/>
      <c r="E478" s="674"/>
      <c r="F478" s="674"/>
      <c r="G478" s="674"/>
      <c r="H478" s="674"/>
      <c r="I478" s="674"/>
      <c r="J478" s="674"/>
      <c r="L478" s="674"/>
    </row>
    <row r="479">
      <c r="A479" s="674"/>
      <c r="B479" s="674"/>
      <c r="C479" s="674"/>
      <c r="D479" s="674"/>
      <c r="E479" s="674"/>
      <c r="F479" s="674"/>
      <c r="G479" s="674"/>
      <c r="H479" s="674"/>
      <c r="I479" s="674"/>
      <c r="J479" s="674"/>
      <c r="L479" s="674"/>
    </row>
    <row r="480">
      <c r="A480" s="674"/>
      <c r="B480" s="674"/>
      <c r="C480" s="674"/>
      <c r="D480" s="674"/>
      <c r="E480" s="674"/>
      <c r="F480" s="674"/>
      <c r="G480" s="674"/>
      <c r="H480" s="674"/>
      <c r="I480" s="674"/>
      <c r="J480" s="674"/>
      <c r="L480" s="674"/>
    </row>
    <row r="481">
      <c r="A481" s="674"/>
      <c r="B481" s="674"/>
      <c r="C481" s="674"/>
      <c r="D481" s="674"/>
      <c r="E481" s="674"/>
      <c r="F481" s="674"/>
      <c r="G481" s="674"/>
      <c r="H481" s="674"/>
      <c r="I481" s="674"/>
      <c r="J481" s="674"/>
      <c r="L481" s="674"/>
    </row>
    <row r="482">
      <c r="A482" s="674"/>
      <c r="B482" s="674"/>
      <c r="C482" s="674"/>
      <c r="D482" s="674"/>
      <c r="E482" s="674"/>
      <c r="F482" s="674"/>
      <c r="G482" s="674"/>
      <c r="H482" s="674"/>
      <c r="I482" s="674"/>
      <c r="J482" s="674"/>
      <c r="L482" s="674"/>
    </row>
    <row r="483">
      <c r="A483" s="674"/>
      <c r="B483" s="674"/>
      <c r="C483" s="674"/>
      <c r="D483" s="674"/>
      <c r="E483" s="674"/>
      <c r="F483" s="674"/>
      <c r="G483" s="674"/>
      <c r="H483" s="674"/>
      <c r="I483" s="674"/>
      <c r="J483" s="674"/>
      <c r="L483" s="674"/>
    </row>
    <row r="484">
      <c r="A484" s="674"/>
      <c r="B484" s="674"/>
      <c r="C484" s="674"/>
      <c r="D484" s="674"/>
      <c r="E484" s="674"/>
      <c r="F484" s="674"/>
      <c r="G484" s="674"/>
      <c r="H484" s="674"/>
      <c r="I484" s="674"/>
      <c r="J484" s="674"/>
      <c r="L484" s="674"/>
    </row>
    <row r="485">
      <c r="A485" s="674"/>
      <c r="B485" s="674"/>
      <c r="C485" s="674"/>
      <c r="D485" s="674"/>
      <c r="E485" s="674"/>
      <c r="F485" s="674"/>
      <c r="G485" s="674"/>
      <c r="H485" s="674"/>
      <c r="I485" s="674"/>
      <c r="J485" s="674"/>
      <c r="L485" s="674"/>
    </row>
    <row r="486">
      <c r="A486" s="674"/>
      <c r="B486" s="674"/>
      <c r="C486" s="674"/>
      <c r="D486" s="674"/>
      <c r="E486" s="674"/>
      <c r="F486" s="674"/>
      <c r="G486" s="674"/>
      <c r="H486" s="674"/>
      <c r="I486" s="674"/>
      <c r="J486" s="674"/>
      <c r="L486" s="674"/>
    </row>
    <row r="487">
      <c r="A487" s="674"/>
      <c r="B487" s="674"/>
      <c r="C487" s="674"/>
      <c r="D487" s="674"/>
      <c r="E487" s="674"/>
      <c r="F487" s="674"/>
      <c r="G487" s="674"/>
      <c r="H487" s="674"/>
      <c r="I487" s="674"/>
      <c r="J487" s="674"/>
      <c r="L487" s="674"/>
    </row>
    <row r="488">
      <c r="A488" s="674"/>
      <c r="B488" s="674"/>
      <c r="C488" s="674"/>
      <c r="D488" s="674"/>
      <c r="E488" s="674"/>
      <c r="F488" s="674"/>
      <c r="G488" s="674"/>
      <c r="H488" s="674"/>
      <c r="I488" s="674"/>
      <c r="J488" s="674"/>
      <c r="L488" s="674"/>
    </row>
    <row r="489">
      <c r="A489" s="674"/>
      <c r="B489" s="674"/>
      <c r="C489" s="674"/>
      <c r="D489" s="674"/>
      <c r="E489" s="674"/>
      <c r="F489" s="674"/>
      <c r="G489" s="674"/>
      <c r="H489" s="674"/>
      <c r="I489" s="674"/>
      <c r="J489" s="674"/>
      <c r="L489" s="674"/>
    </row>
    <row r="490">
      <c r="A490" s="674"/>
      <c r="B490" s="674"/>
      <c r="C490" s="674"/>
      <c r="D490" s="674"/>
      <c r="E490" s="674"/>
      <c r="F490" s="674"/>
      <c r="G490" s="674"/>
      <c r="H490" s="674"/>
      <c r="I490" s="674"/>
      <c r="J490" s="674"/>
      <c r="L490" s="674"/>
    </row>
    <row r="491">
      <c r="A491" s="674"/>
      <c r="B491" s="674"/>
      <c r="C491" s="674"/>
      <c r="D491" s="674"/>
      <c r="E491" s="674"/>
      <c r="F491" s="674"/>
      <c r="G491" s="674"/>
      <c r="H491" s="674"/>
      <c r="I491" s="674"/>
      <c r="J491" s="674"/>
      <c r="L491" s="674"/>
    </row>
    <row r="492">
      <c r="A492" s="674"/>
      <c r="B492" s="674"/>
      <c r="C492" s="674"/>
      <c r="D492" s="674"/>
      <c r="E492" s="674"/>
      <c r="F492" s="674"/>
      <c r="G492" s="674"/>
      <c r="H492" s="674"/>
      <c r="I492" s="674"/>
      <c r="J492" s="674"/>
      <c r="L492" s="674"/>
    </row>
    <row r="493">
      <c r="A493" s="674"/>
      <c r="B493" s="674"/>
      <c r="C493" s="674"/>
      <c r="D493" s="674"/>
      <c r="E493" s="674"/>
      <c r="F493" s="674"/>
      <c r="G493" s="674"/>
      <c r="H493" s="674"/>
      <c r="I493" s="674"/>
      <c r="J493" s="674"/>
      <c r="L493" s="674"/>
    </row>
    <row r="494">
      <c r="A494" s="674"/>
      <c r="B494" s="674"/>
      <c r="C494" s="674"/>
      <c r="D494" s="674"/>
      <c r="E494" s="674"/>
      <c r="F494" s="674"/>
      <c r="G494" s="674"/>
      <c r="H494" s="674"/>
      <c r="I494" s="674"/>
      <c r="J494" s="674"/>
      <c r="L494" s="674"/>
    </row>
    <row r="495">
      <c r="A495" s="674"/>
      <c r="B495" s="674"/>
      <c r="C495" s="674"/>
      <c r="D495" s="674"/>
      <c r="E495" s="674"/>
      <c r="F495" s="674"/>
      <c r="G495" s="674"/>
      <c r="H495" s="674"/>
      <c r="I495" s="674"/>
      <c r="J495" s="674"/>
      <c r="L495" s="674"/>
    </row>
    <row r="496">
      <c r="A496" s="674"/>
      <c r="B496" s="674"/>
      <c r="C496" s="674"/>
      <c r="D496" s="674"/>
      <c r="E496" s="674"/>
      <c r="F496" s="674"/>
      <c r="G496" s="674"/>
      <c r="H496" s="674"/>
      <c r="I496" s="674"/>
      <c r="J496" s="674"/>
      <c r="L496" s="674"/>
    </row>
    <row r="497">
      <c r="A497" s="674"/>
      <c r="B497" s="674"/>
      <c r="C497" s="674"/>
      <c r="D497" s="674"/>
      <c r="E497" s="674"/>
      <c r="F497" s="674"/>
      <c r="G497" s="674"/>
      <c r="H497" s="674"/>
      <c r="I497" s="674"/>
      <c r="J497" s="674"/>
      <c r="L497" s="674"/>
    </row>
    <row r="498">
      <c r="A498" s="674"/>
      <c r="B498" s="674"/>
      <c r="C498" s="674"/>
      <c r="D498" s="674"/>
      <c r="E498" s="674"/>
      <c r="F498" s="674"/>
      <c r="G498" s="674"/>
      <c r="H498" s="674"/>
      <c r="I498" s="674"/>
      <c r="J498" s="674"/>
      <c r="L498" s="674"/>
    </row>
    <row r="499">
      <c r="A499" s="674"/>
      <c r="B499" s="674"/>
      <c r="C499" s="674"/>
      <c r="D499" s="674"/>
      <c r="E499" s="674"/>
      <c r="F499" s="674"/>
      <c r="G499" s="674"/>
      <c r="H499" s="674"/>
      <c r="I499" s="674"/>
      <c r="J499" s="674"/>
      <c r="L499" s="674"/>
    </row>
    <row r="500">
      <c r="A500" s="674"/>
      <c r="B500" s="674"/>
      <c r="C500" s="674"/>
      <c r="D500" s="674"/>
      <c r="E500" s="674"/>
      <c r="F500" s="674"/>
      <c r="G500" s="674"/>
      <c r="H500" s="674"/>
      <c r="I500" s="674"/>
      <c r="J500" s="674"/>
      <c r="L500" s="674"/>
    </row>
    <row r="501">
      <c r="A501" s="674"/>
      <c r="B501" s="674"/>
      <c r="C501" s="674"/>
      <c r="D501" s="674"/>
      <c r="E501" s="674"/>
      <c r="F501" s="674"/>
      <c r="G501" s="674"/>
      <c r="H501" s="674"/>
      <c r="I501" s="674"/>
      <c r="J501" s="674"/>
      <c r="L501" s="674"/>
    </row>
    <row r="502">
      <c r="A502" s="674"/>
      <c r="B502" s="674"/>
      <c r="C502" s="674"/>
      <c r="D502" s="674"/>
      <c r="E502" s="674"/>
      <c r="F502" s="674"/>
      <c r="G502" s="674"/>
      <c r="H502" s="674"/>
      <c r="I502" s="674"/>
      <c r="J502" s="674"/>
      <c r="L502" s="674"/>
    </row>
    <row r="503">
      <c r="A503" s="674"/>
      <c r="B503" s="674"/>
      <c r="C503" s="674"/>
      <c r="D503" s="674"/>
      <c r="E503" s="674"/>
      <c r="F503" s="674"/>
      <c r="G503" s="674"/>
      <c r="H503" s="674"/>
      <c r="I503" s="674"/>
      <c r="J503" s="674"/>
      <c r="L503" s="674"/>
    </row>
    <row r="504">
      <c r="A504" s="674"/>
      <c r="B504" s="674"/>
      <c r="C504" s="674"/>
      <c r="D504" s="674"/>
      <c r="E504" s="674"/>
      <c r="F504" s="674"/>
      <c r="G504" s="674"/>
      <c r="H504" s="674"/>
      <c r="I504" s="674"/>
      <c r="J504" s="674"/>
      <c r="L504" s="674"/>
    </row>
    <row r="505">
      <c r="A505" s="674"/>
      <c r="B505" s="674"/>
      <c r="C505" s="674"/>
      <c r="D505" s="674"/>
      <c r="E505" s="674"/>
      <c r="F505" s="674"/>
      <c r="G505" s="674"/>
      <c r="H505" s="674"/>
      <c r="I505" s="674"/>
      <c r="J505" s="674"/>
      <c r="L505" s="674"/>
    </row>
    <row r="506">
      <c r="A506" s="674"/>
      <c r="B506" s="674"/>
      <c r="C506" s="674"/>
      <c r="D506" s="674"/>
      <c r="E506" s="674"/>
      <c r="F506" s="674"/>
      <c r="G506" s="674"/>
      <c r="H506" s="674"/>
      <c r="I506" s="674"/>
      <c r="J506" s="674"/>
      <c r="L506" s="674"/>
    </row>
    <row r="507">
      <c r="A507" s="674"/>
      <c r="B507" s="674"/>
      <c r="C507" s="674"/>
      <c r="D507" s="674"/>
      <c r="E507" s="674"/>
      <c r="F507" s="674"/>
      <c r="G507" s="674"/>
      <c r="H507" s="674"/>
      <c r="I507" s="674"/>
      <c r="J507" s="674"/>
      <c r="L507" s="674"/>
    </row>
    <row r="508">
      <c r="A508" s="674"/>
      <c r="B508" s="674"/>
      <c r="C508" s="674"/>
      <c r="D508" s="674"/>
      <c r="E508" s="674"/>
      <c r="F508" s="674"/>
      <c r="G508" s="674"/>
      <c r="H508" s="674"/>
      <c r="I508" s="674"/>
      <c r="J508" s="674"/>
      <c r="L508" s="674"/>
    </row>
    <row r="509">
      <c r="A509" s="674"/>
      <c r="B509" s="674"/>
      <c r="C509" s="674"/>
      <c r="D509" s="674"/>
      <c r="E509" s="674"/>
      <c r="F509" s="674"/>
      <c r="G509" s="674"/>
      <c r="H509" s="674"/>
      <c r="I509" s="674"/>
      <c r="J509" s="674"/>
      <c r="L509" s="674"/>
    </row>
    <row r="510">
      <c r="A510" s="674"/>
      <c r="B510" s="674"/>
      <c r="C510" s="674"/>
      <c r="D510" s="674"/>
      <c r="E510" s="674"/>
      <c r="F510" s="674"/>
      <c r="G510" s="674"/>
      <c r="H510" s="674"/>
      <c r="I510" s="674"/>
      <c r="J510" s="674"/>
      <c r="L510" s="674"/>
    </row>
    <row r="511">
      <c r="A511" s="674"/>
      <c r="B511" s="674"/>
      <c r="C511" s="674"/>
      <c r="D511" s="674"/>
      <c r="E511" s="674"/>
      <c r="F511" s="674"/>
      <c r="G511" s="674"/>
      <c r="H511" s="674"/>
      <c r="I511" s="674"/>
      <c r="J511" s="674"/>
      <c r="L511" s="674"/>
    </row>
    <row r="512">
      <c r="A512" s="674"/>
      <c r="B512" s="674"/>
      <c r="C512" s="674"/>
      <c r="D512" s="674"/>
      <c r="E512" s="674"/>
      <c r="F512" s="674"/>
      <c r="G512" s="674"/>
      <c r="H512" s="674"/>
      <c r="I512" s="674"/>
      <c r="J512" s="674"/>
      <c r="L512" s="674"/>
    </row>
    <row r="513">
      <c r="A513" s="674"/>
      <c r="B513" s="674"/>
      <c r="C513" s="674"/>
      <c r="D513" s="674"/>
      <c r="E513" s="674"/>
      <c r="F513" s="674"/>
      <c r="G513" s="674"/>
      <c r="H513" s="674"/>
      <c r="I513" s="674"/>
      <c r="J513" s="674"/>
      <c r="L513" s="674"/>
    </row>
    <row r="514">
      <c r="A514" s="674"/>
      <c r="B514" s="674"/>
      <c r="C514" s="674"/>
      <c r="D514" s="674"/>
      <c r="E514" s="674"/>
      <c r="F514" s="674"/>
      <c r="G514" s="674"/>
      <c r="H514" s="674"/>
      <c r="I514" s="674"/>
      <c r="J514" s="674"/>
      <c r="L514" s="674"/>
    </row>
    <row r="515">
      <c r="A515" s="674"/>
      <c r="B515" s="674"/>
      <c r="C515" s="674"/>
      <c r="D515" s="674"/>
      <c r="E515" s="674"/>
      <c r="F515" s="674"/>
      <c r="G515" s="674"/>
      <c r="H515" s="674"/>
      <c r="I515" s="674"/>
      <c r="J515" s="674"/>
      <c r="L515" s="674"/>
    </row>
    <row r="516">
      <c r="A516" s="674"/>
      <c r="B516" s="674"/>
      <c r="C516" s="674"/>
      <c r="D516" s="674"/>
      <c r="E516" s="674"/>
      <c r="F516" s="674"/>
      <c r="G516" s="674"/>
      <c r="H516" s="674"/>
      <c r="I516" s="674"/>
      <c r="J516" s="674"/>
      <c r="L516" s="674"/>
    </row>
    <row r="517">
      <c r="A517" s="674"/>
      <c r="B517" s="674"/>
      <c r="C517" s="674"/>
      <c r="D517" s="674"/>
      <c r="E517" s="674"/>
      <c r="F517" s="674"/>
      <c r="G517" s="674"/>
      <c r="H517" s="674"/>
      <c r="I517" s="674"/>
      <c r="J517" s="674"/>
      <c r="L517" s="674"/>
    </row>
    <row r="518">
      <c r="A518" s="674"/>
      <c r="B518" s="674"/>
      <c r="C518" s="674"/>
      <c r="D518" s="674"/>
      <c r="E518" s="674"/>
      <c r="F518" s="674"/>
      <c r="G518" s="674"/>
      <c r="H518" s="674"/>
      <c r="I518" s="674"/>
      <c r="J518" s="674"/>
      <c r="L518" s="674"/>
    </row>
    <row r="519">
      <c r="A519" s="674"/>
      <c r="B519" s="674"/>
      <c r="C519" s="674"/>
      <c r="D519" s="674"/>
      <c r="E519" s="674"/>
      <c r="F519" s="674"/>
      <c r="G519" s="674"/>
      <c r="H519" s="674"/>
      <c r="I519" s="674"/>
      <c r="J519" s="674"/>
      <c r="L519" s="674"/>
    </row>
    <row r="520">
      <c r="A520" s="674"/>
      <c r="B520" s="674"/>
      <c r="C520" s="674"/>
      <c r="D520" s="674"/>
      <c r="E520" s="674"/>
      <c r="F520" s="674"/>
      <c r="G520" s="674"/>
      <c r="H520" s="674"/>
      <c r="I520" s="674"/>
      <c r="J520" s="674"/>
      <c r="L520" s="674"/>
    </row>
    <row r="521">
      <c r="A521" s="674"/>
      <c r="B521" s="674"/>
      <c r="C521" s="674"/>
      <c r="D521" s="674"/>
      <c r="E521" s="674"/>
      <c r="F521" s="674"/>
      <c r="G521" s="674"/>
      <c r="H521" s="674"/>
      <c r="I521" s="674"/>
      <c r="J521" s="674"/>
      <c r="L521" s="674"/>
    </row>
    <row r="522">
      <c r="A522" s="674"/>
      <c r="B522" s="674"/>
      <c r="C522" s="674"/>
      <c r="D522" s="674"/>
      <c r="E522" s="674"/>
      <c r="F522" s="674"/>
      <c r="G522" s="674"/>
      <c r="H522" s="674"/>
      <c r="I522" s="674"/>
      <c r="J522" s="674"/>
      <c r="L522" s="674"/>
    </row>
    <row r="523">
      <c r="A523" s="674"/>
      <c r="B523" s="674"/>
      <c r="C523" s="674"/>
      <c r="D523" s="674"/>
      <c r="E523" s="674"/>
      <c r="F523" s="674"/>
      <c r="G523" s="674"/>
      <c r="H523" s="674"/>
      <c r="I523" s="674"/>
      <c r="J523" s="674"/>
      <c r="L523" s="674"/>
    </row>
    <row r="524">
      <c r="A524" s="674"/>
      <c r="B524" s="674"/>
      <c r="C524" s="674"/>
      <c r="D524" s="674"/>
      <c r="E524" s="674"/>
      <c r="F524" s="674"/>
      <c r="G524" s="674"/>
      <c r="H524" s="674"/>
      <c r="I524" s="674"/>
      <c r="J524" s="674"/>
      <c r="L524" s="674"/>
    </row>
    <row r="525">
      <c r="A525" s="674"/>
      <c r="B525" s="674"/>
      <c r="C525" s="674"/>
      <c r="D525" s="674"/>
      <c r="E525" s="674"/>
      <c r="F525" s="674"/>
      <c r="G525" s="674"/>
      <c r="H525" s="674"/>
      <c r="I525" s="674"/>
      <c r="J525" s="674"/>
      <c r="L525" s="674"/>
    </row>
    <row r="526">
      <c r="A526" s="674"/>
      <c r="B526" s="674"/>
      <c r="C526" s="674"/>
      <c r="D526" s="674"/>
      <c r="E526" s="674"/>
      <c r="F526" s="674"/>
      <c r="G526" s="674"/>
      <c r="H526" s="674"/>
      <c r="I526" s="674"/>
      <c r="J526" s="674"/>
      <c r="L526" s="674"/>
    </row>
    <row r="527">
      <c r="A527" s="674"/>
      <c r="B527" s="674"/>
      <c r="C527" s="674"/>
      <c r="D527" s="674"/>
      <c r="E527" s="674"/>
      <c r="F527" s="674"/>
      <c r="G527" s="674"/>
      <c r="H527" s="674"/>
      <c r="I527" s="674"/>
      <c r="J527" s="674"/>
      <c r="L527" s="674"/>
    </row>
    <row r="528">
      <c r="A528" s="674"/>
      <c r="B528" s="674"/>
      <c r="C528" s="674"/>
      <c r="D528" s="674"/>
      <c r="E528" s="674"/>
      <c r="F528" s="674"/>
      <c r="G528" s="674"/>
      <c r="H528" s="674"/>
      <c r="I528" s="674"/>
      <c r="J528" s="674"/>
      <c r="L528" s="674"/>
    </row>
    <row r="529">
      <c r="A529" s="674"/>
      <c r="B529" s="674"/>
      <c r="C529" s="674"/>
      <c r="D529" s="674"/>
      <c r="E529" s="674"/>
      <c r="F529" s="674"/>
      <c r="G529" s="674"/>
      <c r="H529" s="674"/>
      <c r="I529" s="674"/>
      <c r="J529" s="674"/>
      <c r="L529" s="674"/>
    </row>
    <row r="530">
      <c r="A530" s="674"/>
      <c r="B530" s="674"/>
      <c r="C530" s="674"/>
      <c r="D530" s="674"/>
      <c r="E530" s="674"/>
      <c r="F530" s="674"/>
      <c r="G530" s="674"/>
      <c r="H530" s="674"/>
      <c r="I530" s="674"/>
      <c r="J530" s="674"/>
      <c r="L530" s="674"/>
    </row>
    <row r="531">
      <c r="A531" s="674"/>
      <c r="B531" s="674"/>
      <c r="C531" s="674"/>
      <c r="D531" s="674"/>
      <c r="E531" s="674"/>
      <c r="F531" s="674"/>
      <c r="G531" s="674"/>
      <c r="H531" s="674"/>
      <c r="I531" s="674"/>
      <c r="J531" s="674"/>
      <c r="L531" s="674"/>
    </row>
    <row r="532">
      <c r="A532" s="674"/>
      <c r="B532" s="674"/>
      <c r="C532" s="674"/>
      <c r="D532" s="674"/>
      <c r="E532" s="674"/>
      <c r="F532" s="674"/>
      <c r="G532" s="674"/>
      <c r="H532" s="674"/>
      <c r="I532" s="674"/>
      <c r="J532" s="674"/>
      <c r="L532" s="674"/>
    </row>
    <row r="533">
      <c r="A533" s="674"/>
      <c r="B533" s="674"/>
      <c r="C533" s="674"/>
      <c r="D533" s="674"/>
      <c r="E533" s="674"/>
      <c r="F533" s="674"/>
      <c r="G533" s="674"/>
      <c r="H533" s="674"/>
      <c r="I533" s="674"/>
      <c r="J533" s="674"/>
      <c r="L533" s="674"/>
    </row>
    <row r="534">
      <c r="A534" s="674"/>
      <c r="B534" s="674"/>
      <c r="C534" s="674"/>
      <c r="D534" s="674"/>
      <c r="E534" s="674"/>
      <c r="F534" s="674"/>
      <c r="G534" s="674"/>
      <c r="H534" s="674"/>
      <c r="I534" s="674"/>
      <c r="J534" s="674"/>
      <c r="L534" s="674"/>
    </row>
    <row r="535">
      <c r="A535" s="674"/>
      <c r="B535" s="674"/>
      <c r="C535" s="674"/>
      <c r="D535" s="674"/>
      <c r="E535" s="674"/>
      <c r="F535" s="674"/>
      <c r="G535" s="674"/>
      <c r="H535" s="674"/>
      <c r="I535" s="674"/>
      <c r="J535" s="674"/>
      <c r="L535" s="674"/>
    </row>
    <row r="536">
      <c r="A536" s="674"/>
      <c r="B536" s="674"/>
      <c r="C536" s="674"/>
      <c r="D536" s="674"/>
      <c r="E536" s="674"/>
      <c r="F536" s="674"/>
      <c r="G536" s="674"/>
      <c r="H536" s="674"/>
      <c r="I536" s="674"/>
      <c r="J536" s="674"/>
      <c r="L536" s="674"/>
    </row>
    <row r="537">
      <c r="A537" s="674"/>
      <c r="B537" s="674"/>
      <c r="C537" s="674"/>
      <c r="D537" s="674"/>
      <c r="E537" s="674"/>
      <c r="F537" s="674"/>
      <c r="G537" s="674"/>
      <c r="H537" s="674"/>
      <c r="I537" s="674"/>
      <c r="J537" s="674"/>
      <c r="L537" s="674"/>
    </row>
    <row r="538">
      <c r="A538" s="674"/>
      <c r="B538" s="674"/>
      <c r="C538" s="674"/>
      <c r="D538" s="674"/>
      <c r="E538" s="674"/>
      <c r="F538" s="674"/>
      <c r="G538" s="674"/>
      <c r="H538" s="674"/>
      <c r="I538" s="674"/>
      <c r="J538" s="674"/>
      <c r="L538" s="674"/>
    </row>
    <row r="539">
      <c r="A539" s="674"/>
      <c r="B539" s="674"/>
      <c r="C539" s="674"/>
      <c r="D539" s="674"/>
      <c r="E539" s="674"/>
      <c r="F539" s="674"/>
      <c r="G539" s="674"/>
      <c r="H539" s="674"/>
      <c r="I539" s="674"/>
      <c r="J539" s="674"/>
      <c r="L539" s="674"/>
    </row>
    <row r="540">
      <c r="A540" s="674"/>
      <c r="B540" s="674"/>
      <c r="C540" s="674"/>
      <c r="D540" s="674"/>
      <c r="E540" s="674"/>
      <c r="F540" s="674"/>
      <c r="G540" s="674"/>
      <c r="H540" s="674"/>
      <c r="I540" s="674"/>
      <c r="J540" s="674"/>
      <c r="L540" s="674"/>
    </row>
    <row r="541">
      <c r="A541" s="674"/>
      <c r="B541" s="674"/>
      <c r="C541" s="674"/>
      <c r="D541" s="674"/>
      <c r="E541" s="674"/>
      <c r="F541" s="674"/>
      <c r="G541" s="674"/>
      <c r="H541" s="674"/>
      <c r="I541" s="674"/>
      <c r="J541" s="674"/>
      <c r="L541" s="674"/>
    </row>
    <row r="542">
      <c r="A542" s="674"/>
      <c r="B542" s="674"/>
      <c r="C542" s="674"/>
      <c r="D542" s="674"/>
      <c r="E542" s="674"/>
      <c r="F542" s="674"/>
      <c r="G542" s="674"/>
      <c r="H542" s="674"/>
      <c r="I542" s="674"/>
      <c r="J542" s="674"/>
      <c r="L542" s="674"/>
    </row>
    <row r="543">
      <c r="A543" s="674"/>
      <c r="B543" s="674"/>
      <c r="C543" s="674"/>
      <c r="D543" s="674"/>
      <c r="E543" s="674"/>
      <c r="F543" s="674"/>
      <c r="G543" s="674"/>
      <c r="H543" s="674"/>
      <c r="I543" s="674"/>
      <c r="J543" s="674"/>
      <c r="L543" s="674"/>
    </row>
    <row r="544">
      <c r="A544" s="674"/>
      <c r="B544" s="674"/>
      <c r="C544" s="674"/>
      <c r="D544" s="674"/>
      <c r="E544" s="674"/>
      <c r="F544" s="674"/>
      <c r="G544" s="674"/>
      <c r="H544" s="674"/>
      <c r="I544" s="674"/>
      <c r="J544" s="674"/>
      <c r="L544" s="674"/>
    </row>
    <row r="545">
      <c r="A545" s="674"/>
      <c r="B545" s="674"/>
      <c r="C545" s="674"/>
      <c r="D545" s="674"/>
      <c r="E545" s="674"/>
      <c r="F545" s="674"/>
      <c r="G545" s="674"/>
      <c r="H545" s="674"/>
      <c r="I545" s="674"/>
      <c r="J545" s="674"/>
      <c r="L545" s="674"/>
    </row>
    <row r="546">
      <c r="A546" s="674"/>
      <c r="B546" s="674"/>
      <c r="C546" s="674"/>
      <c r="D546" s="674"/>
      <c r="E546" s="674"/>
      <c r="F546" s="674"/>
      <c r="G546" s="674"/>
      <c r="H546" s="674"/>
      <c r="I546" s="674"/>
      <c r="J546" s="674"/>
      <c r="L546" s="674"/>
    </row>
    <row r="547">
      <c r="A547" s="674"/>
      <c r="B547" s="674"/>
      <c r="C547" s="674"/>
      <c r="D547" s="674"/>
      <c r="E547" s="674"/>
      <c r="F547" s="674"/>
      <c r="G547" s="674"/>
      <c r="H547" s="674"/>
      <c r="I547" s="674"/>
      <c r="J547" s="674"/>
      <c r="L547" s="674"/>
    </row>
    <row r="548">
      <c r="A548" s="674"/>
      <c r="B548" s="674"/>
      <c r="C548" s="674"/>
      <c r="D548" s="674"/>
      <c r="E548" s="674"/>
      <c r="F548" s="674"/>
      <c r="G548" s="674"/>
      <c r="H548" s="674"/>
      <c r="I548" s="674"/>
      <c r="J548" s="674"/>
      <c r="L548" s="674"/>
    </row>
    <row r="549">
      <c r="A549" s="674"/>
      <c r="B549" s="674"/>
      <c r="C549" s="674"/>
      <c r="D549" s="674"/>
      <c r="E549" s="674"/>
      <c r="F549" s="674"/>
      <c r="G549" s="674"/>
      <c r="H549" s="674"/>
      <c r="I549" s="674"/>
      <c r="J549" s="674"/>
      <c r="L549" s="674"/>
    </row>
    <row r="550">
      <c r="A550" s="674"/>
      <c r="B550" s="674"/>
      <c r="C550" s="674"/>
      <c r="D550" s="674"/>
      <c r="E550" s="674"/>
      <c r="F550" s="674"/>
      <c r="G550" s="674"/>
      <c r="H550" s="674"/>
      <c r="I550" s="674"/>
      <c r="J550" s="674"/>
      <c r="L550" s="674"/>
    </row>
    <row r="551">
      <c r="A551" s="674"/>
      <c r="B551" s="674"/>
      <c r="C551" s="674"/>
      <c r="D551" s="674"/>
      <c r="E551" s="674"/>
      <c r="F551" s="674"/>
      <c r="G551" s="674"/>
      <c r="H551" s="674"/>
      <c r="I551" s="674"/>
      <c r="J551" s="674"/>
      <c r="L551" s="674"/>
    </row>
    <row r="552">
      <c r="A552" s="674"/>
      <c r="B552" s="674"/>
      <c r="C552" s="674"/>
      <c r="D552" s="674"/>
      <c r="E552" s="674"/>
      <c r="F552" s="674"/>
      <c r="G552" s="674"/>
      <c r="H552" s="674"/>
      <c r="I552" s="674"/>
      <c r="J552" s="674"/>
      <c r="L552" s="674"/>
    </row>
    <row r="553">
      <c r="A553" s="674"/>
      <c r="B553" s="674"/>
      <c r="C553" s="674"/>
      <c r="D553" s="674"/>
      <c r="E553" s="674"/>
      <c r="F553" s="674"/>
      <c r="G553" s="674"/>
      <c r="H553" s="674"/>
      <c r="I553" s="674"/>
      <c r="J553" s="674"/>
      <c r="L553" s="674"/>
    </row>
    <row r="554">
      <c r="A554" s="674"/>
      <c r="B554" s="674"/>
      <c r="C554" s="674"/>
      <c r="D554" s="674"/>
      <c r="E554" s="674"/>
      <c r="F554" s="674"/>
      <c r="G554" s="674"/>
      <c r="H554" s="674"/>
      <c r="I554" s="674"/>
      <c r="J554" s="674"/>
      <c r="L554" s="674"/>
    </row>
    <row r="555">
      <c r="A555" s="674"/>
      <c r="B555" s="674"/>
      <c r="C555" s="674"/>
      <c r="D555" s="674"/>
      <c r="E555" s="674"/>
      <c r="F555" s="674"/>
      <c r="G555" s="674"/>
      <c r="H555" s="674"/>
      <c r="I555" s="674"/>
      <c r="J555" s="674"/>
      <c r="L555" s="674"/>
    </row>
    <row r="556">
      <c r="A556" s="674"/>
      <c r="B556" s="674"/>
      <c r="C556" s="674"/>
      <c r="D556" s="674"/>
      <c r="E556" s="674"/>
      <c r="F556" s="674"/>
      <c r="G556" s="674"/>
      <c r="H556" s="674"/>
      <c r="I556" s="674"/>
      <c r="J556" s="674"/>
      <c r="L556" s="674"/>
    </row>
    <row r="557">
      <c r="A557" s="674"/>
      <c r="B557" s="674"/>
      <c r="C557" s="674"/>
      <c r="D557" s="674"/>
      <c r="E557" s="674"/>
      <c r="F557" s="674"/>
      <c r="G557" s="674"/>
      <c r="H557" s="674"/>
      <c r="I557" s="674"/>
      <c r="J557" s="674"/>
      <c r="L557" s="674"/>
    </row>
    <row r="558">
      <c r="A558" s="674"/>
      <c r="B558" s="674"/>
      <c r="C558" s="674"/>
      <c r="D558" s="674"/>
      <c r="E558" s="674"/>
      <c r="F558" s="674"/>
      <c r="G558" s="674"/>
      <c r="H558" s="674"/>
      <c r="I558" s="674"/>
      <c r="J558" s="674"/>
      <c r="L558" s="674"/>
    </row>
    <row r="559">
      <c r="A559" s="674"/>
      <c r="B559" s="674"/>
      <c r="C559" s="674"/>
      <c r="D559" s="674"/>
      <c r="E559" s="674"/>
      <c r="F559" s="674"/>
      <c r="G559" s="674"/>
      <c r="H559" s="674"/>
      <c r="I559" s="674"/>
      <c r="J559" s="674"/>
      <c r="L559" s="674"/>
    </row>
    <row r="560">
      <c r="A560" s="674"/>
      <c r="B560" s="674"/>
      <c r="C560" s="674"/>
      <c r="D560" s="674"/>
      <c r="E560" s="674"/>
      <c r="F560" s="674"/>
      <c r="G560" s="674"/>
      <c r="H560" s="674"/>
      <c r="I560" s="674"/>
      <c r="J560" s="674"/>
      <c r="L560" s="674"/>
    </row>
    <row r="561">
      <c r="A561" s="674"/>
      <c r="B561" s="674"/>
      <c r="C561" s="674"/>
      <c r="D561" s="674"/>
      <c r="E561" s="674"/>
      <c r="F561" s="674"/>
      <c r="G561" s="674"/>
      <c r="H561" s="674"/>
      <c r="I561" s="674"/>
      <c r="J561" s="674"/>
      <c r="L561" s="674"/>
    </row>
    <row r="562">
      <c r="A562" s="674"/>
      <c r="B562" s="674"/>
      <c r="C562" s="674"/>
      <c r="D562" s="674"/>
      <c r="E562" s="674"/>
      <c r="F562" s="674"/>
      <c r="G562" s="674"/>
      <c r="H562" s="674"/>
      <c r="I562" s="674"/>
      <c r="J562" s="674"/>
      <c r="L562" s="674"/>
    </row>
    <row r="563">
      <c r="A563" s="674"/>
      <c r="B563" s="674"/>
      <c r="C563" s="674"/>
      <c r="D563" s="674"/>
      <c r="E563" s="674"/>
      <c r="F563" s="674"/>
      <c r="G563" s="674"/>
      <c r="H563" s="674"/>
      <c r="I563" s="674"/>
      <c r="J563" s="674"/>
      <c r="L563" s="674"/>
    </row>
    <row r="564">
      <c r="A564" s="674"/>
      <c r="B564" s="674"/>
      <c r="C564" s="674"/>
      <c r="D564" s="674"/>
      <c r="E564" s="674"/>
      <c r="F564" s="674"/>
      <c r="G564" s="674"/>
      <c r="H564" s="674"/>
      <c r="I564" s="674"/>
      <c r="J564" s="674"/>
      <c r="L564" s="674"/>
    </row>
    <row r="565">
      <c r="A565" s="674"/>
      <c r="B565" s="674"/>
      <c r="C565" s="674"/>
      <c r="D565" s="674"/>
      <c r="E565" s="674"/>
      <c r="F565" s="674"/>
      <c r="G565" s="674"/>
      <c r="H565" s="674"/>
      <c r="I565" s="674"/>
      <c r="J565" s="674"/>
      <c r="L565" s="674"/>
    </row>
    <row r="566">
      <c r="A566" s="674"/>
      <c r="B566" s="674"/>
      <c r="C566" s="674"/>
      <c r="D566" s="674"/>
      <c r="E566" s="674"/>
      <c r="F566" s="674"/>
      <c r="G566" s="674"/>
      <c r="H566" s="674"/>
      <c r="I566" s="674"/>
      <c r="J566" s="674"/>
      <c r="L566" s="674"/>
    </row>
    <row r="567">
      <c r="A567" s="674"/>
      <c r="B567" s="674"/>
      <c r="C567" s="674"/>
      <c r="D567" s="674"/>
      <c r="E567" s="674"/>
      <c r="F567" s="674"/>
      <c r="G567" s="674"/>
      <c r="H567" s="674"/>
      <c r="I567" s="674"/>
      <c r="J567" s="674"/>
      <c r="L567" s="674"/>
    </row>
    <row r="568">
      <c r="A568" s="674"/>
      <c r="B568" s="674"/>
      <c r="C568" s="674"/>
      <c r="D568" s="674"/>
      <c r="E568" s="674"/>
      <c r="F568" s="674"/>
      <c r="G568" s="674"/>
      <c r="H568" s="674"/>
      <c r="I568" s="674"/>
      <c r="J568" s="674"/>
      <c r="L568" s="674"/>
    </row>
    <row r="569">
      <c r="A569" s="674"/>
      <c r="B569" s="674"/>
      <c r="C569" s="674"/>
      <c r="D569" s="674"/>
      <c r="E569" s="674"/>
      <c r="F569" s="674"/>
      <c r="G569" s="674"/>
      <c r="H569" s="674"/>
      <c r="I569" s="674"/>
      <c r="J569" s="674"/>
      <c r="L569" s="674"/>
    </row>
    <row r="570">
      <c r="A570" s="674"/>
      <c r="B570" s="674"/>
      <c r="C570" s="674"/>
      <c r="D570" s="674"/>
      <c r="E570" s="674"/>
      <c r="F570" s="674"/>
      <c r="G570" s="674"/>
      <c r="H570" s="674"/>
      <c r="I570" s="674"/>
      <c r="J570" s="674"/>
      <c r="L570" s="674"/>
    </row>
    <row r="571">
      <c r="A571" s="674"/>
      <c r="B571" s="674"/>
      <c r="C571" s="674"/>
      <c r="D571" s="674"/>
      <c r="E571" s="674"/>
      <c r="F571" s="674"/>
      <c r="G571" s="674"/>
      <c r="H571" s="674"/>
      <c r="I571" s="674"/>
      <c r="J571" s="674"/>
      <c r="L571" s="674"/>
    </row>
    <row r="572">
      <c r="A572" s="674"/>
      <c r="B572" s="674"/>
      <c r="C572" s="674"/>
      <c r="D572" s="674"/>
      <c r="E572" s="674"/>
      <c r="F572" s="674"/>
      <c r="G572" s="674"/>
      <c r="H572" s="674"/>
      <c r="I572" s="674"/>
      <c r="J572" s="674"/>
      <c r="L572" s="674"/>
    </row>
    <row r="573">
      <c r="A573" s="674"/>
      <c r="B573" s="674"/>
      <c r="C573" s="674"/>
      <c r="D573" s="674"/>
      <c r="E573" s="674"/>
      <c r="F573" s="674"/>
      <c r="G573" s="674"/>
      <c r="H573" s="674"/>
      <c r="I573" s="674"/>
      <c r="J573" s="674"/>
      <c r="L573" s="674"/>
    </row>
    <row r="574">
      <c r="A574" s="674"/>
      <c r="B574" s="674"/>
      <c r="C574" s="674"/>
      <c r="D574" s="674"/>
      <c r="E574" s="674"/>
      <c r="F574" s="674"/>
      <c r="G574" s="674"/>
      <c r="H574" s="674"/>
      <c r="I574" s="674"/>
      <c r="J574" s="674"/>
      <c r="L574" s="674"/>
    </row>
    <row r="575">
      <c r="A575" s="674"/>
      <c r="B575" s="674"/>
      <c r="C575" s="674"/>
      <c r="D575" s="674"/>
      <c r="E575" s="674"/>
      <c r="F575" s="674"/>
      <c r="G575" s="674"/>
      <c r="H575" s="674"/>
      <c r="I575" s="674"/>
      <c r="J575" s="674"/>
      <c r="L575" s="674"/>
    </row>
    <row r="576">
      <c r="A576" s="674"/>
      <c r="B576" s="674"/>
      <c r="C576" s="674"/>
      <c r="D576" s="674"/>
      <c r="E576" s="674"/>
      <c r="F576" s="674"/>
      <c r="G576" s="674"/>
      <c r="H576" s="674"/>
      <c r="I576" s="674"/>
      <c r="J576" s="674"/>
      <c r="L576" s="674"/>
    </row>
    <row r="577">
      <c r="A577" s="674"/>
      <c r="B577" s="674"/>
      <c r="C577" s="674"/>
      <c r="D577" s="674"/>
      <c r="E577" s="674"/>
      <c r="F577" s="674"/>
      <c r="G577" s="674"/>
      <c r="H577" s="674"/>
      <c r="I577" s="674"/>
      <c r="J577" s="674"/>
      <c r="L577" s="674"/>
    </row>
    <row r="578">
      <c r="A578" s="674"/>
      <c r="B578" s="674"/>
      <c r="C578" s="674"/>
      <c r="D578" s="674"/>
      <c r="E578" s="674"/>
      <c r="F578" s="674"/>
      <c r="G578" s="674"/>
      <c r="H578" s="674"/>
      <c r="I578" s="674"/>
      <c r="J578" s="674"/>
      <c r="L578" s="674"/>
    </row>
    <row r="579">
      <c r="A579" s="674"/>
      <c r="B579" s="674"/>
      <c r="C579" s="674"/>
      <c r="D579" s="674"/>
      <c r="E579" s="674"/>
      <c r="F579" s="674"/>
      <c r="G579" s="674"/>
      <c r="H579" s="674"/>
      <c r="I579" s="674"/>
      <c r="J579" s="674"/>
      <c r="L579" s="674"/>
    </row>
    <row r="580">
      <c r="A580" s="674"/>
      <c r="B580" s="674"/>
      <c r="C580" s="674"/>
      <c r="D580" s="674"/>
      <c r="E580" s="674"/>
      <c r="F580" s="674"/>
      <c r="G580" s="674"/>
      <c r="H580" s="674"/>
      <c r="I580" s="674"/>
      <c r="J580" s="674"/>
      <c r="L580" s="674"/>
    </row>
    <row r="581">
      <c r="A581" s="674"/>
      <c r="B581" s="674"/>
      <c r="C581" s="674"/>
      <c r="D581" s="674"/>
      <c r="E581" s="674"/>
      <c r="F581" s="674"/>
      <c r="G581" s="674"/>
      <c r="H581" s="674"/>
      <c r="I581" s="674"/>
      <c r="J581" s="674"/>
      <c r="L581" s="674"/>
    </row>
    <row r="582">
      <c r="A582" s="674"/>
      <c r="B582" s="674"/>
      <c r="C582" s="674"/>
      <c r="D582" s="674"/>
      <c r="E582" s="674"/>
      <c r="F582" s="674"/>
      <c r="G582" s="674"/>
      <c r="H582" s="674"/>
      <c r="I582" s="674"/>
      <c r="J582" s="674"/>
      <c r="L582" s="674"/>
    </row>
    <row r="583">
      <c r="A583" s="674"/>
      <c r="B583" s="674"/>
      <c r="C583" s="674"/>
      <c r="D583" s="674"/>
      <c r="E583" s="674"/>
      <c r="F583" s="674"/>
      <c r="G583" s="674"/>
      <c r="H583" s="674"/>
      <c r="I583" s="674"/>
      <c r="J583" s="674"/>
      <c r="L583" s="674"/>
    </row>
    <row r="584">
      <c r="A584" s="674"/>
      <c r="B584" s="674"/>
      <c r="C584" s="674"/>
      <c r="D584" s="674"/>
      <c r="E584" s="674"/>
      <c r="F584" s="674"/>
      <c r="G584" s="674"/>
      <c r="H584" s="674"/>
      <c r="I584" s="674"/>
      <c r="J584" s="674"/>
      <c r="L584" s="674"/>
    </row>
    <row r="585">
      <c r="A585" s="674"/>
      <c r="B585" s="674"/>
      <c r="C585" s="674"/>
      <c r="D585" s="674"/>
      <c r="E585" s="674"/>
      <c r="F585" s="674"/>
      <c r="G585" s="674"/>
      <c r="H585" s="674"/>
      <c r="I585" s="674"/>
      <c r="J585" s="674"/>
      <c r="L585" s="674"/>
    </row>
    <row r="586">
      <c r="A586" s="674"/>
      <c r="B586" s="674"/>
      <c r="C586" s="674"/>
      <c r="D586" s="674"/>
      <c r="E586" s="674"/>
      <c r="F586" s="674"/>
      <c r="G586" s="674"/>
      <c r="H586" s="674"/>
      <c r="I586" s="674"/>
      <c r="J586" s="674"/>
      <c r="L586" s="674"/>
    </row>
    <row r="587">
      <c r="A587" s="674"/>
      <c r="B587" s="674"/>
      <c r="C587" s="674"/>
      <c r="D587" s="674"/>
      <c r="E587" s="674"/>
      <c r="F587" s="674"/>
      <c r="G587" s="674"/>
      <c r="H587" s="674"/>
      <c r="I587" s="674"/>
      <c r="J587" s="674"/>
      <c r="L587" s="674"/>
    </row>
    <row r="588">
      <c r="A588" s="674"/>
      <c r="B588" s="674"/>
      <c r="C588" s="674"/>
      <c r="D588" s="674"/>
      <c r="E588" s="674"/>
      <c r="F588" s="674"/>
      <c r="G588" s="674"/>
      <c r="H588" s="674"/>
      <c r="I588" s="674"/>
      <c r="J588" s="674"/>
      <c r="L588" s="674"/>
    </row>
    <row r="589">
      <c r="A589" s="674"/>
      <c r="B589" s="674"/>
      <c r="C589" s="674"/>
      <c r="D589" s="674"/>
      <c r="E589" s="674"/>
      <c r="F589" s="674"/>
      <c r="G589" s="674"/>
      <c r="H589" s="674"/>
      <c r="I589" s="674"/>
      <c r="J589" s="674"/>
      <c r="L589" s="674"/>
    </row>
    <row r="590">
      <c r="A590" s="674"/>
      <c r="B590" s="674"/>
      <c r="C590" s="674"/>
      <c r="D590" s="674"/>
      <c r="E590" s="674"/>
      <c r="F590" s="674"/>
      <c r="G590" s="674"/>
      <c r="H590" s="674"/>
      <c r="I590" s="674"/>
      <c r="J590" s="674"/>
      <c r="L590" s="674"/>
    </row>
    <row r="591">
      <c r="A591" s="674"/>
      <c r="B591" s="674"/>
      <c r="C591" s="674"/>
      <c r="D591" s="674"/>
      <c r="E591" s="674"/>
      <c r="F591" s="674"/>
      <c r="G591" s="674"/>
      <c r="H591" s="674"/>
      <c r="I591" s="674"/>
      <c r="J591" s="674"/>
      <c r="L591" s="674"/>
    </row>
    <row r="592">
      <c r="A592" s="674"/>
      <c r="B592" s="674"/>
      <c r="C592" s="674"/>
      <c r="D592" s="674"/>
      <c r="E592" s="674"/>
      <c r="F592" s="674"/>
      <c r="G592" s="674"/>
      <c r="H592" s="674"/>
      <c r="I592" s="674"/>
      <c r="J592" s="674"/>
      <c r="L592" s="674"/>
    </row>
    <row r="593">
      <c r="A593" s="674"/>
      <c r="B593" s="674"/>
      <c r="C593" s="674"/>
      <c r="D593" s="674"/>
      <c r="E593" s="674"/>
      <c r="F593" s="674"/>
      <c r="G593" s="674"/>
      <c r="H593" s="674"/>
      <c r="I593" s="674"/>
      <c r="J593" s="674"/>
      <c r="L593" s="674"/>
    </row>
    <row r="594">
      <c r="A594" s="674"/>
      <c r="B594" s="674"/>
      <c r="C594" s="674"/>
      <c r="D594" s="674"/>
      <c r="E594" s="674"/>
      <c r="F594" s="674"/>
      <c r="G594" s="674"/>
      <c r="H594" s="674"/>
      <c r="I594" s="674"/>
      <c r="J594" s="674"/>
      <c r="L594" s="674"/>
    </row>
    <row r="595">
      <c r="A595" s="674"/>
      <c r="B595" s="674"/>
      <c r="C595" s="674"/>
      <c r="D595" s="674"/>
      <c r="E595" s="674"/>
      <c r="F595" s="674"/>
      <c r="G595" s="674"/>
      <c r="H595" s="674"/>
      <c r="I595" s="674"/>
      <c r="J595" s="674"/>
      <c r="L595" s="674"/>
    </row>
    <row r="596">
      <c r="A596" s="674"/>
      <c r="B596" s="674"/>
      <c r="C596" s="674"/>
      <c r="D596" s="674"/>
      <c r="E596" s="674"/>
      <c r="F596" s="674"/>
      <c r="G596" s="674"/>
      <c r="H596" s="674"/>
      <c r="I596" s="674"/>
      <c r="J596" s="674"/>
      <c r="L596" s="674"/>
    </row>
    <row r="597">
      <c r="A597" s="674"/>
      <c r="B597" s="674"/>
      <c r="C597" s="674"/>
      <c r="D597" s="674"/>
      <c r="E597" s="674"/>
      <c r="F597" s="674"/>
      <c r="G597" s="674"/>
      <c r="H597" s="674"/>
      <c r="I597" s="674"/>
      <c r="J597" s="674"/>
      <c r="L597" s="674"/>
    </row>
    <row r="598">
      <c r="A598" s="674"/>
      <c r="B598" s="674"/>
      <c r="C598" s="674"/>
      <c r="D598" s="674"/>
      <c r="E598" s="674"/>
      <c r="F598" s="674"/>
      <c r="G598" s="674"/>
      <c r="H598" s="674"/>
      <c r="I598" s="674"/>
      <c r="J598" s="674"/>
      <c r="L598" s="674"/>
    </row>
    <row r="599">
      <c r="A599" s="674"/>
      <c r="B599" s="674"/>
      <c r="C599" s="674"/>
      <c r="D599" s="674"/>
      <c r="E599" s="674"/>
      <c r="F599" s="674"/>
      <c r="G599" s="674"/>
      <c r="H599" s="674"/>
      <c r="I599" s="674"/>
      <c r="J599" s="674"/>
      <c r="L599" s="674"/>
    </row>
    <row r="600">
      <c r="A600" s="674"/>
      <c r="B600" s="674"/>
      <c r="C600" s="674"/>
      <c r="D600" s="674"/>
      <c r="E600" s="674"/>
      <c r="F600" s="674"/>
      <c r="G600" s="674"/>
      <c r="H600" s="674"/>
      <c r="I600" s="674"/>
      <c r="J600" s="674"/>
      <c r="L600" s="674"/>
    </row>
    <row r="601">
      <c r="A601" s="674"/>
      <c r="B601" s="674"/>
      <c r="C601" s="674"/>
      <c r="D601" s="674"/>
      <c r="E601" s="674"/>
      <c r="F601" s="674"/>
      <c r="G601" s="674"/>
      <c r="H601" s="674"/>
      <c r="I601" s="674"/>
      <c r="J601" s="674"/>
      <c r="L601" s="674"/>
    </row>
    <row r="602">
      <c r="A602" s="674"/>
      <c r="B602" s="674"/>
      <c r="C602" s="674"/>
      <c r="D602" s="674"/>
      <c r="E602" s="674"/>
      <c r="F602" s="674"/>
      <c r="G602" s="674"/>
      <c r="H602" s="674"/>
      <c r="I602" s="674"/>
      <c r="J602" s="674"/>
      <c r="L602" s="674"/>
    </row>
    <row r="603">
      <c r="A603" s="674"/>
      <c r="B603" s="674"/>
      <c r="C603" s="674"/>
      <c r="D603" s="674"/>
      <c r="E603" s="674"/>
      <c r="F603" s="674"/>
      <c r="G603" s="674"/>
      <c r="H603" s="674"/>
      <c r="I603" s="674"/>
      <c r="J603" s="674"/>
      <c r="L603" s="674"/>
    </row>
    <row r="604">
      <c r="A604" s="674"/>
      <c r="B604" s="674"/>
      <c r="C604" s="674"/>
      <c r="D604" s="674"/>
      <c r="E604" s="674"/>
      <c r="F604" s="674"/>
      <c r="G604" s="674"/>
      <c r="H604" s="674"/>
      <c r="I604" s="674"/>
      <c r="J604" s="674"/>
      <c r="L604" s="674"/>
    </row>
    <row r="605">
      <c r="A605" s="674"/>
      <c r="B605" s="674"/>
      <c r="C605" s="674"/>
      <c r="D605" s="674"/>
      <c r="E605" s="674"/>
      <c r="F605" s="674"/>
      <c r="G605" s="674"/>
      <c r="H605" s="674"/>
      <c r="I605" s="674"/>
      <c r="J605" s="674"/>
      <c r="L605" s="674"/>
    </row>
    <row r="606">
      <c r="A606" s="674"/>
      <c r="B606" s="674"/>
      <c r="C606" s="674"/>
      <c r="D606" s="674"/>
      <c r="E606" s="674"/>
      <c r="F606" s="674"/>
      <c r="G606" s="674"/>
      <c r="H606" s="674"/>
      <c r="I606" s="674"/>
      <c r="J606" s="674"/>
      <c r="L606" s="674"/>
    </row>
    <row r="607">
      <c r="A607" s="674"/>
      <c r="B607" s="674"/>
      <c r="C607" s="674"/>
      <c r="D607" s="674"/>
      <c r="E607" s="674"/>
      <c r="F607" s="674"/>
      <c r="G607" s="674"/>
      <c r="H607" s="674"/>
      <c r="I607" s="674"/>
      <c r="J607" s="674"/>
      <c r="L607" s="674"/>
    </row>
    <row r="608">
      <c r="A608" s="674"/>
      <c r="B608" s="674"/>
      <c r="C608" s="674"/>
      <c r="D608" s="674"/>
      <c r="E608" s="674"/>
      <c r="F608" s="674"/>
      <c r="G608" s="674"/>
      <c r="H608" s="674"/>
      <c r="I608" s="674"/>
      <c r="J608" s="674"/>
      <c r="L608" s="674"/>
    </row>
    <row r="609">
      <c r="A609" s="674"/>
      <c r="B609" s="674"/>
      <c r="C609" s="674"/>
      <c r="D609" s="674"/>
      <c r="E609" s="674"/>
      <c r="F609" s="674"/>
      <c r="G609" s="674"/>
      <c r="H609" s="674"/>
      <c r="I609" s="674"/>
      <c r="J609" s="674"/>
      <c r="L609" s="674"/>
    </row>
    <row r="610">
      <c r="A610" s="674"/>
      <c r="B610" s="674"/>
      <c r="C610" s="674"/>
      <c r="D610" s="674"/>
      <c r="E610" s="674"/>
      <c r="F610" s="674"/>
      <c r="G610" s="674"/>
      <c r="H610" s="674"/>
      <c r="I610" s="674"/>
      <c r="J610" s="674"/>
      <c r="L610" s="674"/>
    </row>
    <row r="611">
      <c r="A611" s="674"/>
      <c r="B611" s="674"/>
      <c r="C611" s="674"/>
      <c r="D611" s="674"/>
      <c r="E611" s="674"/>
      <c r="F611" s="674"/>
      <c r="G611" s="674"/>
      <c r="H611" s="674"/>
      <c r="I611" s="674"/>
      <c r="J611" s="674"/>
      <c r="L611" s="674"/>
    </row>
    <row r="612">
      <c r="A612" s="674"/>
      <c r="B612" s="674"/>
      <c r="C612" s="674"/>
      <c r="D612" s="674"/>
      <c r="E612" s="674"/>
      <c r="F612" s="674"/>
      <c r="G612" s="674"/>
      <c r="H612" s="674"/>
      <c r="I612" s="674"/>
      <c r="J612" s="674"/>
      <c r="L612" s="674"/>
    </row>
    <row r="613">
      <c r="A613" s="674"/>
      <c r="B613" s="674"/>
      <c r="C613" s="674"/>
      <c r="D613" s="674"/>
      <c r="E613" s="674"/>
      <c r="F613" s="674"/>
      <c r="G613" s="674"/>
      <c r="H613" s="674"/>
      <c r="I613" s="674"/>
      <c r="J613" s="674"/>
      <c r="L613" s="674"/>
    </row>
    <row r="614">
      <c r="A614" s="674"/>
      <c r="B614" s="674"/>
      <c r="C614" s="674"/>
      <c r="D614" s="674"/>
      <c r="E614" s="674"/>
      <c r="F614" s="674"/>
      <c r="G614" s="674"/>
      <c r="H614" s="674"/>
      <c r="I614" s="674"/>
      <c r="J614" s="674"/>
      <c r="L614" s="674"/>
    </row>
    <row r="615">
      <c r="A615" s="674"/>
      <c r="B615" s="674"/>
      <c r="C615" s="674"/>
      <c r="D615" s="674"/>
      <c r="E615" s="674"/>
      <c r="F615" s="674"/>
      <c r="G615" s="674"/>
      <c r="H615" s="674"/>
      <c r="I615" s="674"/>
      <c r="J615" s="674"/>
      <c r="L615" s="674"/>
    </row>
    <row r="616">
      <c r="A616" s="674"/>
      <c r="B616" s="674"/>
      <c r="C616" s="674"/>
      <c r="D616" s="674"/>
      <c r="E616" s="674"/>
      <c r="F616" s="674"/>
      <c r="G616" s="674"/>
      <c r="H616" s="674"/>
      <c r="I616" s="674"/>
      <c r="J616" s="674"/>
      <c r="L616" s="674"/>
    </row>
    <row r="617">
      <c r="A617" s="674"/>
      <c r="B617" s="674"/>
      <c r="C617" s="674"/>
      <c r="D617" s="674"/>
      <c r="E617" s="674"/>
      <c r="F617" s="674"/>
      <c r="G617" s="674"/>
      <c r="H617" s="674"/>
      <c r="I617" s="674"/>
      <c r="J617" s="674"/>
      <c r="L617" s="674"/>
    </row>
    <row r="618">
      <c r="A618" s="674"/>
      <c r="B618" s="674"/>
      <c r="C618" s="674"/>
      <c r="D618" s="674"/>
      <c r="E618" s="674"/>
      <c r="F618" s="674"/>
      <c r="G618" s="674"/>
      <c r="H618" s="674"/>
      <c r="I618" s="674"/>
      <c r="J618" s="674"/>
      <c r="L618" s="674"/>
    </row>
    <row r="619">
      <c r="A619" s="674"/>
      <c r="B619" s="674"/>
      <c r="C619" s="674"/>
      <c r="D619" s="674"/>
      <c r="E619" s="674"/>
      <c r="F619" s="674"/>
      <c r="G619" s="674"/>
      <c r="H619" s="674"/>
      <c r="I619" s="674"/>
      <c r="J619" s="674"/>
      <c r="L619" s="674"/>
    </row>
    <row r="620">
      <c r="A620" s="674"/>
      <c r="B620" s="674"/>
      <c r="C620" s="674"/>
      <c r="D620" s="674"/>
      <c r="E620" s="674"/>
      <c r="F620" s="674"/>
      <c r="G620" s="674"/>
      <c r="H620" s="674"/>
      <c r="I620" s="674"/>
      <c r="J620" s="674"/>
      <c r="L620" s="674"/>
    </row>
    <row r="621">
      <c r="A621" s="674"/>
      <c r="B621" s="674"/>
      <c r="C621" s="674"/>
      <c r="D621" s="674"/>
      <c r="E621" s="674"/>
      <c r="F621" s="674"/>
      <c r="G621" s="674"/>
      <c r="H621" s="674"/>
      <c r="I621" s="674"/>
      <c r="J621" s="674"/>
      <c r="L621" s="674"/>
    </row>
    <row r="622">
      <c r="A622" s="674"/>
      <c r="B622" s="674"/>
      <c r="C622" s="674"/>
      <c r="D622" s="674"/>
      <c r="E622" s="674"/>
      <c r="F622" s="674"/>
      <c r="G622" s="674"/>
      <c r="H622" s="674"/>
      <c r="I622" s="674"/>
      <c r="J622" s="674"/>
      <c r="L622" s="674"/>
    </row>
    <row r="623">
      <c r="A623" s="674"/>
      <c r="B623" s="674"/>
      <c r="C623" s="674"/>
      <c r="D623" s="674"/>
      <c r="E623" s="674"/>
      <c r="F623" s="674"/>
      <c r="G623" s="674"/>
      <c r="H623" s="674"/>
      <c r="I623" s="674"/>
      <c r="J623" s="674"/>
      <c r="L623" s="674"/>
    </row>
    <row r="624">
      <c r="A624" s="674"/>
      <c r="B624" s="674"/>
      <c r="C624" s="674"/>
      <c r="D624" s="674"/>
      <c r="E624" s="674"/>
      <c r="F624" s="674"/>
      <c r="G624" s="674"/>
      <c r="H624" s="674"/>
      <c r="I624" s="674"/>
      <c r="J624" s="674"/>
      <c r="L624" s="674"/>
    </row>
    <row r="625">
      <c r="A625" s="674"/>
      <c r="B625" s="674"/>
      <c r="C625" s="674"/>
      <c r="D625" s="674"/>
      <c r="E625" s="674"/>
      <c r="F625" s="674"/>
      <c r="G625" s="674"/>
      <c r="H625" s="674"/>
      <c r="I625" s="674"/>
      <c r="J625" s="674"/>
      <c r="L625" s="674"/>
    </row>
    <row r="626">
      <c r="A626" s="674"/>
      <c r="B626" s="674"/>
      <c r="C626" s="674"/>
      <c r="D626" s="674"/>
      <c r="E626" s="674"/>
      <c r="F626" s="674"/>
      <c r="G626" s="674"/>
      <c r="H626" s="674"/>
      <c r="I626" s="674"/>
      <c r="J626" s="674"/>
      <c r="L626" s="674"/>
    </row>
    <row r="627">
      <c r="A627" s="674"/>
      <c r="B627" s="674"/>
      <c r="C627" s="674"/>
      <c r="D627" s="674"/>
      <c r="E627" s="674"/>
      <c r="F627" s="674"/>
      <c r="G627" s="674"/>
      <c r="H627" s="674"/>
      <c r="I627" s="674"/>
      <c r="J627" s="674"/>
      <c r="L627" s="674"/>
    </row>
    <row r="628">
      <c r="A628" s="674"/>
      <c r="B628" s="674"/>
      <c r="C628" s="674"/>
      <c r="D628" s="674"/>
      <c r="E628" s="674"/>
      <c r="F628" s="674"/>
      <c r="G628" s="674"/>
      <c r="H628" s="674"/>
      <c r="I628" s="674"/>
      <c r="J628" s="674"/>
      <c r="L628" s="674"/>
    </row>
    <row r="629">
      <c r="A629" s="674"/>
      <c r="B629" s="674"/>
      <c r="C629" s="674"/>
      <c r="D629" s="674"/>
      <c r="E629" s="674"/>
      <c r="F629" s="674"/>
      <c r="G629" s="674"/>
      <c r="H629" s="674"/>
      <c r="I629" s="674"/>
      <c r="J629" s="674"/>
      <c r="L629" s="674"/>
    </row>
    <row r="630">
      <c r="A630" s="674"/>
      <c r="B630" s="674"/>
      <c r="C630" s="674"/>
      <c r="D630" s="674"/>
      <c r="E630" s="674"/>
      <c r="F630" s="674"/>
      <c r="G630" s="674"/>
      <c r="H630" s="674"/>
      <c r="I630" s="674"/>
      <c r="J630" s="674"/>
      <c r="L630" s="674"/>
    </row>
    <row r="631">
      <c r="A631" s="674"/>
      <c r="B631" s="674"/>
      <c r="C631" s="674"/>
      <c r="D631" s="674"/>
      <c r="E631" s="674"/>
      <c r="F631" s="674"/>
      <c r="G631" s="674"/>
      <c r="H631" s="674"/>
      <c r="I631" s="674"/>
      <c r="J631" s="674"/>
      <c r="L631" s="674"/>
    </row>
    <row r="632">
      <c r="A632" s="674"/>
      <c r="B632" s="674"/>
      <c r="C632" s="674"/>
      <c r="D632" s="674"/>
      <c r="E632" s="674"/>
      <c r="F632" s="674"/>
      <c r="G632" s="674"/>
      <c r="H632" s="674"/>
      <c r="I632" s="674"/>
      <c r="J632" s="674"/>
      <c r="L632" s="674"/>
    </row>
    <row r="633">
      <c r="A633" s="674"/>
      <c r="B633" s="674"/>
      <c r="C633" s="674"/>
      <c r="D633" s="674"/>
      <c r="E633" s="674"/>
      <c r="F633" s="674"/>
      <c r="G633" s="674"/>
      <c r="H633" s="674"/>
      <c r="I633" s="674"/>
      <c r="J633" s="674"/>
      <c r="L633" s="674"/>
    </row>
    <row r="634">
      <c r="A634" s="674"/>
      <c r="B634" s="674"/>
      <c r="C634" s="674"/>
      <c r="D634" s="674"/>
      <c r="E634" s="674"/>
      <c r="F634" s="674"/>
      <c r="G634" s="674"/>
      <c r="H634" s="674"/>
      <c r="I634" s="674"/>
      <c r="J634" s="674"/>
      <c r="L634" s="674"/>
    </row>
    <row r="635">
      <c r="A635" s="674"/>
      <c r="B635" s="674"/>
      <c r="C635" s="674"/>
      <c r="D635" s="674"/>
      <c r="E635" s="674"/>
      <c r="F635" s="674"/>
      <c r="G635" s="674"/>
      <c r="H635" s="674"/>
      <c r="I635" s="674"/>
      <c r="J635" s="674"/>
      <c r="L635" s="674"/>
    </row>
    <row r="636">
      <c r="A636" s="674"/>
      <c r="B636" s="674"/>
      <c r="C636" s="674"/>
      <c r="D636" s="674"/>
      <c r="E636" s="674"/>
      <c r="F636" s="674"/>
      <c r="G636" s="674"/>
      <c r="H636" s="674"/>
      <c r="I636" s="674"/>
      <c r="J636" s="674"/>
      <c r="L636" s="674"/>
    </row>
    <row r="637">
      <c r="A637" s="674"/>
      <c r="B637" s="674"/>
      <c r="C637" s="674"/>
      <c r="D637" s="674"/>
      <c r="E637" s="674"/>
      <c r="F637" s="674"/>
      <c r="G637" s="674"/>
      <c r="H637" s="674"/>
      <c r="I637" s="674"/>
      <c r="J637" s="674"/>
      <c r="L637" s="674"/>
    </row>
    <row r="638">
      <c r="A638" s="674"/>
      <c r="B638" s="674"/>
      <c r="C638" s="674"/>
      <c r="D638" s="674"/>
      <c r="E638" s="674"/>
      <c r="F638" s="674"/>
      <c r="G638" s="674"/>
      <c r="H638" s="674"/>
      <c r="I638" s="674"/>
      <c r="J638" s="674"/>
      <c r="L638" s="674"/>
    </row>
    <row r="639">
      <c r="A639" s="674"/>
      <c r="B639" s="674"/>
      <c r="C639" s="674"/>
      <c r="D639" s="674"/>
      <c r="E639" s="674"/>
      <c r="F639" s="674"/>
      <c r="G639" s="674"/>
      <c r="H639" s="674"/>
      <c r="I639" s="674"/>
      <c r="J639" s="674"/>
      <c r="L639" s="674"/>
    </row>
    <row r="640">
      <c r="A640" s="674"/>
      <c r="B640" s="674"/>
      <c r="C640" s="674"/>
      <c r="D640" s="674"/>
      <c r="E640" s="674"/>
      <c r="F640" s="674"/>
      <c r="G640" s="674"/>
      <c r="H640" s="674"/>
      <c r="I640" s="674"/>
      <c r="J640" s="674"/>
      <c r="L640" s="674"/>
    </row>
    <row r="641">
      <c r="A641" s="674"/>
      <c r="B641" s="674"/>
      <c r="C641" s="674"/>
      <c r="D641" s="674"/>
      <c r="E641" s="674"/>
      <c r="F641" s="674"/>
      <c r="G641" s="674"/>
      <c r="H641" s="674"/>
      <c r="I641" s="674"/>
      <c r="J641" s="674"/>
      <c r="L641" s="674"/>
    </row>
    <row r="642">
      <c r="A642" s="674"/>
      <c r="B642" s="674"/>
      <c r="C642" s="674"/>
      <c r="D642" s="674"/>
      <c r="E642" s="674"/>
      <c r="F642" s="674"/>
      <c r="G642" s="674"/>
      <c r="H642" s="674"/>
      <c r="I642" s="674"/>
      <c r="J642" s="674"/>
      <c r="L642" s="674"/>
    </row>
    <row r="643">
      <c r="A643" s="674"/>
      <c r="B643" s="674"/>
      <c r="C643" s="674"/>
      <c r="D643" s="674"/>
      <c r="E643" s="674"/>
      <c r="F643" s="674"/>
      <c r="G643" s="674"/>
      <c r="H643" s="674"/>
      <c r="I643" s="674"/>
      <c r="J643" s="674"/>
      <c r="L643" s="674"/>
    </row>
    <row r="644">
      <c r="A644" s="674"/>
      <c r="B644" s="674"/>
      <c r="C644" s="674"/>
      <c r="D644" s="674"/>
      <c r="E644" s="674"/>
      <c r="F644" s="674"/>
      <c r="G644" s="674"/>
      <c r="H644" s="674"/>
      <c r="I644" s="674"/>
      <c r="J644" s="674"/>
      <c r="L644" s="674"/>
    </row>
    <row r="645">
      <c r="A645" s="674"/>
      <c r="B645" s="674"/>
      <c r="C645" s="674"/>
      <c r="D645" s="674"/>
      <c r="E645" s="674"/>
      <c r="F645" s="674"/>
      <c r="G645" s="674"/>
      <c r="H645" s="674"/>
      <c r="I645" s="674"/>
      <c r="J645" s="674"/>
      <c r="L645" s="674"/>
    </row>
    <row r="646">
      <c r="A646" s="674"/>
      <c r="B646" s="674"/>
      <c r="C646" s="674"/>
      <c r="D646" s="674"/>
      <c r="E646" s="674"/>
      <c r="F646" s="674"/>
      <c r="G646" s="674"/>
      <c r="H646" s="674"/>
      <c r="I646" s="674"/>
      <c r="J646" s="674"/>
      <c r="L646" s="674"/>
    </row>
    <row r="647">
      <c r="A647" s="674"/>
      <c r="B647" s="674"/>
      <c r="C647" s="674"/>
      <c r="D647" s="674"/>
      <c r="E647" s="674"/>
      <c r="F647" s="674"/>
      <c r="G647" s="674"/>
      <c r="H647" s="674"/>
      <c r="I647" s="674"/>
      <c r="J647" s="674"/>
      <c r="L647" s="674"/>
    </row>
    <row r="648">
      <c r="A648" s="674"/>
      <c r="B648" s="674"/>
      <c r="C648" s="674"/>
      <c r="D648" s="674"/>
      <c r="E648" s="674"/>
      <c r="F648" s="674"/>
      <c r="G648" s="674"/>
      <c r="H648" s="674"/>
      <c r="I648" s="674"/>
      <c r="J648" s="674"/>
      <c r="L648" s="674"/>
    </row>
    <row r="649">
      <c r="A649" s="674"/>
      <c r="B649" s="674"/>
      <c r="C649" s="674"/>
      <c r="D649" s="674"/>
      <c r="E649" s="674"/>
      <c r="F649" s="674"/>
      <c r="G649" s="674"/>
      <c r="H649" s="674"/>
      <c r="I649" s="674"/>
      <c r="J649" s="674"/>
      <c r="L649" s="674"/>
    </row>
    <row r="650">
      <c r="A650" s="674"/>
      <c r="B650" s="674"/>
      <c r="C650" s="674"/>
      <c r="D650" s="674"/>
      <c r="E650" s="674"/>
      <c r="F650" s="674"/>
      <c r="G650" s="674"/>
      <c r="H650" s="674"/>
      <c r="I650" s="674"/>
      <c r="J650" s="674"/>
      <c r="L650" s="674"/>
    </row>
    <row r="651">
      <c r="A651" s="674"/>
      <c r="B651" s="674"/>
      <c r="C651" s="674"/>
      <c r="D651" s="674"/>
      <c r="E651" s="674"/>
      <c r="F651" s="674"/>
      <c r="G651" s="674"/>
      <c r="H651" s="674"/>
      <c r="I651" s="674"/>
      <c r="J651" s="674"/>
      <c r="L651" s="674"/>
    </row>
    <row r="652">
      <c r="A652" s="674"/>
      <c r="B652" s="674"/>
      <c r="C652" s="674"/>
      <c r="D652" s="674"/>
      <c r="E652" s="674"/>
      <c r="F652" s="674"/>
      <c r="G652" s="674"/>
      <c r="H652" s="674"/>
      <c r="I652" s="674"/>
      <c r="J652" s="674"/>
      <c r="L652" s="674"/>
    </row>
    <row r="653">
      <c r="A653" s="674"/>
      <c r="B653" s="674"/>
      <c r="C653" s="674"/>
      <c r="D653" s="674"/>
      <c r="E653" s="674"/>
      <c r="F653" s="674"/>
      <c r="G653" s="674"/>
      <c r="H653" s="674"/>
      <c r="I653" s="674"/>
      <c r="J653" s="674"/>
      <c r="L653" s="674"/>
    </row>
    <row r="654">
      <c r="A654" s="674"/>
      <c r="B654" s="674"/>
      <c r="C654" s="674"/>
      <c r="D654" s="674"/>
      <c r="E654" s="674"/>
      <c r="F654" s="674"/>
      <c r="G654" s="674"/>
      <c r="H654" s="674"/>
      <c r="I654" s="674"/>
      <c r="J654" s="674"/>
      <c r="L654" s="674"/>
    </row>
    <row r="655">
      <c r="A655" s="674"/>
      <c r="B655" s="674"/>
      <c r="C655" s="674"/>
      <c r="D655" s="674"/>
      <c r="E655" s="674"/>
      <c r="F655" s="674"/>
      <c r="G655" s="674"/>
      <c r="H655" s="674"/>
      <c r="I655" s="674"/>
      <c r="J655" s="674"/>
      <c r="L655" s="674"/>
    </row>
    <row r="656">
      <c r="A656" s="674"/>
      <c r="B656" s="674"/>
      <c r="C656" s="674"/>
      <c r="D656" s="674"/>
      <c r="E656" s="674"/>
      <c r="F656" s="674"/>
      <c r="G656" s="674"/>
      <c r="H656" s="674"/>
      <c r="I656" s="674"/>
      <c r="J656" s="674"/>
      <c r="L656" s="674"/>
    </row>
    <row r="657">
      <c r="A657" s="674"/>
      <c r="B657" s="674"/>
      <c r="C657" s="674"/>
      <c r="D657" s="674"/>
      <c r="E657" s="674"/>
      <c r="F657" s="674"/>
      <c r="G657" s="674"/>
      <c r="H657" s="674"/>
      <c r="I657" s="674"/>
      <c r="J657" s="674"/>
      <c r="L657" s="674"/>
    </row>
    <row r="658">
      <c r="A658" s="674"/>
      <c r="B658" s="674"/>
      <c r="C658" s="674"/>
      <c r="D658" s="674"/>
      <c r="E658" s="674"/>
      <c r="F658" s="674"/>
      <c r="G658" s="674"/>
      <c r="H658" s="674"/>
      <c r="I658" s="674"/>
      <c r="J658" s="674"/>
      <c r="L658" s="674"/>
    </row>
    <row r="659">
      <c r="A659" s="674"/>
      <c r="B659" s="674"/>
      <c r="C659" s="674"/>
      <c r="D659" s="674"/>
      <c r="E659" s="674"/>
      <c r="F659" s="674"/>
      <c r="G659" s="674"/>
      <c r="H659" s="674"/>
      <c r="I659" s="674"/>
      <c r="J659" s="674"/>
      <c r="L659" s="674"/>
    </row>
    <row r="660">
      <c r="A660" s="674"/>
      <c r="B660" s="674"/>
      <c r="C660" s="674"/>
      <c r="D660" s="674"/>
      <c r="E660" s="674"/>
      <c r="F660" s="674"/>
      <c r="G660" s="674"/>
      <c r="H660" s="674"/>
      <c r="I660" s="674"/>
      <c r="J660" s="674"/>
      <c r="L660" s="674"/>
    </row>
    <row r="661">
      <c r="A661" s="674"/>
      <c r="B661" s="674"/>
      <c r="C661" s="674"/>
      <c r="D661" s="674"/>
      <c r="E661" s="674"/>
      <c r="F661" s="674"/>
      <c r="G661" s="674"/>
      <c r="H661" s="674"/>
      <c r="I661" s="674"/>
      <c r="J661" s="674"/>
      <c r="L661" s="674"/>
    </row>
    <row r="662">
      <c r="A662" s="674"/>
      <c r="B662" s="674"/>
      <c r="C662" s="674"/>
      <c r="D662" s="674"/>
      <c r="E662" s="674"/>
      <c r="F662" s="674"/>
      <c r="G662" s="674"/>
      <c r="H662" s="674"/>
      <c r="I662" s="674"/>
      <c r="J662" s="674"/>
      <c r="L662" s="674"/>
    </row>
    <row r="663">
      <c r="A663" s="674"/>
      <c r="B663" s="674"/>
      <c r="C663" s="674"/>
      <c r="D663" s="674"/>
      <c r="E663" s="674"/>
      <c r="F663" s="674"/>
      <c r="G663" s="674"/>
      <c r="H663" s="674"/>
      <c r="I663" s="674"/>
      <c r="J663" s="674"/>
      <c r="L663" s="674"/>
    </row>
    <row r="664">
      <c r="A664" s="674"/>
      <c r="B664" s="674"/>
      <c r="C664" s="674"/>
      <c r="D664" s="674"/>
      <c r="E664" s="674"/>
      <c r="F664" s="674"/>
      <c r="G664" s="674"/>
      <c r="H664" s="674"/>
      <c r="I664" s="674"/>
      <c r="J664" s="674"/>
      <c r="L664" s="674"/>
    </row>
    <row r="665">
      <c r="A665" s="674"/>
      <c r="B665" s="674"/>
      <c r="C665" s="674"/>
      <c r="D665" s="674"/>
      <c r="E665" s="674"/>
      <c r="F665" s="674"/>
      <c r="G665" s="674"/>
      <c r="H665" s="674"/>
      <c r="I665" s="674"/>
      <c r="J665" s="674"/>
      <c r="L665" s="674"/>
    </row>
    <row r="666">
      <c r="A666" s="674"/>
      <c r="B666" s="674"/>
      <c r="C666" s="674"/>
      <c r="D666" s="674"/>
      <c r="E666" s="674"/>
      <c r="F666" s="674"/>
      <c r="G666" s="674"/>
      <c r="H666" s="674"/>
      <c r="I666" s="674"/>
      <c r="J666" s="674"/>
      <c r="L666" s="674"/>
    </row>
    <row r="667">
      <c r="A667" s="674"/>
      <c r="B667" s="674"/>
      <c r="C667" s="674"/>
      <c r="D667" s="674"/>
      <c r="E667" s="674"/>
      <c r="F667" s="674"/>
      <c r="G667" s="674"/>
      <c r="H667" s="674"/>
      <c r="I667" s="674"/>
      <c r="J667" s="674"/>
      <c r="L667" s="674"/>
    </row>
    <row r="668">
      <c r="A668" s="674"/>
      <c r="B668" s="674"/>
      <c r="C668" s="674"/>
      <c r="D668" s="674"/>
      <c r="E668" s="674"/>
      <c r="F668" s="674"/>
      <c r="G668" s="674"/>
      <c r="H668" s="674"/>
      <c r="I668" s="674"/>
      <c r="J668" s="674"/>
      <c r="L668" s="674"/>
    </row>
    <row r="669">
      <c r="A669" s="674"/>
      <c r="B669" s="674"/>
      <c r="C669" s="674"/>
      <c r="D669" s="674"/>
      <c r="E669" s="674"/>
      <c r="F669" s="674"/>
      <c r="G669" s="674"/>
      <c r="H669" s="674"/>
      <c r="I669" s="674"/>
      <c r="J669" s="674"/>
      <c r="L669" s="674"/>
    </row>
    <row r="670">
      <c r="A670" s="674"/>
      <c r="B670" s="674"/>
      <c r="C670" s="674"/>
      <c r="D670" s="674"/>
      <c r="E670" s="674"/>
      <c r="F670" s="674"/>
      <c r="G670" s="674"/>
      <c r="H670" s="674"/>
      <c r="I670" s="674"/>
      <c r="J670" s="674"/>
      <c r="L670" s="674"/>
    </row>
    <row r="671">
      <c r="A671" s="674"/>
      <c r="B671" s="674"/>
      <c r="C671" s="674"/>
      <c r="D671" s="674"/>
      <c r="E671" s="674"/>
      <c r="F671" s="674"/>
      <c r="G671" s="674"/>
      <c r="H671" s="674"/>
      <c r="I671" s="674"/>
      <c r="J671" s="674"/>
      <c r="L671" s="674"/>
    </row>
    <row r="672">
      <c r="A672" s="674"/>
      <c r="B672" s="674"/>
      <c r="C672" s="674"/>
      <c r="D672" s="674"/>
      <c r="E672" s="674"/>
      <c r="F672" s="674"/>
      <c r="G672" s="674"/>
      <c r="H672" s="674"/>
      <c r="I672" s="674"/>
      <c r="J672" s="674"/>
      <c r="L672" s="674"/>
    </row>
    <row r="673">
      <c r="A673" s="674"/>
      <c r="B673" s="674"/>
      <c r="C673" s="674"/>
      <c r="D673" s="674"/>
      <c r="E673" s="674"/>
      <c r="F673" s="674"/>
      <c r="G673" s="674"/>
      <c r="H673" s="674"/>
      <c r="I673" s="674"/>
      <c r="J673" s="674"/>
      <c r="L673" s="674"/>
    </row>
    <row r="674">
      <c r="A674" s="674"/>
      <c r="B674" s="674"/>
      <c r="C674" s="674"/>
      <c r="D674" s="674"/>
      <c r="E674" s="674"/>
      <c r="F674" s="674"/>
      <c r="G674" s="674"/>
      <c r="H674" s="674"/>
      <c r="I674" s="674"/>
      <c r="J674" s="674"/>
      <c r="L674" s="674"/>
    </row>
    <row r="675">
      <c r="A675" s="674"/>
      <c r="B675" s="674"/>
      <c r="C675" s="674"/>
      <c r="D675" s="674"/>
      <c r="E675" s="674"/>
      <c r="F675" s="674"/>
      <c r="G675" s="674"/>
      <c r="H675" s="674"/>
      <c r="I675" s="674"/>
      <c r="J675" s="674"/>
      <c r="L675" s="674"/>
    </row>
    <row r="676">
      <c r="A676" s="674"/>
      <c r="B676" s="674"/>
      <c r="C676" s="674"/>
      <c r="D676" s="674"/>
      <c r="E676" s="674"/>
      <c r="F676" s="674"/>
      <c r="G676" s="674"/>
      <c r="H676" s="674"/>
      <c r="I676" s="674"/>
      <c r="J676" s="674"/>
      <c r="L676" s="674"/>
    </row>
    <row r="677">
      <c r="A677" s="674"/>
      <c r="B677" s="674"/>
      <c r="C677" s="674"/>
      <c r="D677" s="674"/>
      <c r="E677" s="674"/>
      <c r="F677" s="674"/>
      <c r="G677" s="674"/>
      <c r="H677" s="674"/>
      <c r="I677" s="674"/>
      <c r="J677" s="674"/>
      <c r="L677" s="674"/>
    </row>
    <row r="678">
      <c r="A678" s="674"/>
      <c r="B678" s="674"/>
      <c r="C678" s="674"/>
      <c r="D678" s="674"/>
      <c r="E678" s="674"/>
      <c r="F678" s="674"/>
      <c r="G678" s="674"/>
      <c r="H678" s="674"/>
      <c r="I678" s="674"/>
      <c r="J678" s="674"/>
      <c r="L678" s="674"/>
    </row>
    <row r="679">
      <c r="A679" s="674"/>
      <c r="B679" s="674"/>
      <c r="C679" s="674"/>
      <c r="D679" s="674"/>
      <c r="E679" s="674"/>
      <c r="F679" s="674"/>
      <c r="G679" s="674"/>
      <c r="H679" s="674"/>
      <c r="I679" s="674"/>
      <c r="J679" s="674"/>
      <c r="L679" s="674"/>
    </row>
    <row r="680">
      <c r="A680" s="674"/>
      <c r="B680" s="674"/>
      <c r="C680" s="674"/>
      <c r="D680" s="674"/>
      <c r="E680" s="674"/>
      <c r="F680" s="674"/>
      <c r="G680" s="674"/>
      <c r="H680" s="674"/>
      <c r="I680" s="674"/>
      <c r="J680" s="674"/>
      <c r="L680" s="674"/>
    </row>
    <row r="681">
      <c r="A681" s="674"/>
      <c r="B681" s="674"/>
      <c r="C681" s="674"/>
      <c r="D681" s="674"/>
      <c r="E681" s="674"/>
      <c r="F681" s="674"/>
      <c r="G681" s="674"/>
      <c r="H681" s="674"/>
      <c r="I681" s="674"/>
      <c r="J681" s="674"/>
      <c r="L681" s="674"/>
    </row>
    <row r="682">
      <c r="A682" s="674"/>
      <c r="B682" s="674"/>
      <c r="C682" s="674"/>
      <c r="D682" s="674"/>
      <c r="E682" s="674"/>
      <c r="F682" s="674"/>
      <c r="G682" s="674"/>
      <c r="H682" s="674"/>
      <c r="I682" s="674"/>
      <c r="J682" s="674"/>
      <c r="L682" s="674"/>
    </row>
    <row r="683">
      <c r="A683" s="674"/>
      <c r="B683" s="674"/>
      <c r="C683" s="674"/>
      <c r="D683" s="674"/>
      <c r="E683" s="674"/>
      <c r="F683" s="674"/>
      <c r="G683" s="674"/>
      <c r="H683" s="674"/>
      <c r="I683" s="674"/>
      <c r="J683" s="674"/>
      <c r="L683" s="674"/>
    </row>
    <row r="684">
      <c r="A684" s="674"/>
      <c r="B684" s="674"/>
      <c r="C684" s="674"/>
      <c r="D684" s="674"/>
      <c r="E684" s="674"/>
      <c r="F684" s="674"/>
      <c r="G684" s="674"/>
      <c r="H684" s="674"/>
      <c r="I684" s="674"/>
      <c r="J684" s="674"/>
      <c r="L684" s="674"/>
    </row>
    <row r="685">
      <c r="A685" s="674"/>
      <c r="B685" s="674"/>
      <c r="C685" s="674"/>
      <c r="D685" s="674"/>
      <c r="E685" s="674"/>
      <c r="F685" s="674"/>
      <c r="G685" s="674"/>
      <c r="H685" s="674"/>
      <c r="I685" s="674"/>
      <c r="J685" s="674"/>
      <c r="L685" s="674"/>
    </row>
    <row r="686">
      <c r="A686" s="674"/>
      <c r="B686" s="674"/>
      <c r="C686" s="674"/>
      <c r="D686" s="674"/>
      <c r="E686" s="674"/>
      <c r="F686" s="674"/>
      <c r="G686" s="674"/>
      <c r="H686" s="674"/>
      <c r="I686" s="674"/>
      <c r="J686" s="674"/>
      <c r="L686" s="674"/>
    </row>
    <row r="687">
      <c r="A687" s="674"/>
      <c r="B687" s="674"/>
      <c r="C687" s="674"/>
      <c r="D687" s="674"/>
      <c r="E687" s="674"/>
      <c r="F687" s="674"/>
      <c r="G687" s="674"/>
      <c r="H687" s="674"/>
      <c r="I687" s="674"/>
      <c r="J687" s="674"/>
      <c r="L687" s="674"/>
    </row>
    <row r="688">
      <c r="A688" s="674"/>
      <c r="B688" s="674"/>
      <c r="C688" s="674"/>
      <c r="D688" s="674"/>
      <c r="E688" s="674"/>
      <c r="F688" s="674"/>
      <c r="G688" s="674"/>
      <c r="H688" s="674"/>
      <c r="I688" s="674"/>
      <c r="J688" s="674"/>
      <c r="L688" s="674"/>
    </row>
    <row r="689">
      <c r="A689" s="674"/>
      <c r="B689" s="674"/>
      <c r="C689" s="674"/>
      <c r="D689" s="674"/>
      <c r="E689" s="674"/>
      <c r="F689" s="674"/>
      <c r="G689" s="674"/>
      <c r="H689" s="674"/>
      <c r="I689" s="674"/>
      <c r="J689" s="674"/>
      <c r="L689" s="674"/>
    </row>
    <row r="690">
      <c r="A690" s="674"/>
      <c r="B690" s="674"/>
      <c r="C690" s="674"/>
      <c r="D690" s="674"/>
      <c r="E690" s="674"/>
      <c r="F690" s="674"/>
      <c r="G690" s="674"/>
      <c r="H690" s="674"/>
      <c r="I690" s="674"/>
      <c r="J690" s="674"/>
      <c r="L690" s="674"/>
    </row>
    <row r="691">
      <c r="A691" s="674"/>
      <c r="B691" s="674"/>
      <c r="C691" s="674"/>
      <c r="D691" s="674"/>
      <c r="E691" s="674"/>
      <c r="F691" s="674"/>
      <c r="G691" s="674"/>
      <c r="H691" s="674"/>
      <c r="I691" s="674"/>
      <c r="J691" s="674"/>
      <c r="L691" s="674"/>
    </row>
    <row r="692">
      <c r="A692" s="674"/>
      <c r="B692" s="674"/>
      <c r="C692" s="674"/>
      <c r="D692" s="674"/>
      <c r="E692" s="674"/>
      <c r="F692" s="674"/>
      <c r="G692" s="674"/>
      <c r="H692" s="674"/>
      <c r="I692" s="674"/>
      <c r="J692" s="674"/>
      <c r="L692" s="674"/>
    </row>
    <row r="693">
      <c r="A693" s="674"/>
      <c r="B693" s="674"/>
      <c r="C693" s="674"/>
      <c r="D693" s="674"/>
      <c r="E693" s="674"/>
      <c r="F693" s="674"/>
      <c r="G693" s="674"/>
      <c r="H693" s="674"/>
      <c r="I693" s="674"/>
      <c r="J693" s="674"/>
      <c r="L693" s="674"/>
    </row>
    <row r="694">
      <c r="A694" s="674"/>
      <c r="B694" s="674"/>
      <c r="C694" s="674"/>
      <c r="D694" s="674"/>
      <c r="E694" s="674"/>
      <c r="F694" s="674"/>
      <c r="G694" s="674"/>
      <c r="H694" s="674"/>
      <c r="I694" s="674"/>
      <c r="J694" s="674"/>
      <c r="L694" s="674"/>
    </row>
    <row r="695">
      <c r="A695" s="674"/>
      <c r="B695" s="674"/>
      <c r="C695" s="674"/>
      <c r="D695" s="674"/>
      <c r="E695" s="674"/>
      <c r="F695" s="674"/>
      <c r="G695" s="674"/>
      <c r="H695" s="674"/>
      <c r="I695" s="674"/>
      <c r="J695" s="674"/>
      <c r="L695" s="674"/>
    </row>
    <row r="696">
      <c r="A696" s="674"/>
      <c r="B696" s="674"/>
      <c r="C696" s="674"/>
      <c r="D696" s="674"/>
      <c r="E696" s="674"/>
      <c r="F696" s="674"/>
      <c r="G696" s="674"/>
      <c r="H696" s="674"/>
      <c r="I696" s="674"/>
      <c r="J696" s="674"/>
      <c r="L696" s="674"/>
    </row>
    <row r="697">
      <c r="A697" s="674"/>
      <c r="B697" s="674"/>
      <c r="C697" s="674"/>
      <c r="D697" s="674"/>
      <c r="E697" s="674"/>
      <c r="F697" s="674"/>
      <c r="G697" s="674"/>
      <c r="H697" s="674"/>
      <c r="I697" s="674"/>
      <c r="J697" s="674"/>
      <c r="L697" s="674"/>
    </row>
    <row r="698">
      <c r="A698" s="674"/>
      <c r="B698" s="674"/>
      <c r="C698" s="674"/>
      <c r="D698" s="674"/>
      <c r="E698" s="674"/>
      <c r="F698" s="674"/>
      <c r="G698" s="674"/>
      <c r="H698" s="674"/>
      <c r="I698" s="674"/>
      <c r="J698" s="674"/>
      <c r="L698" s="674"/>
    </row>
    <row r="699">
      <c r="A699" s="674"/>
      <c r="B699" s="674"/>
      <c r="C699" s="674"/>
      <c r="D699" s="674"/>
      <c r="E699" s="674"/>
      <c r="F699" s="674"/>
      <c r="G699" s="674"/>
      <c r="H699" s="674"/>
      <c r="I699" s="674"/>
      <c r="J699" s="674"/>
      <c r="L699" s="674"/>
    </row>
    <row r="700">
      <c r="A700" s="674"/>
      <c r="B700" s="674"/>
      <c r="C700" s="674"/>
      <c r="D700" s="674"/>
      <c r="E700" s="674"/>
      <c r="F700" s="674"/>
      <c r="G700" s="674"/>
      <c r="H700" s="674"/>
      <c r="I700" s="674"/>
      <c r="J700" s="674"/>
      <c r="L700" s="674"/>
    </row>
    <row r="701">
      <c r="A701" s="674"/>
      <c r="B701" s="674"/>
      <c r="C701" s="674"/>
      <c r="D701" s="674"/>
      <c r="E701" s="674"/>
      <c r="F701" s="674"/>
      <c r="G701" s="674"/>
      <c r="H701" s="674"/>
      <c r="I701" s="674"/>
      <c r="J701" s="674"/>
      <c r="L701" s="674"/>
    </row>
    <row r="702">
      <c r="A702" s="674"/>
      <c r="B702" s="674"/>
      <c r="C702" s="674"/>
      <c r="D702" s="674"/>
      <c r="E702" s="674"/>
      <c r="F702" s="674"/>
      <c r="G702" s="674"/>
      <c r="H702" s="674"/>
      <c r="I702" s="674"/>
      <c r="J702" s="674"/>
      <c r="L702" s="674"/>
    </row>
    <row r="703">
      <c r="A703" s="674"/>
      <c r="B703" s="674"/>
      <c r="C703" s="674"/>
      <c r="D703" s="674"/>
      <c r="E703" s="674"/>
      <c r="F703" s="674"/>
      <c r="G703" s="674"/>
      <c r="H703" s="674"/>
      <c r="I703" s="674"/>
      <c r="J703" s="674"/>
      <c r="L703" s="674"/>
    </row>
    <row r="704">
      <c r="A704" s="674"/>
      <c r="B704" s="674"/>
      <c r="C704" s="674"/>
      <c r="D704" s="674"/>
      <c r="E704" s="674"/>
      <c r="F704" s="674"/>
      <c r="G704" s="674"/>
      <c r="H704" s="674"/>
      <c r="I704" s="674"/>
      <c r="J704" s="674"/>
      <c r="L704" s="674"/>
    </row>
    <row r="705">
      <c r="A705" s="674"/>
      <c r="B705" s="674"/>
      <c r="C705" s="674"/>
      <c r="D705" s="674"/>
      <c r="E705" s="674"/>
      <c r="F705" s="674"/>
      <c r="G705" s="674"/>
      <c r="H705" s="674"/>
      <c r="I705" s="674"/>
      <c r="J705" s="674"/>
      <c r="L705" s="674"/>
    </row>
    <row r="706">
      <c r="A706" s="674"/>
      <c r="B706" s="674"/>
      <c r="C706" s="674"/>
      <c r="D706" s="674"/>
      <c r="E706" s="674"/>
      <c r="F706" s="674"/>
      <c r="G706" s="674"/>
      <c r="H706" s="674"/>
      <c r="I706" s="674"/>
      <c r="J706" s="674"/>
      <c r="L706" s="674"/>
    </row>
    <row r="707">
      <c r="A707" s="674"/>
      <c r="B707" s="674"/>
      <c r="C707" s="674"/>
      <c r="D707" s="674"/>
      <c r="E707" s="674"/>
      <c r="F707" s="674"/>
      <c r="G707" s="674"/>
      <c r="H707" s="674"/>
      <c r="I707" s="674"/>
      <c r="J707" s="674"/>
      <c r="L707" s="674"/>
    </row>
    <row r="708">
      <c r="A708" s="674"/>
      <c r="B708" s="674"/>
      <c r="C708" s="674"/>
      <c r="D708" s="674"/>
      <c r="E708" s="674"/>
      <c r="F708" s="674"/>
      <c r="G708" s="674"/>
      <c r="H708" s="674"/>
      <c r="I708" s="674"/>
      <c r="J708" s="674"/>
      <c r="L708" s="674"/>
    </row>
    <row r="709">
      <c r="A709" s="674"/>
      <c r="B709" s="674"/>
      <c r="C709" s="674"/>
      <c r="D709" s="674"/>
      <c r="E709" s="674"/>
      <c r="F709" s="674"/>
      <c r="G709" s="674"/>
      <c r="H709" s="674"/>
      <c r="I709" s="674"/>
      <c r="J709" s="674"/>
      <c r="L709" s="674"/>
    </row>
    <row r="710">
      <c r="A710" s="674"/>
      <c r="B710" s="674"/>
      <c r="C710" s="674"/>
      <c r="D710" s="674"/>
      <c r="E710" s="674"/>
      <c r="F710" s="674"/>
      <c r="G710" s="674"/>
      <c r="H710" s="674"/>
      <c r="I710" s="674"/>
      <c r="J710" s="674"/>
      <c r="L710" s="674"/>
    </row>
    <row r="711">
      <c r="A711" s="674"/>
      <c r="B711" s="674"/>
      <c r="C711" s="674"/>
      <c r="D711" s="674"/>
      <c r="E711" s="674"/>
      <c r="F711" s="674"/>
      <c r="G711" s="674"/>
      <c r="H711" s="674"/>
      <c r="I711" s="674"/>
      <c r="J711" s="674"/>
      <c r="L711" s="674"/>
    </row>
    <row r="712">
      <c r="A712" s="674"/>
      <c r="B712" s="674"/>
      <c r="C712" s="674"/>
      <c r="D712" s="674"/>
      <c r="E712" s="674"/>
      <c r="F712" s="674"/>
      <c r="G712" s="674"/>
      <c r="H712" s="674"/>
      <c r="I712" s="674"/>
      <c r="J712" s="674"/>
      <c r="L712" s="674"/>
    </row>
    <row r="713">
      <c r="A713" s="674"/>
      <c r="B713" s="674"/>
      <c r="C713" s="674"/>
      <c r="D713" s="674"/>
      <c r="E713" s="674"/>
      <c r="F713" s="674"/>
      <c r="G713" s="674"/>
      <c r="H713" s="674"/>
      <c r="I713" s="674"/>
      <c r="J713" s="674"/>
      <c r="L713" s="674"/>
    </row>
    <row r="714">
      <c r="A714" s="674"/>
      <c r="B714" s="674"/>
      <c r="C714" s="674"/>
      <c r="D714" s="674"/>
      <c r="E714" s="674"/>
      <c r="F714" s="674"/>
      <c r="G714" s="674"/>
      <c r="H714" s="674"/>
      <c r="I714" s="674"/>
      <c r="J714" s="674"/>
      <c r="L714" s="674"/>
    </row>
    <row r="715">
      <c r="A715" s="674"/>
      <c r="B715" s="674"/>
      <c r="C715" s="674"/>
      <c r="D715" s="674"/>
      <c r="E715" s="674"/>
      <c r="F715" s="674"/>
      <c r="G715" s="674"/>
      <c r="H715" s="674"/>
      <c r="I715" s="674"/>
      <c r="J715" s="674"/>
      <c r="L715" s="674"/>
    </row>
    <row r="716">
      <c r="A716" s="674"/>
      <c r="B716" s="674"/>
      <c r="C716" s="674"/>
      <c r="D716" s="674"/>
      <c r="E716" s="674"/>
      <c r="F716" s="674"/>
      <c r="G716" s="674"/>
      <c r="H716" s="674"/>
      <c r="I716" s="674"/>
      <c r="J716" s="674"/>
      <c r="L716" s="674"/>
    </row>
    <row r="717">
      <c r="A717" s="674"/>
      <c r="B717" s="674"/>
      <c r="C717" s="674"/>
      <c r="D717" s="674"/>
      <c r="E717" s="674"/>
      <c r="F717" s="674"/>
      <c r="G717" s="674"/>
      <c r="H717" s="674"/>
      <c r="I717" s="674"/>
      <c r="J717" s="674"/>
      <c r="L717" s="674"/>
    </row>
    <row r="718">
      <c r="A718" s="674"/>
      <c r="B718" s="674"/>
      <c r="C718" s="674"/>
      <c r="D718" s="674"/>
      <c r="E718" s="674"/>
      <c r="F718" s="674"/>
      <c r="G718" s="674"/>
      <c r="H718" s="674"/>
      <c r="I718" s="674"/>
      <c r="J718" s="674"/>
      <c r="L718" s="674"/>
    </row>
    <row r="719">
      <c r="A719" s="674"/>
      <c r="B719" s="674"/>
      <c r="C719" s="674"/>
      <c r="D719" s="674"/>
      <c r="E719" s="674"/>
      <c r="F719" s="674"/>
      <c r="G719" s="674"/>
      <c r="H719" s="674"/>
      <c r="I719" s="674"/>
      <c r="J719" s="674"/>
      <c r="L719" s="674"/>
    </row>
    <row r="720">
      <c r="A720" s="674"/>
      <c r="B720" s="674"/>
      <c r="C720" s="674"/>
      <c r="D720" s="674"/>
      <c r="E720" s="674"/>
      <c r="F720" s="674"/>
      <c r="G720" s="674"/>
      <c r="H720" s="674"/>
      <c r="I720" s="674"/>
      <c r="J720" s="674"/>
      <c r="L720" s="674"/>
    </row>
    <row r="721">
      <c r="A721" s="674"/>
      <c r="B721" s="674"/>
      <c r="C721" s="674"/>
      <c r="D721" s="674"/>
      <c r="E721" s="674"/>
      <c r="F721" s="674"/>
      <c r="G721" s="674"/>
      <c r="H721" s="674"/>
      <c r="I721" s="674"/>
      <c r="J721" s="674"/>
      <c r="L721" s="674"/>
    </row>
    <row r="722">
      <c r="A722" s="674"/>
      <c r="B722" s="674"/>
      <c r="C722" s="674"/>
      <c r="D722" s="674"/>
      <c r="E722" s="674"/>
      <c r="F722" s="674"/>
      <c r="G722" s="674"/>
      <c r="H722" s="674"/>
      <c r="I722" s="674"/>
      <c r="J722" s="674"/>
      <c r="L722" s="674"/>
    </row>
    <row r="723">
      <c r="A723" s="674"/>
      <c r="B723" s="674"/>
      <c r="C723" s="674"/>
      <c r="D723" s="674"/>
      <c r="E723" s="674"/>
      <c r="F723" s="674"/>
      <c r="G723" s="674"/>
      <c r="H723" s="674"/>
      <c r="I723" s="674"/>
      <c r="J723" s="674"/>
      <c r="L723" s="674"/>
    </row>
    <row r="724">
      <c r="A724" s="674"/>
      <c r="B724" s="674"/>
      <c r="C724" s="674"/>
      <c r="D724" s="674"/>
      <c r="E724" s="674"/>
      <c r="F724" s="674"/>
      <c r="G724" s="674"/>
      <c r="H724" s="674"/>
      <c r="I724" s="674"/>
      <c r="J724" s="674"/>
      <c r="L724" s="674"/>
    </row>
    <row r="725">
      <c r="A725" s="674"/>
      <c r="B725" s="674"/>
      <c r="C725" s="674"/>
      <c r="D725" s="674"/>
      <c r="E725" s="674"/>
      <c r="F725" s="674"/>
      <c r="G725" s="674"/>
      <c r="H725" s="674"/>
      <c r="I725" s="674"/>
      <c r="J725" s="674"/>
      <c r="L725" s="674"/>
    </row>
    <row r="726">
      <c r="A726" s="674"/>
      <c r="B726" s="674"/>
      <c r="C726" s="674"/>
      <c r="D726" s="674"/>
      <c r="E726" s="674"/>
      <c r="F726" s="674"/>
      <c r="G726" s="674"/>
      <c r="H726" s="674"/>
      <c r="I726" s="674"/>
      <c r="J726" s="674"/>
      <c r="L726" s="674"/>
    </row>
    <row r="727">
      <c r="A727" s="674"/>
      <c r="B727" s="674"/>
      <c r="C727" s="674"/>
      <c r="D727" s="674"/>
      <c r="E727" s="674"/>
      <c r="F727" s="674"/>
      <c r="G727" s="674"/>
      <c r="H727" s="674"/>
      <c r="I727" s="674"/>
      <c r="J727" s="674"/>
      <c r="L727" s="674"/>
    </row>
    <row r="728">
      <c r="A728" s="674"/>
      <c r="B728" s="674"/>
      <c r="C728" s="674"/>
      <c r="D728" s="674"/>
      <c r="E728" s="674"/>
      <c r="F728" s="674"/>
      <c r="G728" s="674"/>
      <c r="H728" s="674"/>
      <c r="I728" s="674"/>
      <c r="J728" s="674"/>
      <c r="L728" s="674"/>
    </row>
    <row r="729">
      <c r="A729" s="674"/>
      <c r="B729" s="674"/>
      <c r="C729" s="674"/>
      <c r="D729" s="674"/>
      <c r="E729" s="674"/>
      <c r="F729" s="674"/>
      <c r="G729" s="674"/>
      <c r="H729" s="674"/>
      <c r="I729" s="674"/>
      <c r="J729" s="674"/>
      <c r="L729" s="674"/>
    </row>
    <row r="730">
      <c r="A730" s="674"/>
      <c r="B730" s="674"/>
      <c r="C730" s="674"/>
      <c r="D730" s="674"/>
      <c r="E730" s="674"/>
      <c r="F730" s="674"/>
      <c r="G730" s="674"/>
      <c r="H730" s="674"/>
      <c r="I730" s="674"/>
      <c r="J730" s="674"/>
      <c r="L730" s="674"/>
    </row>
    <row r="731">
      <c r="A731" s="674"/>
      <c r="B731" s="674"/>
      <c r="C731" s="674"/>
      <c r="D731" s="674"/>
      <c r="E731" s="674"/>
      <c r="F731" s="674"/>
      <c r="G731" s="674"/>
      <c r="H731" s="674"/>
      <c r="I731" s="674"/>
      <c r="J731" s="674"/>
      <c r="L731" s="674"/>
    </row>
    <row r="732">
      <c r="A732" s="674"/>
      <c r="B732" s="674"/>
      <c r="C732" s="674"/>
      <c r="D732" s="674"/>
      <c r="E732" s="674"/>
      <c r="F732" s="674"/>
      <c r="G732" s="674"/>
      <c r="H732" s="674"/>
      <c r="I732" s="674"/>
      <c r="J732" s="674"/>
      <c r="L732" s="674"/>
    </row>
    <row r="733">
      <c r="A733" s="674"/>
      <c r="B733" s="674"/>
      <c r="C733" s="674"/>
      <c r="D733" s="674"/>
      <c r="E733" s="674"/>
      <c r="F733" s="674"/>
      <c r="G733" s="674"/>
      <c r="H733" s="674"/>
      <c r="I733" s="674"/>
      <c r="J733" s="674"/>
      <c r="L733" s="674"/>
    </row>
    <row r="734">
      <c r="A734" s="674"/>
      <c r="B734" s="674"/>
      <c r="C734" s="674"/>
      <c r="D734" s="674"/>
      <c r="E734" s="674"/>
      <c r="F734" s="674"/>
      <c r="G734" s="674"/>
      <c r="H734" s="674"/>
      <c r="I734" s="674"/>
      <c r="J734" s="674"/>
      <c r="L734" s="674"/>
    </row>
    <row r="735">
      <c r="A735" s="674"/>
      <c r="B735" s="674"/>
      <c r="C735" s="674"/>
      <c r="D735" s="674"/>
      <c r="E735" s="674"/>
      <c r="F735" s="674"/>
      <c r="G735" s="674"/>
      <c r="H735" s="674"/>
      <c r="I735" s="674"/>
      <c r="J735" s="674"/>
      <c r="L735" s="674"/>
    </row>
    <row r="736">
      <c r="A736" s="674"/>
      <c r="B736" s="674"/>
      <c r="C736" s="674"/>
      <c r="D736" s="674"/>
      <c r="E736" s="674"/>
      <c r="F736" s="674"/>
      <c r="G736" s="674"/>
      <c r="H736" s="674"/>
      <c r="I736" s="674"/>
      <c r="J736" s="674"/>
      <c r="L736" s="674"/>
    </row>
    <row r="737">
      <c r="A737" s="674"/>
      <c r="B737" s="674"/>
      <c r="C737" s="674"/>
      <c r="D737" s="674"/>
      <c r="E737" s="674"/>
      <c r="F737" s="674"/>
      <c r="G737" s="674"/>
      <c r="H737" s="674"/>
      <c r="I737" s="674"/>
      <c r="J737" s="674"/>
      <c r="L737" s="674"/>
    </row>
    <row r="738">
      <c r="A738" s="674"/>
      <c r="B738" s="674"/>
      <c r="C738" s="674"/>
      <c r="D738" s="674"/>
      <c r="E738" s="674"/>
      <c r="F738" s="674"/>
      <c r="G738" s="674"/>
      <c r="H738" s="674"/>
      <c r="I738" s="674"/>
      <c r="J738" s="674"/>
      <c r="L738" s="674"/>
    </row>
    <row r="739">
      <c r="A739" s="674"/>
      <c r="B739" s="674"/>
      <c r="C739" s="674"/>
      <c r="D739" s="674"/>
      <c r="E739" s="674"/>
      <c r="F739" s="674"/>
      <c r="G739" s="674"/>
      <c r="H739" s="674"/>
      <c r="I739" s="674"/>
      <c r="J739" s="674"/>
      <c r="L739" s="674"/>
    </row>
    <row r="740">
      <c r="A740" s="674"/>
      <c r="B740" s="674"/>
      <c r="C740" s="674"/>
      <c r="D740" s="674"/>
      <c r="E740" s="674"/>
      <c r="F740" s="674"/>
      <c r="G740" s="674"/>
      <c r="H740" s="674"/>
      <c r="I740" s="674"/>
      <c r="J740" s="674"/>
      <c r="L740" s="674"/>
    </row>
    <row r="741">
      <c r="A741" s="674"/>
      <c r="B741" s="674"/>
      <c r="C741" s="674"/>
      <c r="D741" s="674"/>
      <c r="E741" s="674"/>
      <c r="F741" s="674"/>
      <c r="G741" s="674"/>
      <c r="H741" s="674"/>
      <c r="I741" s="674"/>
      <c r="J741" s="674"/>
      <c r="L741" s="674"/>
    </row>
    <row r="742">
      <c r="A742" s="674"/>
      <c r="B742" s="674"/>
      <c r="C742" s="674"/>
      <c r="D742" s="674"/>
      <c r="E742" s="674"/>
      <c r="F742" s="674"/>
      <c r="G742" s="674"/>
      <c r="H742" s="674"/>
      <c r="I742" s="674"/>
      <c r="J742" s="674"/>
      <c r="L742" s="674"/>
    </row>
    <row r="743">
      <c r="A743" s="674"/>
      <c r="B743" s="674"/>
      <c r="C743" s="674"/>
      <c r="D743" s="674"/>
      <c r="E743" s="674"/>
      <c r="F743" s="674"/>
      <c r="G743" s="674"/>
      <c r="H743" s="674"/>
      <c r="I743" s="674"/>
      <c r="J743" s="674"/>
      <c r="L743" s="674"/>
    </row>
    <row r="744">
      <c r="A744" s="674"/>
      <c r="B744" s="674"/>
      <c r="C744" s="674"/>
      <c r="D744" s="674"/>
      <c r="E744" s="674"/>
      <c r="F744" s="674"/>
      <c r="G744" s="674"/>
      <c r="H744" s="674"/>
      <c r="I744" s="674"/>
      <c r="J744" s="674"/>
      <c r="L744" s="674"/>
    </row>
    <row r="745">
      <c r="A745" s="674"/>
      <c r="B745" s="674"/>
      <c r="C745" s="674"/>
      <c r="D745" s="674"/>
      <c r="E745" s="674"/>
      <c r="F745" s="674"/>
      <c r="G745" s="674"/>
      <c r="H745" s="674"/>
      <c r="I745" s="674"/>
      <c r="J745" s="674"/>
      <c r="L745" s="674"/>
    </row>
    <row r="746">
      <c r="A746" s="674"/>
      <c r="B746" s="674"/>
      <c r="C746" s="674"/>
      <c r="D746" s="674"/>
      <c r="E746" s="674"/>
      <c r="F746" s="674"/>
      <c r="G746" s="674"/>
      <c r="H746" s="674"/>
      <c r="I746" s="674"/>
      <c r="J746" s="674"/>
      <c r="L746" s="674"/>
    </row>
    <row r="747">
      <c r="A747" s="674"/>
      <c r="B747" s="674"/>
      <c r="C747" s="674"/>
      <c r="D747" s="674"/>
      <c r="E747" s="674"/>
      <c r="F747" s="674"/>
      <c r="G747" s="674"/>
      <c r="H747" s="674"/>
      <c r="I747" s="674"/>
      <c r="J747" s="674"/>
      <c r="L747" s="674"/>
    </row>
    <row r="748">
      <c r="A748" s="674"/>
      <c r="B748" s="674"/>
      <c r="C748" s="674"/>
      <c r="D748" s="674"/>
      <c r="E748" s="674"/>
      <c r="F748" s="674"/>
      <c r="G748" s="674"/>
      <c r="H748" s="674"/>
      <c r="I748" s="674"/>
      <c r="J748" s="674"/>
      <c r="L748" s="674"/>
    </row>
    <row r="749">
      <c r="A749" s="674"/>
      <c r="B749" s="674"/>
      <c r="C749" s="674"/>
      <c r="D749" s="674"/>
      <c r="E749" s="674"/>
      <c r="F749" s="674"/>
      <c r="G749" s="674"/>
      <c r="H749" s="674"/>
      <c r="I749" s="674"/>
      <c r="J749" s="674"/>
      <c r="L749" s="674"/>
    </row>
    <row r="750">
      <c r="A750" s="674"/>
      <c r="B750" s="674"/>
      <c r="C750" s="674"/>
      <c r="D750" s="674"/>
      <c r="E750" s="674"/>
      <c r="F750" s="674"/>
      <c r="G750" s="674"/>
      <c r="H750" s="674"/>
      <c r="I750" s="674"/>
      <c r="J750" s="674"/>
      <c r="L750" s="674"/>
    </row>
    <row r="751">
      <c r="A751" s="674"/>
      <c r="B751" s="674"/>
      <c r="C751" s="674"/>
      <c r="D751" s="674"/>
      <c r="E751" s="674"/>
      <c r="F751" s="674"/>
      <c r="G751" s="674"/>
      <c r="H751" s="674"/>
      <c r="I751" s="674"/>
      <c r="J751" s="674"/>
      <c r="L751" s="674"/>
    </row>
    <row r="752">
      <c r="A752" s="674"/>
      <c r="B752" s="674"/>
      <c r="C752" s="674"/>
      <c r="D752" s="674"/>
      <c r="E752" s="674"/>
      <c r="F752" s="674"/>
      <c r="G752" s="674"/>
      <c r="H752" s="674"/>
      <c r="I752" s="674"/>
      <c r="J752" s="674"/>
      <c r="L752" s="674"/>
    </row>
    <row r="753">
      <c r="A753" s="674"/>
      <c r="B753" s="674"/>
      <c r="C753" s="674"/>
      <c r="D753" s="674"/>
      <c r="E753" s="674"/>
      <c r="F753" s="674"/>
      <c r="G753" s="674"/>
      <c r="H753" s="674"/>
      <c r="I753" s="674"/>
      <c r="J753" s="674"/>
      <c r="L753" s="674"/>
    </row>
    <row r="754">
      <c r="A754" s="674"/>
      <c r="B754" s="674"/>
      <c r="C754" s="674"/>
      <c r="D754" s="674"/>
      <c r="E754" s="674"/>
      <c r="F754" s="674"/>
      <c r="G754" s="674"/>
      <c r="H754" s="674"/>
      <c r="I754" s="674"/>
      <c r="J754" s="674"/>
      <c r="L754" s="674"/>
    </row>
    <row r="755">
      <c r="A755" s="674"/>
      <c r="B755" s="674"/>
      <c r="C755" s="674"/>
      <c r="D755" s="674"/>
      <c r="E755" s="674"/>
      <c r="F755" s="674"/>
      <c r="G755" s="674"/>
      <c r="H755" s="674"/>
      <c r="I755" s="674"/>
      <c r="J755" s="674"/>
      <c r="L755" s="674"/>
    </row>
    <row r="756">
      <c r="A756" s="674"/>
      <c r="B756" s="674"/>
      <c r="C756" s="674"/>
      <c r="D756" s="674"/>
      <c r="E756" s="674"/>
      <c r="F756" s="674"/>
      <c r="G756" s="674"/>
      <c r="H756" s="674"/>
      <c r="I756" s="674"/>
      <c r="J756" s="674"/>
      <c r="L756" s="674"/>
    </row>
    <row r="757">
      <c r="A757" s="674"/>
      <c r="B757" s="674"/>
      <c r="C757" s="674"/>
      <c r="D757" s="674"/>
      <c r="E757" s="674"/>
      <c r="F757" s="674"/>
      <c r="G757" s="674"/>
      <c r="H757" s="674"/>
      <c r="I757" s="674"/>
      <c r="J757" s="674"/>
      <c r="L757" s="674"/>
    </row>
    <row r="758">
      <c r="A758" s="674"/>
      <c r="B758" s="674"/>
      <c r="C758" s="674"/>
      <c r="D758" s="674"/>
      <c r="E758" s="674"/>
      <c r="F758" s="674"/>
      <c r="G758" s="674"/>
      <c r="H758" s="674"/>
      <c r="I758" s="674"/>
      <c r="J758" s="674"/>
      <c r="L758" s="674"/>
    </row>
    <row r="759">
      <c r="A759" s="674"/>
      <c r="B759" s="674"/>
      <c r="C759" s="674"/>
      <c r="D759" s="674"/>
      <c r="E759" s="674"/>
      <c r="F759" s="674"/>
      <c r="G759" s="674"/>
      <c r="H759" s="674"/>
      <c r="I759" s="674"/>
      <c r="J759" s="674"/>
      <c r="L759" s="674"/>
    </row>
    <row r="760">
      <c r="A760" s="674"/>
      <c r="B760" s="674"/>
      <c r="C760" s="674"/>
      <c r="D760" s="674"/>
      <c r="E760" s="674"/>
      <c r="F760" s="674"/>
      <c r="G760" s="674"/>
      <c r="H760" s="674"/>
      <c r="I760" s="674"/>
      <c r="J760" s="674"/>
      <c r="L760" s="674"/>
    </row>
    <row r="761">
      <c r="A761" s="674"/>
      <c r="B761" s="674"/>
      <c r="C761" s="674"/>
      <c r="D761" s="674"/>
      <c r="E761" s="674"/>
      <c r="F761" s="674"/>
      <c r="G761" s="674"/>
      <c r="H761" s="674"/>
      <c r="I761" s="674"/>
      <c r="J761" s="674"/>
      <c r="L761" s="674"/>
    </row>
    <row r="762">
      <c r="A762" s="674"/>
      <c r="B762" s="674"/>
      <c r="C762" s="674"/>
      <c r="D762" s="674"/>
      <c r="E762" s="674"/>
      <c r="F762" s="674"/>
      <c r="G762" s="674"/>
      <c r="H762" s="674"/>
      <c r="I762" s="674"/>
      <c r="J762" s="674"/>
      <c r="L762" s="674"/>
    </row>
    <row r="763">
      <c r="A763" s="674"/>
      <c r="B763" s="674"/>
      <c r="C763" s="674"/>
      <c r="D763" s="674"/>
      <c r="E763" s="674"/>
      <c r="F763" s="674"/>
      <c r="G763" s="674"/>
      <c r="H763" s="674"/>
      <c r="I763" s="674"/>
      <c r="J763" s="674"/>
      <c r="L763" s="674"/>
    </row>
    <row r="764">
      <c r="A764" s="674"/>
      <c r="B764" s="674"/>
      <c r="C764" s="674"/>
      <c r="D764" s="674"/>
      <c r="E764" s="674"/>
      <c r="F764" s="674"/>
      <c r="G764" s="674"/>
      <c r="H764" s="674"/>
      <c r="I764" s="674"/>
      <c r="J764" s="674"/>
      <c r="L764" s="674"/>
    </row>
    <row r="765">
      <c r="A765" s="674"/>
      <c r="B765" s="674"/>
      <c r="C765" s="674"/>
      <c r="D765" s="674"/>
      <c r="E765" s="674"/>
      <c r="F765" s="674"/>
      <c r="G765" s="674"/>
      <c r="H765" s="674"/>
      <c r="I765" s="674"/>
      <c r="J765" s="674"/>
      <c r="L765" s="674"/>
    </row>
    <row r="766">
      <c r="A766" s="674"/>
      <c r="B766" s="674"/>
      <c r="C766" s="674"/>
      <c r="D766" s="674"/>
      <c r="E766" s="674"/>
      <c r="F766" s="674"/>
      <c r="G766" s="674"/>
      <c r="H766" s="674"/>
      <c r="I766" s="674"/>
      <c r="J766" s="674"/>
      <c r="L766" s="674"/>
    </row>
    <row r="767">
      <c r="A767" s="674"/>
      <c r="B767" s="674"/>
      <c r="C767" s="674"/>
      <c r="D767" s="674"/>
      <c r="E767" s="674"/>
      <c r="F767" s="674"/>
      <c r="G767" s="674"/>
      <c r="H767" s="674"/>
      <c r="I767" s="674"/>
      <c r="J767" s="674"/>
      <c r="L767" s="674"/>
    </row>
    <row r="768">
      <c r="A768" s="674"/>
      <c r="B768" s="674"/>
      <c r="C768" s="674"/>
      <c r="D768" s="674"/>
      <c r="E768" s="674"/>
      <c r="F768" s="674"/>
      <c r="G768" s="674"/>
      <c r="H768" s="674"/>
      <c r="I768" s="674"/>
      <c r="J768" s="674"/>
      <c r="L768" s="674"/>
    </row>
    <row r="769">
      <c r="A769" s="674"/>
      <c r="B769" s="674"/>
      <c r="C769" s="674"/>
      <c r="D769" s="674"/>
      <c r="E769" s="674"/>
      <c r="F769" s="674"/>
      <c r="G769" s="674"/>
      <c r="H769" s="674"/>
      <c r="I769" s="674"/>
      <c r="J769" s="674"/>
      <c r="L769" s="674"/>
    </row>
    <row r="770">
      <c r="A770" s="674"/>
      <c r="B770" s="674"/>
      <c r="C770" s="674"/>
      <c r="D770" s="674"/>
      <c r="E770" s="674"/>
      <c r="F770" s="674"/>
      <c r="G770" s="674"/>
      <c r="H770" s="674"/>
      <c r="I770" s="674"/>
      <c r="J770" s="674"/>
      <c r="L770" s="674"/>
    </row>
    <row r="771">
      <c r="A771" s="674"/>
      <c r="B771" s="674"/>
      <c r="C771" s="674"/>
      <c r="D771" s="674"/>
      <c r="E771" s="674"/>
      <c r="F771" s="674"/>
      <c r="G771" s="674"/>
      <c r="H771" s="674"/>
      <c r="I771" s="674"/>
      <c r="J771" s="674"/>
      <c r="L771" s="674"/>
    </row>
    <row r="772">
      <c r="A772" s="674"/>
      <c r="B772" s="674"/>
      <c r="C772" s="674"/>
      <c r="D772" s="674"/>
      <c r="E772" s="674"/>
      <c r="F772" s="674"/>
      <c r="G772" s="674"/>
      <c r="H772" s="674"/>
      <c r="I772" s="674"/>
      <c r="J772" s="674"/>
      <c r="L772" s="674"/>
    </row>
    <row r="773">
      <c r="A773" s="674"/>
      <c r="B773" s="674"/>
      <c r="C773" s="674"/>
      <c r="D773" s="674"/>
      <c r="E773" s="674"/>
      <c r="F773" s="674"/>
      <c r="G773" s="674"/>
      <c r="H773" s="674"/>
      <c r="I773" s="674"/>
      <c r="J773" s="674"/>
      <c r="L773" s="674"/>
    </row>
    <row r="774">
      <c r="A774" s="674"/>
      <c r="B774" s="674"/>
      <c r="C774" s="674"/>
      <c r="D774" s="674"/>
      <c r="E774" s="674"/>
      <c r="F774" s="674"/>
      <c r="G774" s="674"/>
      <c r="H774" s="674"/>
      <c r="I774" s="674"/>
      <c r="J774" s="674"/>
      <c r="L774" s="674"/>
    </row>
    <row r="775">
      <c r="A775" s="674"/>
      <c r="B775" s="674"/>
      <c r="C775" s="674"/>
      <c r="D775" s="674"/>
      <c r="E775" s="674"/>
      <c r="F775" s="674"/>
      <c r="G775" s="674"/>
      <c r="H775" s="674"/>
      <c r="I775" s="674"/>
      <c r="J775" s="674"/>
      <c r="L775" s="674"/>
    </row>
    <row r="776">
      <c r="A776" s="674"/>
      <c r="B776" s="674"/>
      <c r="C776" s="674"/>
      <c r="D776" s="674"/>
      <c r="E776" s="674"/>
      <c r="F776" s="674"/>
      <c r="G776" s="674"/>
      <c r="H776" s="674"/>
      <c r="I776" s="674"/>
      <c r="J776" s="674"/>
      <c r="L776" s="674"/>
    </row>
    <row r="777">
      <c r="A777" s="674"/>
      <c r="B777" s="674"/>
      <c r="C777" s="674"/>
      <c r="D777" s="674"/>
      <c r="E777" s="674"/>
      <c r="F777" s="674"/>
      <c r="G777" s="674"/>
      <c r="H777" s="674"/>
      <c r="I777" s="674"/>
      <c r="J777" s="674"/>
      <c r="L777" s="674"/>
    </row>
    <row r="778">
      <c r="A778" s="674"/>
      <c r="B778" s="674"/>
      <c r="C778" s="674"/>
      <c r="D778" s="674"/>
      <c r="E778" s="674"/>
      <c r="F778" s="674"/>
      <c r="G778" s="674"/>
      <c r="H778" s="674"/>
      <c r="I778" s="674"/>
      <c r="J778" s="674"/>
      <c r="L778" s="674"/>
    </row>
    <row r="779">
      <c r="A779" s="674"/>
      <c r="B779" s="674"/>
      <c r="C779" s="674"/>
      <c r="D779" s="674"/>
      <c r="E779" s="674"/>
      <c r="F779" s="674"/>
      <c r="G779" s="674"/>
      <c r="H779" s="674"/>
      <c r="I779" s="674"/>
      <c r="J779" s="674"/>
      <c r="L779" s="674"/>
    </row>
    <row r="780">
      <c r="A780" s="674"/>
      <c r="B780" s="674"/>
      <c r="C780" s="674"/>
      <c r="D780" s="674"/>
      <c r="E780" s="674"/>
      <c r="F780" s="674"/>
      <c r="G780" s="674"/>
      <c r="H780" s="674"/>
      <c r="I780" s="674"/>
      <c r="J780" s="674"/>
      <c r="L780" s="674"/>
    </row>
    <row r="781">
      <c r="A781" s="674"/>
      <c r="B781" s="674"/>
      <c r="C781" s="674"/>
      <c r="D781" s="674"/>
      <c r="E781" s="674"/>
      <c r="F781" s="674"/>
      <c r="G781" s="674"/>
      <c r="H781" s="674"/>
      <c r="I781" s="674"/>
      <c r="J781" s="674"/>
      <c r="L781" s="674"/>
    </row>
    <row r="782">
      <c r="A782" s="674"/>
      <c r="B782" s="674"/>
      <c r="C782" s="674"/>
      <c r="D782" s="674"/>
      <c r="E782" s="674"/>
      <c r="F782" s="674"/>
      <c r="G782" s="674"/>
      <c r="H782" s="674"/>
      <c r="I782" s="674"/>
      <c r="J782" s="674"/>
      <c r="L782" s="674"/>
    </row>
    <row r="783">
      <c r="A783" s="674"/>
      <c r="B783" s="674"/>
      <c r="C783" s="674"/>
      <c r="D783" s="674"/>
      <c r="E783" s="674"/>
      <c r="F783" s="674"/>
      <c r="G783" s="674"/>
      <c r="H783" s="674"/>
      <c r="I783" s="674"/>
      <c r="J783" s="674"/>
      <c r="L783" s="674"/>
    </row>
    <row r="784">
      <c r="A784" s="674"/>
      <c r="B784" s="674"/>
      <c r="C784" s="674"/>
      <c r="D784" s="674"/>
      <c r="E784" s="674"/>
      <c r="F784" s="674"/>
      <c r="G784" s="674"/>
      <c r="H784" s="674"/>
      <c r="I784" s="674"/>
      <c r="J784" s="674"/>
      <c r="L784" s="674"/>
    </row>
    <row r="785">
      <c r="A785" s="674"/>
      <c r="B785" s="674"/>
      <c r="C785" s="674"/>
      <c r="D785" s="674"/>
      <c r="E785" s="674"/>
      <c r="F785" s="674"/>
      <c r="G785" s="674"/>
      <c r="H785" s="674"/>
      <c r="I785" s="674"/>
      <c r="J785" s="674"/>
      <c r="L785" s="674"/>
    </row>
    <row r="786">
      <c r="A786" s="674"/>
      <c r="B786" s="674"/>
      <c r="C786" s="674"/>
      <c r="D786" s="674"/>
      <c r="E786" s="674"/>
      <c r="F786" s="674"/>
      <c r="G786" s="674"/>
      <c r="H786" s="674"/>
      <c r="I786" s="674"/>
      <c r="J786" s="674"/>
      <c r="L786" s="674"/>
    </row>
    <row r="787">
      <c r="A787" s="674"/>
      <c r="B787" s="674"/>
      <c r="C787" s="674"/>
      <c r="D787" s="674"/>
      <c r="E787" s="674"/>
      <c r="F787" s="674"/>
      <c r="G787" s="674"/>
      <c r="H787" s="674"/>
      <c r="I787" s="674"/>
      <c r="J787" s="674"/>
      <c r="L787" s="674"/>
    </row>
    <row r="788">
      <c r="A788" s="674"/>
      <c r="B788" s="674"/>
      <c r="C788" s="674"/>
      <c r="D788" s="674"/>
      <c r="E788" s="674"/>
      <c r="F788" s="674"/>
      <c r="G788" s="674"/>
      <c r="H788" s="674"/>
      <c r="I788" s="674"/>
      <c r="J788" s="674"/>
      <c r="L788" s="674"/>
    </row>
    <row r="789">
      <c r="A789" s="674"/>
      <c r="B789" s="674"/>
      <c r="C789" s="674"/>
      <c r="D789" s="674"/>
      <c r="E789" s="674"/>
      <c r="F789" s="674"/>
      <c r="G789" s="674"/>
      <c r="H789" s="674"/>
      <c r="I789" s="674"/>
      <c r="J789" s="674"/>
      <c r="L789" s="674"/>
    </row>
    <row r="790">
      <c r="A790" s="674"/>
      <c r="B790" s="674"/>
      <c r="C790" s="674"/>
      <c r="D790" s="674"/>
      <c r="E790" s="674"/>
      <c r="F790" s="674"/>
      <c r="G790" s="674"/>
      <c r="H790" s="674"/>
      <c r="I790" s="674"/>
      <c r="J790" s="674"/>
      <c r="L790" s="674"/>
    </row>
    <row r="791">
      <c r="A791" s="674"/>
      <c r="B791" s="674"/>
      <c r="C791" s="674"/>
      <c r="D791" s="674"/>
      <c r="E791" s="674"/>
      <c r="F791" s="674"/>
      <c r="G791" s="674"/>
      <c r="H791" s="674"/>
      <c r="I791" s="674"/>
      <c r="J791" s="674"/>
      <c r="L791" s="674"/>
    </row>
    <row r="792">
      <c r="A792" s="674"/>
      <c r="B792" s="674"/>
      <c r="C792" s="674"/>
      <c r="D792" s="674"/>
      <c r="E792" s="674"/>
      <c r="F792" s="674"/>
      <c r="G792" s="674"/>
      <c r="H792" s="674"/>
      <c r="I792" s="674"/>
      <c r="J792" s="674"/>
      <c r="L792" s="674"/>
    </row>
    <row r="793">
      <c r="A793" s="674"/>
      <c r="B793" s="674"/>
      <c r="C793" s="674"/>
      <c r="D793" s="674"/>
      <c r="E793" s="674"/>
      <c r="F793" s="674"/>
      <c r="G793" s="674"/>
      <c r="H793" s="674"/>
      <c r="I793" s="674"/>
      <c r="J793" s="674"/>
      <c r="L793" s="674"/>
    </row>
    <row r="794">
      <c r="A794" s="674"/>
      <c r="B794" s="674"/>
      <c r="C794" s="674"/>
      <c r="D794" s="674"/>
      <c r="E794" s="674"/>
      <c r="F794" s="674"/>
      <c r="G794" s="674"/>
      <c r="H794" s="674"/>
      <c r="I794" s="674"/>
      <c r="J794" s="674"/>
      <c r="L794" s="674"/>
    </row>
    <row r="795">
      <c r="A795" s="674"/>
      <c r="B795" s="674"/>
      <c r="C795" s="674"/>
      <c r="D795" s="674"/>
      <c r="E795" s="674"/>
      <c r="F795" s="674"/>
      <c r="G795" s="674"/>
      <c r="H795" s="674"/>
      <c r="I795" s="674"/>
      <c r="J795" s="674"/>
      <c r="L795" s="674"/>
    </row>
    <row r="796">
      <c r="A796" s="674"/>
      <c r="B796" s="674"/>
      <c r="C796" s="674"/>
      <c r="D796" s="674"/>
      <c r="E796" s="674"/>
      <c r="F796" s="674"/>
      <c r="G796" s="674"/>
      <c r="H796" s="674"/>
      <c r="I796" s="674"/>
      <c r="J796" s="674"/>
      <c r="L796" s="674"/>
    </row>
    <row r="797">
      <c r="A797" s="674"/>
      <c r="B797" s="674"/>
      <c r="C797" s="674"/>
      <c r="D797" s="674"/>
      <c r="E797" s="674"/>
      <c r="F797" s="674"/>
      <c r="G797" s="674"/>
      <c r="H797" s="674"/>
      <c r="I797" s="674"/>
      <c r="J797" s="674"/>
      <c r="L797" s="674"/>
    </row>
    <row r="798">
      <c r="A798" s="674"/>
      <c r="B798" s="674"/>
      <c r="C798" s="674"/>
      <c r="D798" s="674"/>
      <c r="E798" s="674"/>
      <c r="F798" s="674"/>
      <c r="G798" s="674"/>
      <c r="H798" s="674"/>
      <c r="I798" s="674"/>
      <c r="J798" s="674"/>
      <c r="L798" s="674"/>
    </row>
    <row r="799">
      <c r="A799" s="674"/>
      <c r="B799" s="674"/>
      <c r="C799" s="674"/>
      <c r="D799" s="674"/>
      <c r="E799" s="674"/>
      <c r="F799" s="674"/>
      <c r="G799" s="674"/>
      <c r="H799" s="674"/>
      <c r="I799" s="674"/>
      <c r="J799" s="674"/>
      <c r="L799" s="674"/>
    </row>
    <row r="800">
      <c r="A800" s="674"/>
      <c r="B800" s="674"/>
      <c r="C800" s="674"/>
      <c r="D800" s="674"/>
      <c r="E800" s="674"/>
      <c r="F800" s="674"/>
      <c r="G800" s="674"/>
      <c r="H800" s="674"/>
      <c r="I800" s="674"/>
      <c r="J800" s="674"/>
      <c r="L800" s="674"/>
    </row>
    <row r="801">
      <c r="A801" s="674"/>
      <c r="B801" s="674"/>
      <c r="C801" s="674"/>
      <c r="D801" s="674"/>
      <c r="E801" s="674"/>
      <c r="F801" s="674"/>
      <c r="G801" s="674"/>
      <c r="H801" s="674"/>
      <c r="I801" s="674"/>
      <c r="J801" s="674"/>
      <c r="L801" s="674"/>
    </row>
    <row r="802">
      <c r="A802" s="674"/>
      <c r="B802" s="674"/>
      <c r="C802" s="674"/>
      <c r="D802" s="674"/>
      <c r="E802" s="674"/>
      <c r="F802" s="674"/>
      <c r="G802" s="674"/>
      <c r="H802" s="674"/>
      <c r="I802" s="674"/>
      <c r="J802" s="674"/>
      <c r="L802" s="674"/>
    </row>
    <row r="803">
      <c r="A803" s="674"/>
      <c r="B803" s="674"/>
      <c r="C803" s="674"/>
      <c r="D803" s="674"/>
      <c r="E803" s="674"/>
      <c r="F803" s="674"/>
      <c r="G803" s="674"/>
      <c r="H803" s="674"/>
      <c r="I803" s="674"/>
      <c r="J803" s="674"/>
      <c r="L803" s="674"/>
    </row>
    <row r="804">
      <c r="A804" s="674"/>
      <c r="B804" s="674"/>
      <c r="C804" s="674"/>
      <c r="D804" s="674"/>
      <c r="E804" s="674"/>
      <c r="F804" s="674"/>
      <c r="G804" s="674"/>
      <c r="H804" s="674"/>
      <c r="I804" s="674"/>
      <c r="J804" s="674"/>
      <c r="L804" s="674"/>
    </row>
    <row r="805">
      <c r="A805" s="674"/>
      <c r="B805" s="674"/>
      <c r="C805" s="674"/>
      <c r="D805" s="674"/>
      <c r="E805" s="674"/>
      <c r="F805" s="674"/>
      <c r="G805" s="674"/>
      <c r="H805" s="674"/>
      <c r="I805" s="674"/>
      <c r="J805" s="674"/>
      <c r="L805" s="674"/>
    </row>
    <row r="806">
      <c r="A806" s="674"/>
      <c r="B806" s="674"/>
      <c r="C806" s="674"/>
      <c r="D806" s="674"/>
      <c r="E806" s="674"/>
      <c r="F806" s="674"/>
      <c r="G806" s="674"/>
      <c r="H806" s="674"/>
      <c r="I806" s="674"/>
      <c r="J806" s="674"/>
      <c r="L806" s="674"/>
    </row>
    <row r="807">
      <c r="A807" s="674"/>
      <c r="B807" s="674"/>
      <c r="C807" s="674"/>
      <c r="D807" s="674"/>
      <c r="E807" s="674"/>
      <c r="F807" s="674"/>
      <c r="G807" s="674"/>
      <c r="H807" s="674"/>
      <c r="I807" s="674"/>
      <c r="J807" s="674"/>
      <c r="L807" s="674"/>
    </row>
    <row r="808">
      <c r="A808" s="674"/>
      <c r="B808" s="674"/>
      <c r="C808" s="674"/>
      <c r="D808" s="674"/>
      <c r="E808" s="674"/>
      <c r="F808" s="674"/>
      <c r="G808" s="674"/>
      <c r="H808" s="674"/>
      <c r="I808" s="674"/>
      <c r="J808" s="674"/>
      <c r="L808" s="674"/>
    </row>
    <row r="809">
      <c r="A809" s="674"/>
      <c r="B809" s="674"/>
      <c r="C809" s="674"/>
      <c r="D809" s="674"/>
      <c r="E809" s="674"/>
      <c r="F809" s="674"/>
      <c r="G809" s="674"/>
      <c r="H809" s="674"/>
      <c r="I809" s="674"/>
      <c r="J809" s="674"/>
      <c r="L809" s="674"/>
    </row>
    <row r="810">
      <c r="A810" s="674"/>
      <c r="B810" s="674"/>
      <c r="C810" s="674"/>
      <c r="D810" s="674"/>
      <c r="E810" s="674"/>
      <c r="F810" s="674"/>
      <c r="G810" s="674"/>
      <c r="H810" s="674"/>
      <c r="I810" s="674"/>
      <c r="J810" s="674"/>
      <c r="L810" s="674"/>
    </row>
    <row r="811">
      <c r="A811" s="674"/>
      <c r="B811" s="674"/>
      <c r="C811" s="674"/>
      <c r="D811" s="674"/>
      <c r="E811" s="674"/>
      <c r="F811" s="674"/>
      <c r="G811" s="674"/>
      <c r="H811" s="674"/>
      <c r="I811" s="674"/>
      <c r="J811" s="674"/>
      <c r="L811" s="674"/>
    </row>
    <row r="812">
      <c r="A812" s="674"/>
      <c r="B812" s="674"/>
      <c r="C812" s="674"/>
      <c r="D812" s="674"/>
      <c r="E812" s="674"/>
      <c r="F812" s="674"/>
      <c r="G812" s="674"/>
      <c r="H812" s="674"/>
      <c r="I812" s="674"/>
      <c r="J812" s="674"/>
      <c r="L812" s="674"/>
    </row>
    <row r="813">
      <c r="A813" s="674"/>
      <c r="B813" s="674"/>
      <c r="C813" s="674"/>
      <c r="D813" s="674"/>
      <c r="E813" s="674"/>
      <c r="F813" s="674"/>
      <c r="G813" s="674"/>
      <c r="H813" s="674"/>
      <c r="I813" s="674"/>
      <c r="J813" s="674"/>
      <c r="L813" s="674"/>
    </row>
    <row r="814">
      <c r="A814" s="674"/>
      <c r="B814" s="674"/>
      <c r="C814" s="674"/>
      <c r="D814" s="674"/>
      <c r="E814" s="674"/>
      <c r="F814" s="674"/>
      <c r="G814" s="674"/>
      <c r="H814" s="674"/>
      <c r="I814" s="674"/>
      <c r="J814" s="674"/>
      <c r="L814" s="674"/>
    </row>
    <row r="815">
      <c r="A815" s="674"/>
      <c r="B815" s="674"/>
      <c r="C815" s="674"/>
      <c r="D815" s="674"/>
      <c r="E815" s="674"/>
      <c r="F815" s="674"/>
      <c r="G815" s="674"/>
      <c r="H815" s="674"/>
      <c r="I815" s="674"/>
      <c r="J815" s="674"/>
      <c r="L815" s="674"/>
    </row>
    <row r="816">
      <c r="A816" s="674"/>
      <c r="B816" s="674"/>
      <c r="C816" s="674"/>
      <c r="D816" s="674"/>
      <c r="E816" s="674"/>
      <c r="F816" s="674"/>
      <c r="G816" s="674"/>
      <c r="H816" s="674"/>
      <c r="I816" s="674"/>
      <c r="J816" s="674"/>
      <c r="L816" s="674"/>
    </row>
    <row r="817">
      <c r="A817" s="674"/>
      <c r="B817" s="674"/>
      <c r="C817" s="674"/>
      <c r="D817" s="674"/>
      <c r="E817" s="674"/>
      <c r="F817" s="674"/>
      <c r="G817" s="674"/>
      <c r="H817" s="674"/>
      <c r="I817" s="674"/>
      <c r="J817" s="674"/>
      <c r="L817" s="674"/>
    </row>
    <row r="818">
      <c r="A818" s="674"/>
      <c r="B818" s="674"/>
      <c r="C818" s="674"/>
      <c r="D818" s="674"/>
      <c r="E818" s="674"/>
      <c r="F818" s="674"/>
      <c r="G818" s="674"/>
      <c r="H818" s="674"/>
      <c r="I818" s="674"/>
      <c r="J818" s="674"/>
      <c r="L818" s="674"/>
    </row>
    <row r="819">
      <c r="A819" s="674"/>
      <c r="B819" s="674"/>
      <c r="C819" s="674"/>
      <c r="D819" s="674"/>
      <c r="E819" s="674"/>
      <c r="F819" s="674"/>
      <c r="G819" s="674"/>
      <c r="H819" s="674"/>
      <c r="I819" s="674"/>
      <c r="J819" s="674"/>
      <c r="L819" s="674"/>
    </row>
    <row r="820">
      <c r="A820" s="674"/>
      <c r="B820" s="674"/>
      <c r="C820" s="674"/>
      <c r="D820" s="674"/>
      <c r="E820" s="674"/>
      <c r="F820" s="674"/>
      <c r="G820" s="674"/>
      <c r="H820" s="674"/>
      <c r="I820" s="674"/>
      <c r="J820" s="674"/>
      <c r="L820" s="674"/>
    </row>
    <row r="821">
      <c r="A821" s="674"/>
      <c r="B821" s="674"/>
      <c r="C821" s="674"/>
      <c r="D821" s="674"/>
      <c r="E821" s="674"/>
      <c r="F821" s="674"/>
      <c r="G821" s="674"/>
      <c r="H821" s="674"/>
      <c r="I821" s="674"/>
      <c r="J821" s="674"/>
      <c r="L821" s="674"/>
    </row>
    <row r="822">
      <c r="A822" s="674"/>
      <c r="B822" s="674"/>
      <c r="C822" s="674"/>
      <c r="D822" s="674"/>
      <c r="E822" s="674"/>
      <c r="F822" s="674"/>
      <c r="G822" s="674"/>
      <c r="H822" s="674"/>
      <c r="I822" s="674"/>
      <c r="J822" s="674"/>
      <c r="L822" s="674"/>
    </row>
    <row r="823">
      <c r="A823" s="674"/>
      <c r="B823" s="674"/>
      <c r="C823" s="674"/>
      <c r="D823" s="674"/>
      <c r="E823" s="674"/>
      <c r="F823" s="674"/>
      <c r="G823" s="674"/>
      <c r="H823" s="674"/>
      <c r="I823" s="674"/>
      <c r="J823" s="674"/>
      <c r="L823" s="674"/>
    </row>
    <row r="824">
      <c r="A824" s="674"/>
      <c r="B824" s="674"/>
      <c r="C824" s="674"/>
      <c r="D824" s="674"/>
      <c r="E824" s="674"/>
      <c r="F824" s="674"/>
      <c r="G824" s="674"/>
      <c r="H824" s="674"/>
      <c r="I824" s="674"/>
      <c r="J824" s="674"/>
      <c r="L824" s="674"/>
    </row>
    <row r="825">
      <c r="A825" s="674"/>
      <c r="B825" s="674"/>
      <c r="C825" s="674"/>
      <c r="D825" s="674"/>
      <c r="E825" s="674"/>
      <c r="F825" s="674"/>
      <c r="G825" s="674"/>
      <c r="H825" s="674"/>
      <c r="I825" s="674"/>
      <c r="J825" s="674"/>
      <c r="L825" s="674"/>
    </row>
    <row r="826">
      <c r="A826" s="674"/>
      <c r="B826" s="674"/>
      <c r="C826" s="674"/>
      <c r="D826" s="674"/>
      <c r="E826" s="674"/>
      <c r="F826" s="674"/>
      <c r="G826" s="674"/>
      <c r="H826" s="674"/>
      <c r="I826" s="674"/>
      <c r="J826" s="674"/>
      <c r="L826" s="674"/>
    </row>
    <row r="827">
      <c r="A827" s="674"/>
      <c r="B827" s="674"/>
      <c r="C827" s="674"/>
      <c r="D827" s="674"/>
      <c r="E827" s="674"/>
      <c r="F827" s="674"/>
      <c r="G827" s="674"/>
      <c r="H827" s="674"/>
      <c r="I827" s="674"/>
      <c r="J827" s="674"/>
      <c r="L827" s="674"/>
    </row>
    <row r="828">
      <c r="A828" s="674"/>
      <c r="B828" s="674"/>
      <c r="C828" s="674"/>
      <c r="D828" s="674"/>
      <c r="E828" s="674"/>
      <c r="F828" s="674"/>
      <c r="G828" s="674"/>
      <c r="H828" s="674"/>
      <c r="I828" s="674"/>
      <c r="J828" s="674"/>
      <c r="L828" s="674"/>
    </row>
    <row r="829">
      <c r="A829" s="674"/>
      <c r="B829" s="674"/>
      <c r="C829" s="674"/>
      <c r="D829" s="674"/>
      <c r="E829" s="674"/>
      <c r="F829" s="674"/>
      <c r="G829" s="674"/>
      <c r="H829" s="674"/>
      <c r="I829" s="674"/>
      <c r="J829" s="674"/>
      <c r="L829" s="674"/>
    </row>
    <row r="830">
      <c r="A830" s="674"/>
      <c r="B830" s="674"/>
      <c r="C830" s="674"/>
      <c r="D830" s="674"/>
      <c r="E830" s="674"/>
      <c r="F830" s="674"/>
      <c r="G830" s="674"/>
      <c r="H830" s="674"/>
      <c r="I830" s="674"/>
      <c r="J830" s="674"/>
      <c r="L830" s="674"/>
    </row>
    <row r="831">
      <c r="A831" s="674"/>
      <c r="B831" s="674"/>
      <c r="C831" s="674"/>
      <c r="D831" s="674"/>
      <c r="E831" s="674"/>
      <c r="F831" s="674"/>
      <c r="G831" s="674"/>
      <c r="H831" s="674"/>
      <c r="I831" s="674"/>
      <c r="J831" s="674"/>
      <c r="L831" s="674"/>
    </row>
    <row r="832">
      <c r="A832" s="674"/>
      <c r="B832" s="674"/>
      <c r="C832" s="674"/>
      <c r="D832" s="674"/>
      <c r="E832" s="674"/>
      <c r="F832" s="674"/>
      <c r="G832" s="674"/>
      <c r="H832" s="674"/>
      <c r="I832" s="674"/>
      <c r="J832" s="674"/>
      <c r="L832" s="674"/>
    </row>
    <row r="833">
      <c r="A833" s="674"/>
      <c r="B833" s="674"/>
      <c r="C833" s="674"/>
      <c r="D833" s="674"/>
      <c r="E833" s="674"/>
      <c r="F833" s="674"/>
      <c r="G833" s="674"/>
      <c r="H833" s="674"/>
      <c r="I833" s="674"/>
      <c r="J833" s="674"/>
      <c r="L833" s="674"/>
    </row>
    <row r="834">
      <c r="A834" s="674"/>
      <c r="B834" s="674"/>
      <c r="C834" s="674"/>
      <c r="D834" s="674"/>
      <c r="E834" s="674"/>
      <c r="F834" s="674"/>
      <c r="G834" s="674"/>
      <c r="H834" s="674"/>
      <c r="I834" s="674"/>
      <c r="J834" s="674"/>
      <c r="L834" s="674"/>
    </row>
    <row r="835">
      <c r="A835" s="674"/>
      <c r="B835" s="674"/>
      <c r="C835" s="674"/>
      <c r="D835" s="674"/>
      <c r="E835" s="674"/>
      <c r="F835" s="674"/>
      <c r="G835" s="674"/>
      <c r="H835" s="674"/>
      <c r="I835" s="674"/>
      <c r="J835" s="674"/>
      <c r="L835" s="674"/>
    </row>
    <row r="836">
      <c r="A836" s="674"/>
      <c r="B836" s="674"/>
      <c r="C836" s="674"/>
      <c r="D836" s="674"/>
      <c r="E836" s="674"/>
      <c r="F836" s="674"/>
      <c r="G836" s="674"/>
      <c r="H836" s="674"/>
      <c r="I836" s="674"/>
      <c r="J836" s="674"/>
      <c r="L836" s="674"/>
    </row>
    <row r="837">
      <c r="A837" s="674"/>
      <c r="B837" s="674"/>
      <c r="C837" s="674"/>
      <c r="D837" s="674"/>
      <c r="E837" s="674"/>
      <c r="F837" s="674"/>
      <c r="G837" s="674"/>
      <c r="H837" s="674"/>
      <c r="I837" s="674"/>
      <c r="J837" s="674"/>
      <c r="L837" s="674"/>
    </row>
    <row r="838">
      <c r="A838" s="674"/>
      <c r="B838" s="674"/>
      <c r="C838" s="674"/>
      <c r="D838" s="674"/>
      <c r="E838" s="674"/>
      <c r="F838" s="674"/>
      <c r="G838" s="674"/>
      <c r="H838" s="674"/>
      <c r="I838" s="674"/>
      <c r="J838" s="674"/>
      <c r="L838" s="674"/>
    </row>
    <row r="839">
      <c r="A839" s="674"/>
      <c r="B839" s="674"/>
      <c r="C839" s="674"/>
      <c r="D839" s="674"/>
      <c r="E839" s="674"/>
      <c r="F839" s="674"/>
      <c r="G839" s="674"/>
      <c r="H839" s="674"/>
      <c r="I839" s="674"/>
      <c r="J839" s="674"/>
      <c r="L839" s="674"/>
    </row>
    <row r="840">
      <c r="A840" s="674"/>
      <c r="B840" s="674"/>
      <c r="C840" s="674"/>
      <c r="D840" s="674"/>
      <c r="E840" s="674"/>
      <c r="F840" s="674"/>
      <c r="G840" s="674"/>
      <c r="H840" s="674"/>
      <c r="I840" s="674"/>
      <c r="J840" s="674"/>
      <c r="L840" s="674"/>
    </row>
    <row r="841">
      <c r="A841" s="674"/>
      <c r="B841" s="674"/>
      <c r="C841" s="674"/>
      <c r="D841" s="674"/>
      <c r="E841" s="674"/>
      <c r="F841" s="674"/>
      <c r="G841" s="674"/>
      <c r="H841" s="674"/>
      <c r="I841" s="674"/>
      <c r="J841" s="674"/>
      <c r="L841" s="674"/>
    </row>
    <row r="842">
      <c r="A842" s="674"/>
      <c r="B842" s="674"/>
      <c r="C842" s="674"/>
      <c r="D842" s="674"/>
      <c r="E842" s="674"/>
      <c r="F842" s="674"/>
      <c r="G842" s="674"/>
      <c r="H842" s="674"/>
      <c r="I842" s="674"/>
      <c r="J842" s="674"/>
      <c r="L842" s="674"/>
    </row>
    <row r="843">
      <c r="A843" s="674"/>
      <c r="B843" s="674"/>
      <c r="C843" s="674"/>
      <c r="D843" s="674"/>
      <c r="E843" s="674"/>
      <c r="F843" s="674"/>
      <c r="G843" s="674"/>
      <c r="H843" s="674"/>
      <c r="I843" s="674"/>
      <c r="J843" s="674"/>
      <c r="L843" s="674"/>
    </row>
    <row r="844">
      <c r="A844" s="674"/>
      <c r="B844" s="674"/>
      <c r="C844" s="674"/>
      <c r="D844" s="674"/>
      <c r="E844" s="674"/>
      <c r="F844" s="674"/>
      <c r="G844" s="674"/>
      <c r="H844" s="674"/>
      <c r="I844" s="674"/>
      <c r="J844" s="674"/>
      <c r="L844" s="674"/>
    </row>
    <row r="845">
      <c r="A845" s="674"/>
      <c r="B845" s="674"/>
      <c r="C845" s="674"/>
      <c r="D845" s="674"/>
      <c r="E845" s="674"/>
      <c r="F845" s="674"/>
      <c r="G845" s="674"/>
      <c r="H845" s="674"/>
      <c r="I845" s="674"/>
      <c r="J845" s="674"/>
      <c r="L845" s="674"/>
    </row>
    <row r="846">
      <c r="A846" s="674"/>
      <c r="B846" s="674"/>
      <c r="C846" s="674"/>
      <c r="D846" s="674"/>
      <c r="E846" s="674"/>
      <c r="F846" s="674"/>
      <c r="G846" s="674"/>
      <c r="H846" s="674"/>
      <c r="I846" s="674"/>
      <c r="J846" s="674"/>
      <c r="L846" s="674"/>
    </row>
    <row r="847">
      <c r="A847" s="674"/>
      <c r="B847" s="674"/>
      <c r="C847" s="674"/>
      <c r="D847" s="674"/>
      <c r="E847" s="674"/>
      <c r="F847" s="674"/>
      <c r="G847" s="674"/>
      <c r="H847" s="674"/>
      <c r="I847" s="674"/>
      <c r="J847" s="674"/>
      <c r="L847" s="674"/>
    </row>
    <row r="848">
      <c r="A848" s="674"/>
      <c r="B848" s="674"/>
      <c r="C848" s="674"/>
      <c r="D848" s="674"/>
      <c r="E848" s="674"/>
      <c r="F848" s="674"/>
      <c r="G848" s="674"/>
      <c r="H848" s="674"/>
      <c r="I848" s="674"/>
      <c r="J848" s="674"/>
      <c r="L848" s="674"/>
    </row>
    <row r="849">
      <c r="A849" s="674"/>
      <c r="B849" s="674"/>
      <c r="C849" s="674"/>
      <c r="D849" s="674"/>
      <c r="E849" s="674"/>
      <c r="F849" s="674"/>
      <c r="G849" s="674"/>
      <c r="H849" s="674"/>
      <c r="I849" s="674"/>
      <c r="J849" s="674"/>
      <c r="L849" s="674"/>
    </row>
    <row r="850">
      <c r="A850" s="674"/>
      <c r="B850" s="674"/>
      <c r="C850" s="674"/>
      <c r="D850" s="674"/>
      <c r="E850" s="674"/>
      <c r="F850" s="674"/>
      <c r="G850" s="674"/>
      <c r="H850" s="674"/>
      <c r="I850" s="674"/>
      <c r="J850" s="674"/>
      <c r="L850" s="674"/>
    </row>
    <row r="851">
      <c r="A851" s="674"/>
      <c r="B851" s="674"/>
      <c r="C851" s="674"/>
      <c r="D851" s="674"/>
      <c r="E851" s="674"/>
      <c r="F851" s="674"/>
      <c r="G851" s="674"/>
      <c r="H851" s="674"/>
      <c r="I851" s="674"/>
      <c r="J851" s="674"/>
      <c r="L851" s="674"/>
    </row>
    <row r="852">
      <c r="A852" s="674"/>
      <c r="B852" s="674"/>
      <c r="C852" s="674"/>
      <c r="D852" s="674"/>
      <c r="E852" s="674"/>
      <c r="F852" s="674"/>
      <c r="G852" s="674"/>
      <c r="H852" s="674"/>
      <c r="I852" s="674"/>
      <c r="J852" s="674"/>
      <c r="L852" s="674"/>
    </row>
    <row r="853">
      <c r="A853" s="674"/>
      <c r="B853" s="674"/>
      <c r="C853" s="674"/>
      <c r="D853" s="674"/>
      <c r="E853" s="674"/>
      <c r="F853" s="674"/>
      <c r="G853" s="674"/>
      <c r="H853" s="674"/>
      <c r="I853" s="674"/>
      <c r="J853" s="674"/>
      <c r="L853" s="674"/>
    </row>
    <row r="854">
      <c r="A854" s="674"/>
      <c r="B854" s="674"/>
      <c r="C854" s="674"/>
      <c r="D854" s="674"/>
      <c r="E854" s="674"/>
      <c r="F854" s="674"/>
      <c r="G854" s="674"/>
      <c r="H854" s="674"/>
      <c r="I854" s="674"/>
      <c r="J854" s="674"/>
      <c r="L854" s="674"/>
    </row>
    <row r="855">
      <c r="A855" s="674"/>
      <c r="B855" s="674"/>
      <c r="C855" s="674"/>
      <c r="D855" s="674"/>
      <c r="E855" s="674"/>
      <c r="F855" s="674"/>
      <c r="G855" s="674"/>
      <c r="H855" s="674"/>
      <c r="I855" s="674"/>
      <c r="J855" s="674"/>
      <c r="L855" s="674"/>
    </row>
    <row r="856">
      <c r="A856" s="674"/>
      <c r="B856" s="674"/>
      <c r="C856" s="674"/>
      <c r="D856" s="674"/>
      <c r="E856" s="674"/>
      <c r="F856" s="674"/>
      <c r="G856" s="674"/>
      <c r="H856" s="674"/>
      <c r="I856" s="674"/>
      <c r="J856" s="674"/>
      <c r="L856" s="674"/>
    </row>
    <row r="857">
      <c r="A857" s="674"/>
      <c r="B857" s="674"/>
      <c r="C857" s="674"/>
      <c r="D857" s="674"/>
      <c r="E857" s="674"/>
      <c r="F857" s="674"/>
      <c r="G857" s="674"/>
      <c r="H857" s="674"/>
      <c r="I857" s="674"/>
      <c r="J857" s="674"/>
      <c r="L857" s="674"/>
    </row>
    <row r="858">
      <c r="A858" s="674"/>
      <c r="B858" s="674"/>
      <c r="C858" s="674"/>
      <c r="D858" s="674"/>
      <c r="E858" s="674"/>
      <c r="F858" s="674"/>
      <c r="G858" s="674"/>
      <c r="H858" s="674"/>
      <c r="I858" s="674"/>
      <c r="J858" s="674"/>
      <c r="L858" s="674"/>
    </row>
    <row r="859">
      <c r="A859" s="674"/>
      <c r="B859" s="674"/>
      <c r="C859" s="674"/>
      <c r="D859" s="674"/>
      <c r="E859" s="674"/>
      <c r="F859" s="674"/>
      <c r="G859" s="674"/>
      <c r="H859" s="674"/>
      <c r="I859" s="674"/>
      <c r="J859" s="674"/>
      <c r="L859" s="674"/>
    </row>
    <row r="860">
      <c r="A860" s="674"/>
      <c r="B860" s="674"/>
      <c r="C860" s="674"/>
      <c r="D860" s="674"/>
      <c r="E860" s="674"/>
      <c r="F860" s="674"/>
      <c r="G860" s="674"/>
      <c r="H860" s="674"/>
      <c r="I860" s="674"/>
      <c r="J860" s="674"/>
      <c r="L860" s="674"/>
    </row>
    <row r="861">
      <c r="A861" s="674"/>
      <c r="B861" s="674"/>
      <c r="C861" s="674"/>
      <c r="D861" s="674"/>
      <c r="E861" s="674"/>
      <c r="F861" s="674"/>
      <c r="G861" s="674"/>
      <c r="H861" s="674"/>
      <c r="I861" s="674"/>
      <c r="J861" s="674"/>
      <c r="L861" s="674"/>
    </row>
    <row r="862">
      <c r="A862" s="674"/>
      <c r="B862" s="674"/>
      <c r="C862" s="674"/>
      <c r="D862" s="674"/>
      <c r="E862" s="674"/>
      <c r="F862" s="674"/>
      <c r="G862" s="674"/>
      <c r="H862" s="674"/>
      <c r="I862" s="674"/>
      <c r="J862" s="674"/>
      <c r="L862" s="674"/>
    </row>
    <row r="863">
      <c r="A863" s="674"/>
      <c r="B863" s="674"/>
      <c r="C863" s="674"/>
      <c r="D863" s="674"/>
      <c r="E863" s="674"/>
      <c r="F863" s="674"/>
      <c r="G863" s="674"/>
      <c r="H863" s="674"/>
      <c r="I863" s="674"/>
      <c r="J863" s="674"/>
      <c r="L863" s="674"/>
    </row>
    <row r="864">
      <c r="A864" s="674"/>
      <c r="B864" s="674"/>
      <c r="C864" s="674"/>
      <c r="D864" s="674"/>
      <c r="E864" s="674"/>
      <c r="F864" s="674"/>
      <c r="G864" s="674"/>
      <c r="H864" s="674"/>
      <c r="I864" s="674"/>
      <c r="J864" s="674"/>
      <c r="L864" s="674"/>
    </row>
    <row r="865">
      <c r="A865" s="674"/>
      <c r="B865" s="674"/>
      <c r="C865" s="674"/>
      <c r="D865" s="674"/>
      <c r="E865" s="674"/>
      <c r="F865" s="674"/>
      <c r="G865" s="674"/>
      <c r="H865" s="674"/>
      <c r="I865" s="674"/>
      <c r="J865" s="674"/>
      <c r="L865" s="674"/>
    </row>
    <row r="866">
      <c r="A866" s="674"/>
      <c r="B866" s="674"/>
      <c r="C866" s="674"/>
      <c r="D866" s="674"/>
      <c r="E866" s="674"/>
      <c r="F866" s="674"/>
      <c r="G866" s="674"/>
      <c r="H866" s="674"/>
      <c r="I866" s="674"/>
      <c r="J866" s="674"/>
      <c r="L866" s="674"/>
    </row>
    <row r="867">
      <c r="A867" s="674"/>
      <c r="B867" s="674"/>
      <c r="C867" s="674"/>
      <c r="D867" s="674"/>
      <c r="E867" s="674"/>
      <c r="F867" s="674"/>
      <c r="G867" s="674"/>
      <c r="H867" s="674"/>
      <c r="I867" s="674"/>
      <c r="J867" s="674"/>
      <c r="L867" s="674"/>
    </row>
    <row r="868">
      <c r="A868" s="674"/>
      <c r="B868" s="674"/>
      <c r="C868" s="674"/>
      <c r="D868" s="674"/>
      <c r="E868" s="674"/>
      <c r="F868" s="674"/>
      <c r="G868" s="674"/>
      <c r="H868" s="674"/>
      <c r="I868" s="674"/>
      <c r="J868" s="674"/>
      <c r="L868" s="674"/>
    </row>
    <row r="869">
      <c r="A869" s="674"/>
      <c r="B869" s="674"/>
      <c r="C869" s="674"/>
      <c r="D869" s="674"/>
      <c r="E869" s="674"/>
      <c r="F869" s="674"/>
      <c r="G869" s="674"/>
      <c r="H869" s="674"/>
      <c r="I869" s="674"/>
      <c r="J869" s="674"/>
      <c r="L869" s="674"/>
    </row>
    <row r="870">
      <c r="A870" s="674"/>
      <c r="B870" s="674"/>
      <c r="C870" s="674"/>
      <c r="D870" s="674"/>
      <c r="E870" s="674"/>
      <c r="F870" s="674"/>
      <c r="G870" s="674"/>
      <c r="H870" s="674"/>
      <c r="I870" s="674"/>
      <c r="J870" s="674"/>
      <c r="L870" s="674"/>
    </row>
    <row r="871">
      <c r="A871" s="674"/>
      <c r="B871" s="674"/>
      <c r="C871" s="674"/>
      <c r="D871" s="674"/>
      <c r="E871" s="674"/>
      <c r="F871" s="674"/>
      <c r="G871" s="674"/>
      <c r="H871" s="674"/>
      <c r="I871" s="674"/>
      <c r="J871" s="674"/>
      <c r="L871" s="674"/>
    </row>
    <row r="872">
      <c r="A872" s="674"/>
      <c r="B872" s="674"/>
      <c r="C872" s="674"/>
      <c r="D872" s="674"/>
      <c r="E872" s="674"/>
      <c r="F872" s="674"/>
      <c r="G872" s="674"/>
      <c r="H872" s="674"/>
      <c r="I872" s="674"/>
      <c r="J872" s="674"/>
      <c r="L872" s="674"/>
    </row>
    <row r="873">
      <c r="A873" s="674"/>
      <c r="B873" s="674"/>
      <c r="C873" s="674"/>
      <c r="D873" s="674"/>
      <c r="E873" s="674"/>
      <c r="F873" s="674"/>
      <c r="G873" s="674"/>
      <c r="H873" s="674"/>
      <c r="I873" s="674"/>
      <c r="J873" s="674"/>
      <c r="L873" s="674"/>
    </row>
    <row r="874">
      <c r="A874" s="674"/>
      <c r="B874" s="674"/>
      <c r="C874" s="674"/>
      <c r="D874" s="674"/>
      <c r="E874" s="674"/>
      <c r="F874" s="674"/>
      <c r="G874" s="674"/>
      <c r="H874" s="674"/>
      <c r="I874" s="674"/>
      <c r="J874" s="674"/>
      <c r="L874" s="674"/>
    </row>
    <row r="875">
      <c r="A875" s="674"/>
      <c r="B875" s="674"/>
      <c r="C875" s="674"/>
      <c r="D875" s="674"/>
      <c r="E875" s="674"/>
      <c r="F875" s="674"/>
      <c r="G875" s="674"/>
      <c r="H875" s="674"/>
      <c r="I875" s="674"/>
      <c r="J875" s="674"/>
      <c r="L875" s="674"/>
    </row>
    <row r="876">
      <c r="A876" s="674"/>
      <c r="B876" s="674"/>
      <c r="C876" s="674"/>
      <c r="D876" s="674"/>
      <c r="E876" s="674"/>
      <c r="F876" s="674"/>
      <c r="G876" s="674"/>
      <c r="H876" s="674"/>
      <c r="I876" s="674"/>
      <c r="J876" s="674"/>
      <c r="L876" s="674"/>
    </row>
    <row r="877">
      <c r="A877" s="674"/>
      <c r="B877" s="674"/>
      <c r="C877" s="674"/>
      <c r="D877" s="674"/>
      <c r="E877" s="674"/>
      <c r="F877" s="674"/>
      <c r="G877" s="674"/>
      <c r="H877" s="674"/>
      <c r="I877" s="674"/>
      <c r="J877" s="674"/>
      <c r="L877" s="674"/>
    </row>
    <row r="878">
      <c r="A878" s="674"/>
      <c r="B878" s="674"/>
      <c r="C878" s="674"/>
      <c r="D878" s="674"/>
      <c r="E878" s="674"/>
      <c r="F878" s="674"/>
      <c r="G878" s="674"/>
      <c r="H878" s="674"/>
      <c r="I878" s="674"/>
      <c r="J878" s="674"/>
      <c r="L878" s="674"/>
    </row>
    <row r="879">
      <c r="A879" s="674"/>
      <c r="B879" s="674"/>
      <c r="C879" s="674"/>
      <c r="D879" s="674"/>
      <c r="E879" s="674"/>
      <c r="F879" s="674"/>
      <c r="G879" s="674"/>
      <c r="H879" s="674"/>
      <c r="I879" s="674"/>
      <c r="J879" s="674"/>
      <c r="L879" s="674"/>
    </row>
    <row r="880">
      <c r="A880" s="674"/>
      <c r="B880" s="674"/>
      <c r="C880" s="674"/>
      <c r="D880" s="674"/>
      <c r="E880" s="674"/>
      <c r="F880" s="674"/>
      <c r="G880" s="674"/>
      <c r="H880" s="674"/>
      <c r="I880" s="674"/>
      <c r="J880" s="674"/>
      <c r="L880" s="674"/>
    </row>
    <row r="881">
      <c r="A881" s="674"/>
      <c r="B881" s="674"/>
      <c r="C881" s="674"/>
      <c r="D881" s="674"/>
      <c r="E881" s="674"/>
      <c r="F881" s="674"/>
      <c r="G881" s="674"/>
      <c r="H881" s="674"/>
      <c r="I881" s="674"/>
      <c r="J881" s="674"/>
      <c r="L881" s="674"/>
    </row>
    <row r="882">
      <c r="A882" s="674"/>
      <c r="B882" s="674"/>
      <c r="C882" s="674"/>
      <c r="D882" s="674"/>
      <c r="E882" s="674"/>
      <c r="F882" s="674"/>
      <c r="G882" s="674"/>
      <c r="H882" s="674"/>
      <c r="I882" s="674"/>
      <c r="J882" s="674"/>
      <c r="L882" s="674"/>
    </row>
    <row r="883">
      <c r="A883" s="674"/>
      <c r="B883" s="674"/>
      <c r="C883" s="674"/>
      <c r="D883" s="674"/>
      <c r="E883" s="674"/>
      <c r="F883" s="674"/>
      <c r="G883" s="674"/>
      <c r="H883" s="674"/>
      <c r="I883" s="674"/>
      <c r="J883" s="674"/>
      <c r="L883" s="674"/>
    </row>
    <row r="884">
      <c r="A884" s="674"/>
      <c r="B884" s="674"/>
      <c r="C884" s="674"/>
      <c r="D884" s="674"/>
      <c r="E884" s="674"/>
      <c r="F884" s="674"/>
      <c r="G884" s="674"/>
      <c r="H884" s="674"/>
      <c r="I884" s="674"/>
      <c r="J884" s="674"/>
      <c r="L884" s="674"/>
    </row>
    <row r="885">
      <c r="A885" s="674"/>
      <c r="B885" s="674"/>
      <c r="C885" s="674"/>
      <c r="D885" s="674"/>
      <c r="E885" s="674"/>
      <c r="F885" s="674"/>
      <c r="G885" s="674"/>
      <c r="H885" s="674"/>
      <c r="I885" s="674"/>
      <c r="J885" s="674"/>
      <c r="L885" s="674"/>
    </row>
    <row r="886">
      <c r="A886" s="674"/>
      <c r="B886" s="674"/>
      <c r="C886" s="674"/>
      <c r="D886" s="674"/>
      <c r="E886" s="674"/>
      <c r="F886" s="674"/>
      <c r="G886" s="674"/>
      <c r="H886" s="674"/>
      <c r="I886" s="674"/>
      <c r="J886" s="674"/>
      <c r="L886" s="674"/>
    </row>
    <row r="887">
      <c r="A887" s="674"/>
      <c r="B887" s="674"/>
      <c r="C887" s="674"/>
      <c r="D887" s="674"/>
      <c r="E887" s="674"/>
      <c r="F887" s="674"/>
      <c r="G887" s="674"/>
      <c r="H887" s="674"/>
      <c r="I887" s="674"/>
      <c r="J887" s="674"/>
      <c r="L887" s="674"/>
    </row>
    <row r="888">
      <c r="A888" s="674"/>
      <c r="B888" s="674"/>
      <c r="C888" s="674"/>
      <c r="D888" s="674"/>
      <c r="E888" s="674"/>
      <c r="F888" s="674"/>
      <c r="G888" s="674"/>
      <c r="H888" s="674"/>
      <c r="I888" s="674"/>
      <c r="J888" s="674"/>
      <c r="L888" s="674"/>
    </row>
    <row r="889">
      <c r="A889" s="674"/>
      <c r="B889" s="674"/>
      <c r="C889" s="674"/>
      <c r="D889" s="674"/>
      <c r="E889" s="674"/>
      <c r="F889" s="674"/>
      <c r="G889" s="674"/>
      <c r="H889" s="674"/>
      <c r="I889" s="674"/>
      <c r="J889" s="674"/>
      <c r="L889" s="674"/>
    </row>
    <row r="890">
      <c r="A890" s="674"/>
      <c r="B890" s="674"/>
      <c r="C890" s="674"/>
      <c r="D890" s="674"/>
      <c r="E890" s="674"/>
      <c r="F890" s="674"/>
      <c r="G890" s="674"/>
      <c r="H890" s="674"/>
      <c r="I890" s="674"/>
      <c r="J890" s="674"/>
      <c r="L890" s="674"/>
    </row>
    <row r="891">
      <c r="A891" s="674"/>
      <c r="B891" s="674"/>
      <c r="C891" s="674"/>
      <c r="D891" s="674"/>
      <c r="E891" s="674"/>
      <c r="F891" s="674"/>
      <c r="G891" s="674"/>
      <c r="H891" s="674"/>
      <c r="I891" s="674"/>
      <c r="J891" s="674"/>
      <c r="L891" s="674"/>
    </row>
    <row r="892">
      <c r="A892" s="674"/>
      <c r="B892" s="674"/>
      <c r="C892" s="674"/>
      <c r="D892" s="674"/>
      <c r="E892" s="674"/>
      <c r="F892" s="674"/>
      <c r="G892" s="674"/>
      <c r="H892" s="674"/>
      <c r="I892" s="674"/>
      <c r="J892" s="674"/>
      <c r="L892" s="674"/>
    </row>
    <row r="893">
      <c r="A893" s="674"/>
      <c r="B893" s="674"/>
      <c r="C893" s="674"/>
      <c r="D893" s="674"/>
      <c r="E893" s="674"/>
      <c r="F893" s="674"/>
      <c r="G893" s="674"/>
      <c r="H893" s="674"/>
      <c r="I893" s="674"/>
      <c r="J893" s="674"/>
      <c r="L893" s="674"/>
    </row>
    <row r="894">
      <c r="A894" s="674"/>
      <c r="B894" s="674"/>
      <c r="C894" s="674"/>
      <c r="D894" s="674"/>
      <c r="E894" s="674"/>
      <c r="F894" s="674"/>
      <c r="G894" s="674"/>
      <c r="H894" s="674"/>
      <c r="I894" s="674"/>
      <c r="J894" s="674"/>
      <c r="L894" s="674"/>
    </row>
    <row r="895">
      <c r="A895" s="674"/>
      <c r="B895" s="674"/>
      <c r="C895" s="674"/>
      <c r="D895" s="674"/>
      <c r="E895" s="674"/>
      <c r="F895" s="674"/>
      <c r="G895" s="674"/>
      <c r="H895" s="674"/>
      <c r="I895" s="674"/>
      <c r="J895" s="674"/>
      <c r="L895" s="674"/>
    </row>
    <row r="896">
      <c r="A896" s="674"/>
      <c r="B896" s="674"/>
      <c r="C896" s="674"/>
      <c r="D896" s="674"/>
      <c r="E896" s="674"/>
      <c r="F896" s="674"/>
      <c r="G896" s="674"/>
      <c r="H896" s="674"/>
      <c r="I896" s="674"/>
      <c r="J896" s="674"/>
      <c r="L896" s="674"/>
    </row>
    <row r="897">
      <c r="A897" s="674"/>
      <c r="B897" s="674"/>
      <c r="C897" s="674"/>
      <c r="D897" s="674"/>
      <c r="E897" s="674"/>
      <c r="F897" s="674"/>
      <c r="G897" s="674"/>
      <c r="H897" s="674"/>
      <c r="I897" s="674"/>
      <c r="J897" s="674"/>
      <c r="L897" s="674"/>
    </row>
    <row r="898">
      <c r="A898" s="674"/>
      <c r="B898" s="674"/>
      <c r="C898" s="674"/>
      <c r="D898" s="674"/>
      <c r="E898" s="674"/>
      <c r="F898" s="674"/>
      <c r="G898" s="674"/>
      <c r="H898" s="674"/>
      <c r="I898" s="674"/>
      <c r="J898" s="674"/>
      <c r="L898" s="674"/>
    </row>
    <row r="899">
      <c r="A899" s="674"/>
      <c r="B899" s="674"/>
      <c r="C899" s="674"/>
      <c r="D899" s="674"/>
      <c r="E899" s="674"/>
      <c r="F899" s="674"/>
      <c r="G899" s="674"/>
      <c r="H899" s="674"/>
      <c r="I899" s="674"/>
      <c r="J899" s="674"/>
      <c r="L899" s="674"/>
    </row>
    <row r="900">
      <c r="A900" s="674"/>
      <c r="B900" s="674"/>
      <c r="C900" s="674"/>
      <c r="D900" s="674"/>
      <c r="E900" s="674"/>
      <c r="F900" s="674"/>
      <c r="G900" s="674"/>
      <c r="H900" s="674"/>
      <c r="I900" s="674"/>
      <c r="J900" s="674"/>
      <c r="L900" s="674"/>
    </row>
    <row r="901">
      <c r="A901" s="674"/>
      <c r="B901" s="674"/>
      <c r="C901" s="674"/>
      <c r="D901" s="674"/>
      <c r="E901" s="674"/>
      <c r="F901" s="674"/>
      <c r="G901" s="674"/>
      <c r="H901" s="674"/>
      <c r="I901" s="674"/>
      <c r="J901" s="674"/>
      <c r="L901" s="674"/>
    </row>
    <row r="902">
      <c r="A902" s="674"/>
      <c r="B902" s="674"/>
      <c r="C902" s="674"/>
      <c r="D902" s="674"/>
      <c r="E902" s="674"/>
      <c r="F902" s="674"/>
      <c r="G902" s="674"/>
      <c r="H902" s="674"/>
      <c r="I902" s="674"/>
      <c r="J902" s="674"/>
      <c r="L902" s="674"/>
    </row>
    <row r="903">
      <c r="A903" s="674"/>
      <c r="B903" s="674"/>
      <c r="C903" s="674"/>
      <c r="D903" s="674"/>
      <c r="E903" s="674"/>
      <c r="F903" s="674"/>
      <c r="G903" s="674"/>
      <c r="H903" s="674"/>
      <c r="I903" s="674"/>
      <c r="J903" s="674"/>
      <c r="L903" s="674"/>
    </row>
    <row r="904">
      <c r="A904" s="674"/>
      <c r="B904" s="674"/>
      <c r="C904" s="674"/>
      <c r="D904" s="674"/>
      <c r="E904" s="674"/>
      <c r="F904" s="674"/>
      <c r="G904" s="674"/>
      <c r="H904" s="674"/>
      <c r="I904" s="674"/>
      <c r="J904" s="674"/>
      <c r="L904" s="674"/>
    </row>
    <row r="905">
      <c r="A905" s="674"/>
      <c r="B905" s="674"/>
      <c r="C905" s="674"/>
      <c r="D905" s="674"/>
      <c r="E905" s="674"/>
      <c r="F905" s="674"/>
      <c r="G905" s="674"/>
      <c r="H905" s="674"/>
      <c r="I905" s="674"/>
      <c r="J905" s="674"/>
      <c r="L905" s="674"/>
    </row>
    <row r="906">
      <c r="A906" s="674"/>
      <c r="B906" s="674"/>
      <c r="C906" s="674"/>
      <c r="D906" s="674"/>
      <c r="E906" s="674"/>
      <c r="F906" s="674"/>
      <c r="G906" s="674"/>
      <c r="H906" s="674"/>
      <c r="I906" s="674"/>
      <c r="J906" s="674"/>
      <c r="L906" s="674"/>
    </row>
    <row r="907">
      <c r="A907" s="674"/>
      <c r="B907" s="674"/>
      <c r="C907" s="674"/>
      <c r="D907" s="674"/>
      <c r="E907" s="674"/>
      <c r="F907" s="674"/>
      <c r="G907" s="674"/>
      <c r="H907" s="674"/>
      <c r="I907" s="674"/>
      <c r="J907" s="674"/>
      <c r="L907" s="674"/>
    </row>
    <row r="908">
      <c r="A908" s="674"/>
      <c r="B908" s="674"/>
      <c r="C908" s="674"/>
      <c r="D908" s="674"/>
      <c r="E908" s="674"/>
      <c r="F908" s="674"/>
      <c r="G908" s="674"/>
      <c r="H908" s="674"/>
      <c r="I908" s="674"/>
      <c r="J908" s="674"/>
      <c r="L908" s="674"/>
    </row>
    <row r="909">
      <c r="A909" s="674"/>
      <c r="B909" s="674"/>
      <c r="C909" s="674"/>
      <c r="D909" s="674"/>
      <c r="E909" s="674"/>
      <c r="F909" s="674"/>
      <c r="G909" s="674"/>
      <c r="H909" s="674"/>
      <c r="I909" s="674"/>
      <c r="J909" s="674"/>
      <c r="L909" s="674"/>
    </row>
    <row r="910">
      <c r="A910" s="674"/>
      <c r="B910" s="674"/>
      <c r="C910" s="674"/>
      <c r="D910" s="674"/>
      <c r="E910" s="674"/>
      <c r="F910" s="674"/>
      <c r="G910" s="674"/>
      <c r="H910" s="674"/>
      <c r="I910" s="674"/>
      <c r="J910" s="674"/>
      <c r="L910" s="674"/>
    </row>
    <row r="911">
      <c r="A911" s="674"/>
      <c r="B911" s="674"/>
      <c r="C911" s="674"/>
      <c r="D911" s="674"/>
      <c r="E911" s="674"/>
      <c r="F911" s="674"/>
      <c r="G911" s="674"/>
      <c r="H911" s="674"/>
      <c r="I911" s="674"/>
      <c r="J911" s="674"/>
      <c r="L911" s="674"/>
    </row>
    <row r="912">
      <c r="A912" s="674"/>
      <c r="B912" s="674"/>
      <c r="C912" s="674"/>
      <c r="D912" s="674"/>
      <c r="E912" s="674"/>
      <c r="F912" s="674"/>
      <c r="G912" s="674"/>
      <c r="H912" s="674"/>
      <c r="I912" s="674"/>
      <c r="J912" s="674"/>
      <c r="L912" s="674"/>
    </row>
    <row r="913">
      <c r="A913" s="674"/>
      <c r="B913" s="674"/>
      <c r="C913" s="674"/>
      <c r="D913" s="674"/>
      <c r="E913" s="674"/>
      <c r="F913" s="674"/>
      <c r="G913" s="674"/>
      <c r="H913" s="674"/>
      <c r="I913" s="674"/>
      <c r="J913" s="674"/>
      <c r="L913" s="674"/>
    </row>
    <row r="914">
      <c r="A914" s="674"/>
      <c r="B914" s="674"/>
      <c r="C914" s="674"/>
      <c r="D914" s="674"/>
      <c r="E914" s="674"/>
      <c r="F914" s="674"/>
      <c r="G914" s="674"/>
      <c r="H914" s="674"/>
      <c r="I914" s="674"/>
      <c r="J914" s="674"/>
      <c r="L914" s="674"/>
    </row>
    <row r="915">
      <c r="A915" s="674"/>
      <c r="B915" s="674"/>
      <c r="C915" s="674"/>
      <c r="D915" s="674"/>
      <c r="E915" s="674"/>
      <c r="F915" s="674"/>
      <c r="G915" s="674"/>
      <c r="H915" s="674"/>
      <c r="I915" s="674"/>
      <c r="J915" s="674"/>
      <c r="L915" s="674"/>
    </row>
    <row r="916">
      <c r="A916" s="674"/>
      <c r="B916" s="674"/>
      <c r="C916" s="674"/>
      <c r="D916" s="674"/>
      <c r="E916" s="674"/>
      <c r="F916" s="674"/>
      <c r="G916" s="674"/>
      <c r="H916" s="674"/>
      <c r="I916" s="674"/>
      <c r="J916" s="674"/>
      <c r="L916" s="674"/>
    </row>
    <row r="917">
      <c r="A917" s="674"/>
      <c r="B917" s="674"/>
      <c r="C917" s="674"/>
      <c r="D917" s="674"/>
      <c r="E917" s="674"/>
      <c r="F917" s="674"/>
      <c r="G917" s="674"/>
      <c r="H917" s="674"/>
      <c r="I917" s="674"/>
      <c r="J917" s="674"/>
      <c r="L917" s="674"/>
    </row>
    <row r="918">
      <c r="A918" s="674"/>
      <c r="B918" s="674"/>
      <c r="C918" s="674"/>
      <c r="D918" s="674"/>
      <c r="E918" s="674"/>
      <c r="F918" s="674"/>
      <c r="G918" s="674"/>
      <c r="H918" s="674"/>
      <c r="I918" s="674"/>
      <c r="J918" s="674"/>
      <c r="L918" s="674"/>
    </row>
    <row r="919">
      <c r="A919" s="674"/>
      <c r="B919" s="674"/>
      <c r="C919" s="674"/>
      <c r="D919" s="674"/>
      <c r="E919" s="674"/>
      <c r="F919" s="674"/>
      <c r="G919" s="674"/>
      <c r="H919" s="674"/>
      <c r="I919" s="674"/>
      <c r="J919" s="674"/>
      <c r="L919" s="674"/>
    </row>
    <row r="920">
      <c r="A920" s="674"/>
      <c r="B920" s="674"/>
      <c r="C920" s="674"/>
      <c r="D920" s="674"/>
      <c r="E920" s="674"/>
      <c r="F920" s="674"/>
      <c r="G920" s="674"/>
      <c r="H920" s="674"/>
      <c r="I920" s="674"/>
      <c r="J920" s="674"/>
      <c r="L920" s="674"/>
    </row>
    <row r="921">
      <c r="A921" s="674"/>
      <c r="B921" s="674"/>
      <c r="C921" s="674"/>
      <c r="D921" s="674"/>
      <c r="E921" s="674"/>
      <c r="F921" s="674"/>
      <c r="G921" s="674"/>
      <c r="H921" s="674"/>
      <c r="I921" s="674"/>
      <c r="J921" s="674"/>
      <c r="L921" s="674"/>
    </row>
    <row r="922">
      <c r="A922" s="674"/>
      <c r="B922" s="674"/>
      <c r="C922" s="674"/>
      <c r="D922" s="674"/>
      <c r="E922" s="674"/>
      <c r="F922" s="674"/>
      <c r="G922" s="674"/>
      <c r="H922" s="674"/>
      <c r="I922" s="674"/>
      <c r="J922" s="674"/>
      <c r="L922" s="674"/>
    </row>
    <row r="923">
      <c r="A923" s="674"/>
      <c r="B923" s="674"/>
      <c r="C923" s="674"/>
      <c r="D923" s="674"/>
      <c r="E923" s="674"/>
      <c r="F923" s="674"/>
      <c r="G923" s="674"/>
      <c r="H923" s="674"/>
      <c r="I923" s="674"/>
      <c r="J923" s="674"/>
      <c r="L923" s="674"/>
    </row>
    <row r="924">
      <c r="A924" s="674"/>
      <c r="B924" s="674"/>
      <c r="C924" s="674"/>
      <c r="D924" s="674"/>
      <c r="E924" s="674"/>
      <c r="F924" s="674"/>
      <c r="G924" s="674"/>
      <c r="H924" s="674"/>
      <c r="I924" s="674"/>
      <c r="J924" s="674"/>
      <c r="L924" s="674"/>
    </row>
    <row r="925">
      <c r="A925" s="674"/>
      <c r="B925" s="674"/>
      <c r="C925" s="674"/>
      <c r="D925" s="674"/>
      <c r="E925" s="674"/>
      <c r="F925" s="674"/>
      <c r="G925" s="674"/>
      <c r="H925" s="674"/>
      <c r="I925" s="674"/>
      <c r="J925" s="674"/>
      <c r="L925" s="674"/>
    </row>
    <row r="926">
      <c r="A926" s="674"/>
      <c r="B926" s="674"/>
      <c r="C926" s="674"/>
      <c r="D926" s="674"/>
      <c r="E926" s="674"/>
      <c r="F926" s="674"/>
      <c r="G926" s="674"/>
      <c r="H926" s="674"/>
      <c r="I926" s="674"/>
      <c r="J926" s="674"/>
      <c r="L926" s="674"/>
    </row>
    <row r="927">
      <c r="A927" s="674"/>
      <c r="B927" s="674"/>
      <c r="C927" s="674"/>
      <c r="D927" s="674"/>
      <c r="E927" s="674"/>
      <c r="F927" s="674"/>
      <c r="G927" s="674"/>
      <c r="H927" s="674"/>
      <c r="I927" s="674"/>
      <c r="J927" s="674"/>
      <c r="L927" s="674"/>
    </row>
    <row r="928">
      <c r="A928" s="674"/>
      <c r="B928" s="674"/>
      <c r="C928" s="674"/>
      <c r="D928" s="674"/>
      <c r="E928" s="674"/>
      <c r="F928" s="674"/>
      <c r="G928" s="674"/>
      <c r="H928" s="674"/>
      <c r="I928" s="674"/>
      <c r="J928" s="674"/>
      <c r="L928" s="674"/>
    </row>
    <row r="929">
      <c r="A929" s="674"/>
      <c r="B929" s="674"/>
      <c r="C929" s="674"/>
      <c r="D929" s="674"/>
      <c r="E929" s="674"/>
      <c r="F929" s="674"/>
      <c r="G929" s="674"/>
      <c r="H929" s="674"/>
      <c r="I929" s="674"/>
      <c r="J929" s="674"/>
      <c r="L929" s="674"/>
    </row>
    <row r="930">
      <c r="A930" s="674"/>
      <c r="B930" s="674"/>
      <c r="C930" s="674"/>
      <c r="D930" s="674"/>
      <c r="E930" s="674"/>
      <c r="F930" s="674"/>
      <c r="G930" s="674"/>
      <c r="H930" s="674"/>
      <c r="I930" s="674"/>
      <c r="J930" s="674"/>
      <c r="L930" s="674"/>
    </row>
    <row r="931">
      <c r="A931" s="674"/>
      <c r="B931" s="674"/>
      <c r="C931" s="674"/>
      <c r="D931" s="674"/>
      <c r="E931" s="674"/>
      <c r="F931" s="674"/>
      <c r="G931" s="674"/>
      <c r="H931" s="674"/>
      <c r="I931" s="674"/>
      <c r="J931" s="674"/>
      <c r="L931" s="674"/>
    </row>
    <row r="932">
      <c r="A932" s="674"/>
      <c r="B932" s="674"/>
      <c r="C932" s="674"/>
      <c r="D932" s="674"/>
      <c r="E932" s="674"/>
      <c r="F932" s="674"/>
      <c r="G932" s="674"/>
      <c r="H932" s="674"/>
      <c r="I932" s="674"/>
      <c r="J932" s="674"/>
      <c r="L932" s="674"/>
    </row>
    <row r="933">
      <c r="A933" s="674"/>
      <c r="B933" s="674"/>
      <c r="C933" s="674"/>
      <c r="D933" s="674"/>
      <c r="E933" s="674"/>
      <c r="F933" s="674"/>
      <c r="G933" s="674"/>
      <c r="H933" s="674"/>
      <c r="I933" s="674"/>
      <c r="J933" s="674"/>
      <c r="L933" s="674"/>
    </row>
    <row r="934">
      <c r="A934" s="674"/>
      <c r="B934" s="674"/>
      <c r="C934" s="674"/>
      <c r="D934" s="674"/>
      <c r="E934" s="674"/>
      <c r="F934" s="674"/>
      <c r="G934" s="674"/>
      <c r="H934" s="674"/>
      <c r="I934" s="674"/>
      <c r="J934" s="674"/>
      <c r="L934" s="674"/>
    </row>
    <row r="935">
      <c r="A935" s="674"/>
      <c r="B935" s="674"/>
      <c r="C935" s="674"/>
      <c r="D935" s="674"/>
      <c r="E935" s="674"/>
      <c r="F935" s="674"/>
      <c r="G935" s="674"/>
      <c r="H935" s="674"/>
      <c r="I935" s="674"/>
      <c r="J935" s="674"/>
      <c r="L935" s="674"/>
    </row>
    <row r="936">
      <c r="A936" s="674"/>
      <c r="B936" s="674"/>
      <c r="C936" s="674"/>
      <c r="D936" s="674"/>
      <c r="E936" s="674"/>
      <c r="F936" s="674"/>
      <c r="G936" s="674"/>
      <c r="H936" s="674"/>
      <c r="I936" s="674"/>
      <c r="J936" s="674"/>
      <c r="L936" s="674"/>
    </row>
    <row r="937">
      <c r="A937" s="674"/>
      <c r="B937" s="674"/>
      <c r="C937" s="674"/>
      <c r="D937" s="674"/>
      <c r="E937" s="674"/>
      <c r="F937" s="674"/>
      <c r="G937" s="674"/>
      <c r="H937" s="674"/>
      <c r="I937" s="674"/>
      <c r="J937" s="674"/>
      <c r="L937" s="674"/>
    </row>
    <row r="938">
      <c r="A938" s="674"/>
      <c r="B938" s="674"/>
      <c r="C938" s="674"/>
      <c r="D938" s="674"/>
      <c r="E938" s="674"/>
      <c r="F938" s="674"/>
      <c r="G938" s="674"/>
      <c r="H938" s="674"/>
      <c r="I938" s="674"/>
      <c r="J938" s="674"/>
      <c r="L938" s="674"/>
    </row>
    <row r="939">
      <c r="A939" s="674"/>
      <c r="B939" s="674"/>
      <c r="C939" s="674"/>
      <c r="D939" s="674"/>
      <c r="E939" s="674"/>
      <c r="F939" s="674"/>
      <c r="G939" s="674"/>
      <c r="H939" s="674"/>
      <c r="I939" s="674"/>
      <c r="J939" s="674"/>
      <c r="L939" s="674"/>
    </row>
    <row r="940">
      <c r="A940" s="674"/>
      <c r="B940" s="674"/>
      <c r="C940" s="674"/>
      <c r="D940" s="674"/>
      <c r="E940" s="674"/>
      <c r="F940" s="674"/>
      <c r="G940" s="674"/>
      <c r="H940" s="674"/>
      <c r="I940" s="674"/>
      <c r="J940" s="674"/>
      <c r="L940" s="674"/>
    </row>
    <row r="941">
      <c r="A941" s="674"/>
      <c r="B941" s="674"/>
      <c r="C941" s="674"/>
      <c r="D941" s="674"/>
      <c r="E941" s="674"/>
      <c r="F941" s="674"/>
      <c r="G941" s="674"/>
      <c r="H941" s="674"/>
      <c r="I941" s="674"/>
      <c r="J941" s="674"/>
      <c r="L941" s="674"/>
    </row>
    <row r="942">
      <c r="A942" s="674"/>
      <c r="B942" s="674"/>
      <c r="C942" s="674"/>
      <c r="D942" s="674"/>
      <c r="E942" s="674"/>
      <c r="F942" s="674"/>
      <c r="G942" s="674"/>
      <c r="H942" s="674"/>
      <c r="I942" s="674"/>
      <c r="J942" s="674"/>
      <c r="L942" s="674"/>
    </row>
    <row r="943">
      <c r="A943" s="674"/>
      <c r="B943" s="674"/>
      <c r="C943" s="674"/>
      <c r="D943" s="674"/>
      <c r="E943" s="674"/>
      <c r="F943" s="674"/>
      <c r="G943" s="674"/>
      <c r="H943" s="674"/>
      <c r="I943" s="674"/>
      <c r="J943" s="674"/>
      <c r="L943" s="674"/>
    </row>
    <row r="944">
      <c r="A944" s="674"/>
      <c r="B944" s="674"/>
      <c r="C944" s="674"/>
      <c r="D944" s="674"/>
      <c r="E944" s="674"/>
      <c r="F944" s="674"/>
      <c r="G944" s="674"/>
      <c r="H944" s="674"/>
      <c r="I944" s="674"/>
      <c r="J944" s="674"/>
      <c r="L944" s="674"/>
    </row>
    <row r="945">
      <c r="A945" s="674"/>
      <c r="B945" s="674"/>
      <c r="C945" s="674"/>
      <c r="D945" s="674"/>
      <c r="E945" s="674"/>
      <c r="F945" s="674"/>
      <c r="G945" s="674"/>
      <c r="H945" s="674"/>
      <c r="I945" s="674"/>
      <c r="J945" s="674"/>
      <c r="L945" s="674"/>
    </row>
    <row r="946">
      <c r="A946" s="674"/>
      <c r="B946" s="674"/>
      <c r="C946" s="674"/>
      <c r="D946" s="674"/>
      <c r="E946" s="674"/>
      <c r="F946" s="674"/>
      <c r="G946" s="674"/>
      <c r="H946" s="674"/>
      <c r="I946" s="674"/>
      <c r="J946" s="674"/>
      <c r="L946" s="674"/>
    </row>
    <row r="947">
      <c r="A947" s="674"/>
      <c r="B947" s="674"/>
      <c r="C947" s="674"/>
      <c r="D947" s="674"/>
      <c r="E947" s="674"/>
      <c r="F947" s="674"/>
      <c r="G947" s="674"/>
      <c r="H947" s="674"/>
      <c r="I947" s="674"/>
      <c r="J947" s="674"/>
      <c r="L947" s="674"/>
    </row>
    <row r="948">
      <c r="A948" s="674"/>
      <c r="B948" s="674"/>
      <c r="C948" s="674"/>
      <c r="D948" s="674"/>
      <c r="E948" s="674"/>
      <c r="F948" s="674"/>
      <c r="G948" s="674"/>
      <c r="H948" s="674"/>
      <c r="I948" s="674"/>
      <c r="J948" s="674"/>
      <c r="L948" s="674"/>
    </row>
    <row r="949">
      <c r="A949" s="674"/>
      <c r="B949" s="674"/>
      <c r="C949" s="674"/>
      <c r="D949" s="674"/>
      <c r="E949" s="674"/>
      <c r="F949" s="674"/>
      <c r="G949" s="674"/>
      <c r="H949" s="674"/>
      <c r="I949" s="674"/>
      <c r="J949" s="674"/>
      <c r="L949" s="674"/>
    </row>
    <row r="950">
      <c r="A950" s="674"/>
      <c r="B950" s="674"/>
      <c r="C950" s="674"/>
      <c r="D950" s="674"/>
      <c r="E950" s="674"/>
      <c r="F950" s="674"/>
      <c r="G950" s="674"/>
      <c r="H950" s="674"/>
      <c r="I950" s="674"/>
      <c r="J950" s="674"/>
      <c r="L950" s="674"/>
    </row>
    <row r="951">
      <c r="A951" s="674"/>
      <c r="B951" s="674"/>
      <c r="C951" s="674"/>
      <c r="D951" s="674"/>
      <c r="E951" s="674"/>
      <c r="F951" s="674"/>
      <c r="G951" s="674"/>
      <c r="H951" s="674"/>
      <c r="I951" s="674"/>
      <c r="J951" s="674"/>
      <c r="L951" s="674"/>
    </row>
    <row r="952">
      <c r="A952" s="674"/>
      <c r="B952" s="674"/>
      <c r="C952" s="674"/>
      <c r="D952" s="674"/>
      <c r="E952" s="674"/>
      <c r="F952" s="674"/>
      <c r="G952" s="674"/>
      <c r="H952" s="674"/>
      <c r="I952" s="674"/>
      <c r="J952" s="674"/>
      <c r="L952" s="674"/>
    </row>
    <row r="953">
      <c r="A953" s="674"/>
      <c r="B953" s="674"/>
      <c r="C953" s="674"/>
      <c r="D953" s="674"/>
      <c r="E953" s="674"/>
      <c r="F953" s="674"/>
      <c r="G953" s="674"/>
      <c r="H953" s="674"/>
      <c r="I953" s="674"/>
      <c r="J953" s="674"/>
      <c r="L953" s="674"/>
    </row>
    <row r="954">
      <c r="A954" s="674"/>
      <c r="B954" s="674"/>
      <c r="C954" s="674"/>
      <c r="D954" s="674"/>
      <c r="E954" s="674"/>
      <c r="F954" s="674"/>
      <c r="G954" s="674"/>
      <c r="H954" s="674"/>
      <c r="I954" s="674"/>
      <c r="J954" s="674"/>
      <c r="L954" s="674"/>
    </row>
    <row r="955">
      <c r="A955" s="674"/>
      <c r="B955" s="674"/>
      <c r="C955" s="674"/>
      <c r="D955" s="674"/>
      <c r="E955" s="674"/>
      <c r="F955" s="674"/>
      <c r="G955" s="674"/>
      <c r="H955" s="674"/>
      <c r="I955" s="674"/>
      <c r="J955" s="674"/>
      <c r="L955" s="674"/>
    </row>
    <row r="956">
      <c r="A956" s="674"/>
      <c r="B956" s="674"/>
      <c r="C956" s="674"/>
      <c r="D956" s="674"/>
      <c r="E956" s="674"/>
      <c r="F956" s="674"/>
      <c r="G956" s="674"/>
      <c r="H956" s="674"/>
      <c r="I956" s="674"/>
      <c r="J956" s="674"/>
      <c r="L956" s="674"/>
    </row>
    <row r="957">
      <c r="A957" s="674"/>
      <c r="B957" s="674"/>
      <c r="C957" s="674"/>
      <c r="D957" s="674"/>
      <c r="E957" s="674"/>
      <c r="F957" s="674"/>
      <c r="G957" s="674"/>
      <c r="H957" s="674"/>
      <c r="I957" s="674"/>
      <c r="J957" s="674"/>
      <c r="L957" s="674"/>
    </row>
    <row r="958">
      <c r="A958" s="674"/>
      <c r="B958" s="674"/>
      <c r="C958" s="674"/>
      <c r="D958" s="674"/>
      <c r="E958" s="674"/>
      <c r="F958" s="674"/>
      <c r="G958" s="674"/>
      <c r="H958" s="674"/>
      <c r="I958" s="674"/>
      <c r="J958" s="674"/>
      <c r="L958" s="674"/>
    </row>
    <row r="959">
      <c r="A959" s="674"/>
      <c r="B959" s="674"/>
      <c r="C959" s="674"/>
      <c r="D959" s="674"/>
      <c r="E959" s="674"/>
      <c r="F959" s="674"/>
      <c r="G959" s="674"/>
      <c r="H959" s="674"/>
      <c r="I959" s="674"/>
      <c r="J959" s="674"/>
      <c r="L959" s="674"/>
    </row>
    <row r="960">
      <c r="A960" s="674"/>
      <c r="B960" s="674"/>
      <c r="C960" s="674"/>
      <c r="D960" s="674"/>
      <c r="E960" s="674"/>
      <c r="F960" s="674"/>
      <c r="G960" s="674"/>
      <c r="H960" s="674"/>
      <c r="I960" s="674"/>
      <c r="J960" s="674"/>
      <c r="L960" s="674"/>
    </row>
    <row r="961">
      <c r="A961" s="674"/>
      <c r="B961" s="674"/>
      <c r="C961" s="674"/>
      <c r="D961" s="674"/>
      <c r="E961" s="674"/>
      <c r="F961" s="674"/>
      <c r="G961" s="674"/>
      <c r="H961" s="674"/>
      <c r="I961" s="674"/>
      <c r="J961" s="674"/>
      <c r="L961" s="674"/>
    </row>
    <row r="962">
      <c r="A962" s="674"/>
      <c r="B962" s="674"/>
      <c r="C962" s="674"/>
      <c r="D962" s="674"/>
      <c r="E962" s="674"/>
      <c r="F962" s="674"/>
      <c r="G962" s="674"/>
      <c r="H962" s="674"/>
      <c r="I962" s="674"/>
      <c r="J962" s="674"/>
      <c r="L962" s="674"/>
    </row>
    <row r="963">
      <c r="A963" s="674"/>
      <c r="B963" s="674"/>
      <c r="C963" s="674"/>
      <c r="D963" s="674"/>
      <c r="E963" s="674"/>
      <c r="F963" s="674"/>
      <c r="G963" s="674"/>
      <c r="H963" s="674"/>
      <c r="I963" s="674"/>
      <c r="J963" s="674"/>
      <c r="L963" s="674"/>
    </row>
    <row r="964">
      <c r="A964" s="674"/>
      <c r="B964" s="674"/>
      <c r="C964" s="674"/>
      <c r="D964" s="674"/>
      <c r="E964" s="674"/>
      <c r="F964" s="674"/>
      <c r="G964" s="674"/>
      <c r="H964" s="674"/>
      <c r="I964" s="674"/>
      <c r="J964" s="674"/>
      <c r="L964" s="674"/>
    </row>
    <row r="965">
      <c r="A965" s="674"/>
      <c r="B965" s="674"/>
      <c r="C965" s="674"/>
      <c r="D965" s="674"/>
      <c r="E965" s="674"/>
      <c r="F965" s="674"/>
      <c r="G965" s="674"/>
      <c r="H965" s="674"/>
      <c r="I965" s="674"/>
      <c r="J965" s="674"/>
      <c r="L965" s="674"/>
    </row>
    <row r="966">
      <c r="A966" s="674"/>
      <c r="B966" s="674"/>
      <c r="C966" s="674"/>
      <c r="D966" s="674"/>
      <c r="E966" s="674"/>
      <c r="F966" s="674"/>
      <c r="G966" s="674"/>
      <c r="H966" s="674"/>
      <c r="I966" s="674"/>
      <c r="J966" s="674"/>
      <c r="L966" s="674"/>
    </row>
    <row r="967">
      <c r="A967" s="674"/>
      <c r="B967" s="674"/>
      <c r="C967" s="674"/>
      <c r="D967" s="674"/>
      <c r="E967" s="674"/>
      <c r="F967" s="674"/>
      <c r="G967" s="674"/>
      <c r="H967" s="674"/>
      <c r="I967" s="674"/>
      <c r="J967" s="674"/>
      <c r="L967" s="674"/>
    </row>
    <row r="968">
      <c r="A968" s="674"/>
      <c r="B968" s="674"/>
      <c r="C968" s="674"/>
      <c r="D968" s="674"/>
      <c r="E968" s="674"/>
      <c r="F968" s="674"/>
      <c r="G968" s="674"/>
      <c r="H968" s="674"/>
      <c r="I968" s="674"/>
      <c r="J968" s="674"/>
      <c r="L968" s="674"/>
    </row>
    <row r="969">
      <c r="A969" s="674"/>
      <c r="B969" s="674"/>
      <c r="C969" s="674"/>
      <c r="D969" s="674"/>
      <c r="E969" s="674"/>
      <c r="F969" s="674"/>
      <c r="G969" s="674"/>
      <c r="H969" s="674"/>
      <c r="I969" s="674"/>
      <c r="J969" s="674"/>
      <c r="L969" s="674"/>
    </row>
    <row r="970">
      <c r="A970" s="674"/>
      <c r="B970" s="674"/>
      <c r="C970" s="674"/>
      <c r="D970" s="674"/>
      <c r="E970" s="674"/>
      <c r="F970" s="674"/>
      <c r="G970" s="674"/>
      <c r="H970" s="674"/>
      <c r="I970" s="674"/>
      <c r="J970" s="674"/>
      <c r="L970" s="674"/>
    </row>
    <row r="971">
      <c r="A971" s="674"/>
      <c r="B971" s="674"/>
      <c r="C971" s="674"/>
      <c r="D971" s="674"/>
      <c r="E971" s="674"/>
      <c r="F971" s="674"/>
      <c r="G971" s="674"/>
      <c r="H971" s="674"/>
      <c r="I971" s="674"/>
      <c r="J971" s="674"/>
      <c r="L971" s="674"/>
    </row>
    <row r="972">
      <c r="A972" s="674"/>
      <c r="B972" s="674"/>
      <c r="C972" s="674"/>
      <c r="D972" s="674"/>
      <c r="E972" s="674"/>
      <c r="F972" s="674"/>
      <c r="G972" s="674"/>
      <c r="H972" s="674"/>
      <c r="I972" s="674"/>
      <c r="J972" s="674"/>
      <c r="L972" s="674"/>
    </row>
    <row r="973">
      <c r="A973" s="674"/>
      <c r="B973" s="674"/>
      <c r="C973" s="674"/>
      <c r="D973" s="674"/>
      <c r="E973" s="674"/>
      <c r="F973" s="674"/>
      <c r="G973" s="674"/>
      <c r="H973" s="674"/>
      <c r="I973" s="674"/>
      <c r="J973" s="674"/>
      <c r="L973" s="674"/>
    </row>
    <row r="974">
      <c r="A974" s="674"/>
      <c r="B974" s="674"/>
      <c r="C974" s="674"/>
      <c r="D974" s="674"/>
      <c r="E974" s="674"/>
      <c r="F974" s="674"/>
      <c r="G974" s="674"/>
      <c r="H974" s="674"/>
      <c r="I974" s="674"/>
      <c r="J974" s="674"/>
      <c r="L974" s="674"/>
    </row>
    <row r="975">
      <c r="A975" s="674"/>
      <c r="B975" s="674"/>
      <c r="C975" s="674"/>
      <c r="D975" s="674"/>
      <c r="E975" s="674"/>
      <c r="F975" s="674"/>
      <c r="G975" s="674"/>
      <c r="H975" s="674"/>
      <c r="I975" s="674"/>
      <c r="J975" s="674"/>
      <c r="L975" s="674"/>
    </row>
    <row r="976">
      <c r="A976" s="674"/>
      <c r="B976" s="674"/>
      <c r="C976" s="674"/>
      <c r="D976" s="674"/>
      <c r="E976" s="674"/>
      <c r="F976" s="674"/>
      <c r="G976" s="674"/>
      <c r="H976" s="674"/>
      <c r="I976" s="674"/>
      <c r="J976" s="674"/>
      <c r="L976" s="674"/>
    </row>
    <row r="977">
      <c r="A977" s="674"/>
      <c r="B977" s="674"/>
      <c r="C977" s="674"/>
      <c r="D977" s="674"/>
      <c r="E977" s="674"/>
      <c r="F977" s="674"/>
      <c r="G977" s="674"/>
      <c r="H977" s="674"/>
      <c r="I977" s="674"/>
      <c r="J977" s="674"/>
      <c r="L977" s="674"/>
    </row>
    <row r="978">
      <c r="A978" s="674"/>
      <c r="B978" s="674"/>
      <c r="C978" s="674"/>
      <c r="D978" s="674"/>
      <c r="E978" s="674"/>
      <c r="F978" s="674"/>
      <c r="G978" s="674"/>
      <c r="H978" s="674"/>
      <c r="I978" s="674"/>
      <c r="J978" s="674"/>
      <c r="L978" s="674"/>
    </row>
    <row r="979">
      <c r="A979" s="674"/>
      <c r="B979" s="674"/>
      <c r="C979" s="674"/>
      <c r="D979" s="674"/>
      <c r="E979" s="674"/>
      <c r="F979" s="674"/>
      <c r="G979" s="674"/>
      <c r="H979" s="674"/>
      <c r="I979" s="674"/>
      <c r="J979" s="674"/>
      <c r="L979" s="674"/>
    </row>
    <row r="980">
      <c r="A980" s="674"/>
      <c r="B980" s="674"/>
      <c r="C980" s="674"/>
      <c r="D980" s="674"/>
      <c r="E980" s="674"/>
      <c r="F980" s="674"/>
      <c r="G980" s="674"/>
      <c r="H980" s="674"/>
      <c r="I980" s="674"/>
      <c r="J980" s="674"/>
      <c r="L980" s="674"/>
    </row>
    <row r="981">
      <c r="A981" s="674"/>
      <c r="B981" s="674"/>
      <c r="C981" s="674"/>
      <c r="D981" s="674"/>
      <c r="E981" s="674"/>
      <c r="F981" s="674"/>
      <c r="G981" s="674"/>
      <c r="H981" s="674"/>
      <c r="I981" s="674"/>
      <c r="J981" s="674"/>
      <c r="L981" s="674"/>
    </row>
    <row r="982">
      <c r="A982" s="674"/>
      <c r="B982" s="674"/>
      <c r="C982" s="674"/>
      <c r="D982" s="674"/>
      <c r="E982" s="674"/>
      <c r="F982" s="674"/>
      <c r="G982" s="674"/>
      <c r="H982" s="674"/>
      <c r="I982" s="674"/>
      <c r="J982" s="674"/>
      <c r="L982" s="674"/>
    </row>
    <row r="983">
      <c r="A983" s="674"/>
      <c r="B983" s="674"/>
      <c r="C983" s="674"/>
      <c r="D983" s="674"/>
      <c r="E983" s="674"/>
      <c r="F983" s="674"/>
      <c r="G983" s="674"/>
      <c r="H983" s="674"/>
      <c r="I983" s="674"/>
      <c r="J983" s="674"/>
      <c r="L983" s="674"/>
    </row>
    <row r="984">
      <c r="A984" s="674"/>
      <c r="B984" s="674"/>
      <c r="C984" s="674"/>
      <c r="D984" s="674"/>
      <c r="E984" s="674"/>
      <c r="F984" s="674"/>
      <c r="G984" s="674"/>
      <c r="H984" s="674"/>
      <c r="I984" s="674"/>
      <c r="J984" s="674"/>
      <c r="L984" s="674"/>
    </row>
    <row r="985">
      <c r="A985" s="674"/>
      <c r="B985" s="674"/>
      <c r="C985" s="674"/>
      <c r="D985" s="674"/>
      <c r="E985" s="674"/>
      <c r="F985" s="674"/>
      <c r="G985" s="674"/>
      <c r="H985" s="674"/>
      <c r="I985" s="674"/>
      <c r="J985" s="674"/>
      <c r="L985" s="674"/>
    </row>
    <row r="986">
      <c r="A986" s="674"/>
      <c r="B986" s="674"/>
      <c r="C986" s="674"/>
      <c r="D986" s="674"/>
      <c r="E986" s="674"/>
      <c r="F986" s="674"/>
      <c r="G986" s="674"/>
      <c r="H986" s="674"/>
      <c r="I986" s="674"/>
      <c r="J986" s="674"/>
      <c r="L986" s="674"/>
    </row>
    <row r="987">
      <c r="A987" s="674"/>
      <c r="B987" s="674"/>
      <c r="C987" s="674"/>
      <c r="D987" s="674"/>
      <c r="E987" s="674"/>
      <c r="F987" s="674"/>
      <c r="G987" s="674"/>
      <c r="H987" s="674"/>
      <c r="I987" s="674"/>
      <c r="J987" s="674"/>
      <c r="L987" s="674"/>
    </row>
    <row r="988">
      <c r="A988" s="674"/>
      <c r="B988" s="674"/>
      <c r="C988" s="674"/>
      <c r="D988" s="674"/>
      <c r="E988" s="674"/>
      <c r="F988" s="674"/>
      <c r="G988" s="674"/>
      <c r="H988" s="674"/>
      <c r="I988" s="674"/>
      <c r="J988" s="674"/>
      <c r="L988" s="674"/>
    </row>
    <row r="989">
      <c r="A989" s="674"/>
      <c r="B989" s="674"/>
      <c r="C989" s="674"/>
      <c r="D989" s="674"/>
      <c r="E989" s="674"/>
      <c r="F989" s="674"/>
      <c r="G989" s="674"/>
      <c r="H989" s="674"/>
      <c r="I989" s="674"/>
      <c r="J989" s="674"/>
      <c r="L989" s="674"/>
    </row>
    <row r="990">
      <c r="A990" s="674"/>
      <c r="B990" s="674"/>
      <c r="C990" s="674"/>
      <c r="D990" s="674"/>
      <c r="E990" s="674"/>
      <c r="F990" s="674"/>
      <c r="G990" s="674"/>
      <c r="H990" s="674"/>
      <c r="I990" s="674"/>
      <c r="J990" s="674"/>
      <c r="L990" s="674"/>
    </row>
    <row r="991">
      <c r="A991" s="674"/>
      <c r="B991" s="674"/>
      <c r="C991" s="674"/>
      <c r="D991" s="674"/>
      <c r="E991" s="674"/>
      <c r="F991" s="674"/>
      <c r="G991" s="674"/>
      <c r="H991" s="674"/>
      <c r="I991" s="674"/>
      <c r="J991" s="674"/>
      <c r="L991" s="674"/>
    </row>
    <row r="992">
      <c r="A992" s="674"/>
      <c r="B992" s="674"/>
      <c r="C992" s="674"/>
      <c r="D992" s="674"/>
      <c r="E992" s="674"/>
      <c r="F992" s="674"/>
      <c r="G992" s="674"/>
      <c r="H992" s="674"/>
      <c r="I992" s="674"/>
      <c r="J992" s="674"/>
      <c r="L992" s="67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86"/>
    <col customWidth="1" min="2" max="2" width="16.71"/>
    <col customWidth="1" min="3" max="3" width="9.29"/>
    <col customWidth="1" min="4" max="4" width="8.71"/>
    <col customWidth="1" min="5" max="5" width="9.0"/>
    <col customWidth="1" min="6" max="6" width="7.86"/>
    <col customWidth="1" min="7" max="7" width="10.29"/>
    <col customWidth="1" min="8" max="8" width="10.0"/>
    <col customWidth="1" min="9" max="9" width="10.57"/>
    <col customWidth="1" min="10" max="10" width="11.0"/>
    <col customWidth="1" min="13" max="13" width="11.57"/>
    <col customWidth="1" min="14" max="14" width="12.86"/>
    <col customWidth="1" min="15" max="15" width="11.86"/>
    <col customWidth="1" min="16" max="16" width="11.71"/>
    <col customWidth="1" min="17" max="17" width="13.57"/>
  </cols>
  <sheetData>
    <row r="1">
      <c r="B1" s="1" t="s">
        <v>3442</v>
      </c>
    </row>
    <row r="2">
      <c r="A2" s="724"/>
      <c r="B2" s="725"/>
      <c r="C2" s="14"/>
      <c r="D2" s="14"/>
      <c r="E2" s="15"/>
      <c r="F2" s="726"/>
      <c r="G2" s="727"/>
      <c r="K2" s="8"/>
      <c r="N2" s="9" t="s">
        <v>9</v>
      </c>
      <c r="O2" s="10" t="s">
        <v>10</v>
      </c>
      <c r="P2" s="11" t="s">
        <v>11</v>
      </c>
      <c r="Q2" s="10" t="s">
        <v>1</v>
      </c>
    </row>
    <row r="3">
      <c r="A3" s="12"/>
      <c r="B3" s="13" t="s">
        <v>2</v>
      </c>
      <c r="C3" s="14"/>
      <c r="D3" s="14"/>
      <c r="E3" s="15"/>
      <c r="F3" s="16"/>
      <c r="G3" s="17"/>
      <c r="H3" s="18"/>
      <c r="I3" s="19">
        <v>0.5</v>
      </c>
      <c r="J3" s="20">
        <f>H3-I3</f>
        <v>-0.5</v>
      </c>
      <c r="K3" s="21"/>
      <c r="L3" s="22" t="s">
        <v>3443</v>
      </c>
      <c r="M3" s="23" t="s">
        <v>14</v>
      </c>
      <c r="N3" s="24">
        <v>1850.48</v>
      </c>
      <c r="O3" s="283" t="s">
        <v>3444</v>
      </c>
      <c r="P3" s="26">
        <v>2708.54</v>
      </c>
      <c r="Q3" s="27">
        <v>1514.79</v>
      </c>
    </row>
    <row r="4">
      <c r="A4" s="728"/>
      <c r="B4" s="728" t="s">
        <v>243</v>
      </c>
      <c r="C4" s="728" t="s">
        <v>3445</v>
      </c>
      <c r="D4" s="728" t="s">
        <v>3446</v>
      </c>
      <c r="E4" s="728" t="s">
        <v>3447</v>
      </c>
      <c r="F4" s="728" t="s">
        <v>3448</v>
      </c>
      <c r="G4" s="729" t="s">
        <v>3449</v>
      </c>
      <c r="H4" s="730" t="s">
        <v>3450</v>
      </c>
      <c r="I4" s="731" t="s">
        <v>3451</v>
      </c>
      <c r="J4" s="732" t="s">
        <v>3452</v>
      </c>
      <c r="K4" s="733" t="s">
        <v>50</v>
      </c>
      <c r="L4" s="734" t="s">
        <v>3453</v>
      </c>
      <c r="O4" s="31"/>
    </row>
    <row r="5">
      <c r="B5" s="28">
        <v>45261.0</v>
      </c>
      <c r="C5" s="29">
        <v>7.3</v>
      </c>
      <c r="D5" s="29">
        <v>11.3</v>
      </c>
      <c r="E5" s="32" t="s">
        <v>5</v>
      </c>
      <c r="F5" s="32" t="s">
        <v>6</v>
      </c>
      <c r="G5" s="29">
        <v>4.0</v>
      </c>
    </row>
    <row r="6">
      <c r="A6" s="2"/>
      <c r="B6" s="3" t="s">
        <v>7</v>
      </c>
      <c r="C6" s="14"/>
      <c r="D6" s="14"/>
      <c r="E6" s="15"/>
      <c r="F6" s="6"/>
      <c r="G6" s="735">
        <f>G5</f>
        <v>4</v>
      </c>
    </row>
    <row r="7">
      <c r="B7" s="28">
        <v>45264.0</v>
      </c>
      <c r="C7" s="29">
        <v>7.3</v>
      </c>
      <c r="D7" s="29">
        <v>17.0</v>
      </c>
      <c r="E7" s="30" t="s">
        <v>3</v>
      </c>
      <c r="F7" s="30" t="s">
        <v>4</v>
      </c>
      <c r="G7" s="29">
        <v>7.75</v>
      </c>
    </row>
    <row r="8">
      <c r="B8" s="28">
        <v>45265.0</v>
      </c>
      <c r="C8" s="29">
        <v>7.3</v>
      </c>
      <c r="D8" s="29">
        <v>17.0</v>
      </c>
      <c r="E8" s="30" t="s">
        <v>3</v>
      </c>
      <c r="F8" s="30" t="s">
        <v>4</v>
      </c>
      <c r="G8" s="29">
        <v>7.75</v>
      </c>
    </row>
    <row r="9">
      <c r="B9" s="28">
        <v>45266.0</v>
      </c>
      <c r="C9" s="29">
        <v>7.3</v>
      </c>
      <c r="D9" s="29">
        <v>17.0</v>
      </c>
      <c r="E9" s="30" t="s">
        <v>3</v>
      </c>
      <c r="F9" s="30" t="s">
        <v>4</v>
      </c>
      <c r="G9" s="29">
        <v>7.75</v>
      </c>
    </row>
    <row r="10">
      <c r="B10" s="28">
        <v>45267.0</v>
      </c>
      <c r="C10" s="29">
        <v>7.3</v>
      </c>
      <c r="D10" s="29">
        <v>17.0</v>
      </c>
      <c r="E10" s="30" t="s">
        <v>3</v>
      </c>
      <c r="F10" s="30" t="s">
        <v>4</v>
      </c>
      <c r="G10" s="29">
        <v>7.75</v>
      </c>
    </row>
    <row r="11">
      <c r="B11" s="28">
        <v>45268.0</v>
      </c>
      <c r="C11" s="29">
        <v>7.3</v>
      </c>
      <c r="D11" s="29">
        <v>11.3</v>
      </c>
      <c r="E11" s="32" t="s">
        <v>5</v>
      </c>
      <c r="F11" s="32" t="s">
        <v>6</v>
      </c>
      <c r="G11" s="29">
        <v>4.0</v>
      </c>
    </row>
    <row r="12">
      <c r="A12" s="2"/>
      <c r="B12" s="3" t="s">
        <v>7</v>
      </c>
      <c r="C12" s="14"/>
      <c r="D12" s="14"/>
      <c r="E12" s="15"/>
      <c r="F12" s="6"/>
      <c r="G12" s="735">
        <f>G7+G8+G11+G10+G9</f>
        <v>35</v>
      </c>
    </row>
    <row r="13">
      <c r="B13" s="28">
        <v>45271.0</v>
      </c>
      <c r="C13" s="29">
        <v>7.3</v>
      </c>
      <c r="D13" s="29">
        <v>17.0</v>
      </c>
      <c r="E13" s="30" t="s">
        <v>3</v>
      </c>
      <c r="F13" s="30" t="s">
        <v>4</v>
      </c>
      <c r="G13" s="29">
        <v>7.75</v>
      </c>
    </row>
    <row r="14">
      <c r="B14" s="28">
        <v>45272.0</v>
      </c>
      <c r="C14" s="29">
        <v>7.3</v>
      </c>
      <c r="D14" s="29">
        <v>17.0</v>
      </c>
      <c r="E14" s="30" t="s">
        <v>3</v>
      </c>
      <c r="F14" s="30" t="s">
        <v>4</v>
      </c>
      <c r="G14" s="29">
        <v>7.75</v>
      </c>
    </row>
    <row r="15">
      <c r="B15" s="28">
        <v>45273.0</v>
      </c>
      <c r="C15" s="29">
        <v>7.3</v>
      </c>
      <c r="D15" s="29">
        <v>17.0</v>
      </c>
      <c r="E15" s="30" t="s">
        <v>3</v>
      </c>
      <c r="F15" s="30" t="s">
        <v>4</v>
      </c>
      <c r="G15" s="29">
        <v>7.75</v>
      </c>
    </row>
    <row r="16">
      <c r="B16" s="28">
        <v>45274.0</v>
      </c>
      <c r="C16" s="29">
        <v>7.3</v>
      </c>
      <c r="D16" s="29">
        <v>17.0</v>
      </c>
      <c r="E16" s="30" t="s">
        <v>3</v>
      </c>
      <c r="F16" s="30" t="s">
        <v>4</v>
      </c>
      <c r="G16" s="29">
        <v>7.75</v>
      </c>
    </row>
    <row r="17">
      <c r="B17" s="28">
        <v>45275.0</v>
      </c>
      <c r="C17" s="29">
        <v>7.3</v>
      </c>
      <c r="D17" s="29">
        <v>11.3</v>
      </c>
      <c r="E17" s="32" t="s">
        <v>5</v>
      </c>
      <c r="F17" s="32" t="s">
        <v>6</v>
      </c>
      <c r="G17" s="29">
        <v>4.0</v>
      </c>
    </row>
    <row r="18">
      <c r="A18" s="2"/>
      <c r="B18" s="3" t="s">
        <v>7</v>
      </c>
      <c r="C18" s="14"/>
      <c r="D18" s="14"/>
      <c r="E18" s="15"/>
      <c r="F18" s="6"/>
      <c r="G18" s="735">
        <f>G13+G14+G17+G16+G15</f>
        <v>35</v>
      </c>
    </row>
    <row r="19">
      <c r="B19" s="28">
        <v>45278.0</v>
      </c>
      <c r="C19" s="29">
        <v>7.3</v>
      </c>
      <c r="D19" s="29">
        <v>17.0</v>
      </c>
      <c r="E19" s="30" t="s">
        <v>3</v>
      </c>
      <c r="F19" s="30" t="s">
        <v>4</v>
      </c>
      <c r="G19" s="29">
        <v>7.75</v>
      </c>
    </row>
    <row r="20">
      <c r="B20" s="28">
        <v>45279.0</v>
      </c>
      <c r="C20" s="29">
        <v>7.3</v>
      </c>
      <c r="D20" s="29">
        <v>17.0</v>
      </c>
      <c r="E20" s="30" t="s">
        <v>3</v>
      </c>
      <c r="F20" s="30" t="s">
        <v>4</v>
      </c>
      <c r="G20" s="29">
        <v>7.75</v>
      </c>
    </row>
    <row r="21">
      <c r="B21" s="28">
        <v>45280.0</v>
      </c>
      <c r="C21" s="29">
        <v>7.3</v>
      </c>
      <c r="D21" s="29">
        <v>17.0</v>
      </c>
      <c r="E21" s="30" t="s">
        <v>3</v>
      </c>
      <c r="F21" s="30" t="s">
        <v>4</v>
      </c>
      <c r="G21" s="29">
        <v>7.75</v>
      </c>
    </row>
    <row r="22">
      <c r="B22" s="28">
        <v>45281.0</v>
      </c>
      <c r="C22" s="29">
        <v>7.3</v>
      </c>
      <c r="D22" s="29">
        <v>17.0</v>
      </c>
      <c r="E22" s="30" t="s">
        <v>3</v>
      </c>
      <c r="F22" s="30" t="s">
        <v>4</v>
      </c>
      <c r="G22" s="29">
        <v>7.75</v>
      </c>
    </row>
    <row r="23">
      <c r="A23" s="2"/>
      <c r="B23" s="3" t="s">
        <v>7</v>
      </c>
      <c r="C23" s="14"/>
      <c r="D23" s="14"/>
      <c r="E23" s="15"/>
      <c r="F23" s="6"/>
      <c r="G23" s="735">
        <f>G19+G20+G21+G22</f>
        <v>31</v>
      </c>
      <c r="K23" s="8"/>
      <c r="N23" s="9" t="s">
        <v>9</v>
      </c>
      <c r="O23" s="10" t="s">
        <v>10</v>
      </c>
      <c r="P23" s="11" t="s">
        <v>11</v>
      </c>
      <c r="Q23" s="10" t="s">
        <v>1</v>
      </c>
    </row>
    <row r="24">
      <c r="A24" s="12"/>
      <c r="B24" s="13" t="s">
        <v>2</v>
      </c>
      <c r="C24" s="14"/>
      <c r="D24" s="14"/>
      <c r="E24" s="15"/>
      <c r="F24" s="16"/>
      <c r="G24" s="17">
        <f>G2+G8+G14+G20+G23</f>
        <v>54.25</v>
      </c>
      <c r="H24" s="18">
        <f>H14+H15</f>
        <v>0</v>
      </c>
      <c r="I24" s="19">
        <v>0.0</v>
      </c>
      <c r="J24" s="20">
        <f>H24-I24</f>
        <v>0</v>
      </c>
      <c r="K24" s="21"/>
      <c r="L24" s="22" t="s">
        <v>3454</v>
      </c>
      <c r="M24" s="23" t="s">
        <v>14</v>
      </c>
      <c r="N24" s="24">
        <v>1855.16</v>
      </c>
      <c r="O24" s="25">
        <v>1250.06</v>
      </c>
      <c r="P24" s="26">
        <v>1423.69</v>
      </c>
      <c r="Q24" s="27">
        <v>1518.62</v>
      </c>
    </row>
    <row r="25">
      <c r="A25" s="728"/>
      <c r="B25" s="728"/>
      <c r="C25" s="728"/>
      <c r="D25" s="728"/>
      <c r="E25" s="728"/>
      <c r="F25" s="728"/>
      <c r="G25" s="729"/>
      <c r="H25" s="736"/>
      <c r="I25" s="736"/>
      <c r="J25" s="736"/>
      <c r="K25" s="729"/>
      <c r="L25" s="734"/>
      <c r="O25" s="31">
        <f>P24-O24</f>
        <v>173.63</v>
      </c>
    </row>
    <row r="26">
      <c r="A26" s="33" t="s">
        <v>3455</v>
      </c>
      <c r="G26" s="737" t="s">
        <v>3456</v>
      </c>
    </row>
    <row r="28">
      <c r="A28" s="1"/>
      <c r="B28" s="1">
        <v>2024.0</v>
      </c>
    </row>
    <row r="29">
      <c r="A29" s="728"/>
      <c r="B29" s="728" t="s">
        <v>243</v>
      </c>
      <c r="C29" s="728" t="s">
        <v>3445</v>
      </c>
      <c r="D29" s="728" t="s">
        <v>3446</v>
      </c>
      <c r="E29" s="728" t="s">
        <v>3447</v>
      </c>
      <c r="F29" s="728" t="s">
        <v>3448</v>
      </c>
      <c r="G29" s="729" t="s">
        <v>3449</v>
      </c>
      <c r="H29" s="730" t="s">
        <v>3450</v>
      </c>
      <c r="I29" s="731" t="s">
        <v>3451</v>
      </c>
      <c r="J29" s="732" t="s">
        <v>3452</v>
      </c>
      <c r="K29" s="733" t="s">
        <v>50</v>
      </c>
      <c r="L29" s="734" t="s">
        <v>3453</v>
      </c>
      <c r="O29" s="31"/>
    </row>
    <row r="30">
      <c r="B30" s="28">
        <v>45295.0</v>
      </c>
      <c r="C30" s="29">
        <v>7.3</v>
      </c>
      <c r="D30" s="29">
        <v>17.0</v>
      </c>
      <c r="E30" s="30" t="s">
        <v>3</v>
      </c>
      <c r="F30" s="30" t="s">
        <v>4</v>
      </c>
      <c r="G30" s="29">
        <v>7.75</v>
      </c>
    </row>
    <row r="31">
      <c r="B31" s="28">
        <v>45296.0</v>
      </c>
      <c r="C31" s="29">
        <v>7.3</v>
      </c>
      <c r="D31" s="29">
        <v>11.3</v>
      </c>
      <c r="E31" s="32" t="s">
        <v>5</v>
      </c>
      <c r="F31" s="32" t="s">
        <v>6</v>
      </c>
      <c r="G31" s="29">
        <v>4.0</v>
      </c>
    </row>
    <row r="32">
      <c r="A32" s="2"/>
      <c r="B32" s="3" t="s">
        <v>7</v>
      </c>
      <c r="C32" s="14"/>
      <c r="D32" s="14"/>
      <c r="E32" s="15"/>
      <c r="F32" s="6"/>
      <c r="G32" s="735">
        <f>G30+G31</f>
        <v>11.75</v>
      </c>
    </row>
    <row r="33">
      <c r="B33" s="28">
        <v>45299.0</v>
      </c>
      <c r="C33" s="29">
        <v>7.3</v>
      </c>
      <c r="D33" s="29">
        <v>17.0</v>
      </c>
      <c r="E33" s="30" t="s">
        <v>3</v>
      </c>
      <c r="F33" s="30" t="s">
        <v>4</v>
      </c>
      <c r="G33" s="29">
        <v>7.75</v>
      </c>
    </row>
    <row r="34">
      <c r="B34" s="28">
        <v>45300.0</v>
      </c>
      <c r="C34" s="29">
        <v>7.3</v>
      </c>
      <c r="D34" s="29">
        <v>17.0</v>
      </c>
      <c r="E34" s="30" t="s">
        <v>3</v>
      </c>
      <c r="F34" s="30" t="s">
        <v>4</v>
      </c>
      <c r="G34" s="29">
        <v>7.75</v>
      </c>
    </row>
    <row r="35">
      <c r="B35" s="28">
        <v>45301.0</v>
      </c>
      <c r="C35" s="29">
        <v>7.3</v>
      </c>
      <c r="D35" s="29">
        <v>17.0</v>
      </c>
      <c r="E35" s="30" t="s">
        <v>3</v>
      </c>
      <c r="F35" s="30" t="s">
        <v>4</v>
      </c>
      <c r="G35" s="29">
        <v>7.75</v>
      </c>
    </row>
    <row r="36">
      <c r="B36" s="28">
        <v>45302.0</v>
      </c>
      <c r="C36" s="29">
        <v>7.3</v>
      </c>
      <c r="D36" s="29">
        <v>17.0</v>
      </c>
      <c r="E36" s="30" t="s">
        <v>3</v>
      </c>
      <c r="F36" s="30" t="s">
        <v>4</v>
      </c>
      <c r="G36" s="29">
        <v>7.75</v>
      </c>
    </row>
    <row r="37">
      <c r="B37" s="28">
        <v>45303.0</v>
      </c>
      <c r="C37" s="29">
        <v>7.3</v>
      </c>
      <c r="D37" s="29">
        <v>11.3</v>
      </c>
      <c r="E37" s="32" t="s">
        <v>5</v>
      </c>
      <c r="F37" s="32" t="s">
        <v>6</v>
      </c>
      <c r="G37" s="29">
        <v>4.0</v>
      </c>
    </row>
    <row r="38">
      <c r="A38" s="2"/>
      <c r="B38" s="3" t="s">
        <v>7</v>
      </c>
      <c r="C38" s="14"/>
      <c r="D38" s="14"/>
      <c r="E38" s="15"/>
      <c r="F38" s="6"/>
      <c r="G38" s="735">
        <f>G34+G35+G36+G37</f>
        <v>27.25</v>
      </c>
    </row>
    <row r="39">
      <c r="B39" s="28">
        <v>45306.0</v>
      </c>
      <c r="C39" s="29">
        <v>7.3</v>
      </c>
      <c r="D39" s="29">
        <v>17.0</v>
      </c>
      <c r="E39" s="30" t="s">
        <v>3</v>
      </c>
      <c r="F39" s="30" t="s">
        <v>4</v>
      </c>
      <c r="G39" s="29">
        <v>7.75</v>
      </c>
    </row>
    <row r="40">
      <c r="B40" s="28">
        <v>45307.0</v>
      </c>
      <c r="C40" s="29">
        <v>7.3</v>
      </c>
      <c r="D40" s="29">
        <v>17.0</v>
      </c>
      <c r="E40" s="30" t="s">
        <v>3</v>
      </c>
      <c r="F40" s="30" t="s">
        <v>4</v>
      </c>
      <c r="G40" s="29">
        <v>7.75</v>
      </c>
    </row>
    <row r="41">
      <c r="B41" s="28">
        <v>45308.0</v>
      </c>
      <c r="C41" s="29">
        <v>7.3</v>
      </c>
      <c r="D41" s="29">
        <v>17.0</v>
      </c>
      <c r="E41" s="30" t="s">
        <v>3</v>
      </c>
      <c r="F41" s="30" t="s">
        <v>4</v>
      </c>
      <c r="G41" s="29">
        <v>7.75</v>
      </c>
    </row>
    <row r="42">
      <c r="B42" s="28">
        <v>45309.0</v>
      </c>
      <c r="C42" s="29">
        <v>7.3</v>
      </c>
      <c r="D42" s="29">
        <v>17.0</v>
      </c>
      <c r="E42" s="30" t="s">
        <v>3</v>
      </c>
      <c r="F42" s="30" t="s">
        <v>4</v>
      </c>
      <c r="G42" s="29">
        <v>7.75</v>
      </c>
    </row>
    <row r="43">
      <c r="B43" s="28">
        <v>45310.0</v>
      </c>
      <c r="C43" s="29">
        <v>7.3</v>
      </c>
      <c r="D43" s="29">
        <v>11.3</v>
      </c>
      <c r="E43" s="32" t="s">
        <v>5</v>
      </c>
      <c r="F43" s="32" t="s">
        <v>6</v>
      </c>
      <c r="G43" s="29">
        <v>4.0</v>
      </c>
    </row>
    <row r="44">
      <c r="A44" s="2"/>
      <c r="B44" s="3" t="s">
        <v>7</v>
      </c>
      <c r="C44" s="14"/>
      <c r="D44" s="14"/>
      <c r="E44" s="15"/>
      <c r="F44" s="6"/>
      <c r="G44" s="735">
        <f>G40+G41+G42+G43</f>
        <v>27.25</v>
      </c>
    </row>
    <row r="45">
      <c r="B45" s="28">
        <v>45313.0</v>
      </c>
      <c r="C45" s="29">
        <v>7.3</v>
      </c>
      <c r="D45" s="29">
        <v>17.0</v>
      </c>
      <c r="E45" s="30" t="s">
        <v>3</v>
      </c>
      <c r="F45" s="30" t="s">
        <v>4</v>
      </c>
      <c r="G45" s="29">
        <v>7.75</v>
      </c>
    </row>
    <row r="46">
      <c r="B46" s="28">
        <v>45314.0</v>
      </c>
      <c r="C46" s="29">
        <v>7.3</v>
      </c>
      <c r="D46" s="29">
        <v>17.0</v>
      </c>
      <c r="E46" s="30" t="s">
        <v>3</v>
      </c>
      <c r="F46" s="30" t="s">
        <v>4</v>
      </c>
      <c r="G46" s="29">
        <v>7.75</v>
      </c>
    </row>
    <row r="47">
      <c r="B47" s="28">
        <v>45315.0</v>
      </c>
      <c r="C47" s="29">
        <v>7.3</v>
      </c>
      <c r="D47" s="29">
        <v>17.0</v>
      </c>
      <c r="E47" s="30" t="s">
        <v>3</v>
      </c>
      <c r="F47" s="30" t="s">
        <v>4</v>
      </c>
      <c r="G47" s="29">
        <v>7.75</v>
      </c>
    </row>
    <row r="48">
      <c r="B48" s="28">
        <v>45316.0</v>
      </c>
      <c r="C48" s="29">
        <v>7.3</v>
      </c>
      <c r="D48" s="29">
        <v>17.0</v>
      </c>
      <c r="E48" s="30" t="s">
        <v>3</v>
      </c>
      <c r="F48" s="30" t="s">
        <v>4</v>
      </c>
      <c r="G48" s="29">
        <v>7.75</v>
      </c>
    </row>
    <row r="49">
      <c r="B49" s="28">
        <v>45317.0</v>
      </c>
      <c r="C49" s="29">
        <v>7.3</v>
      </c>
      <c r="D49" s="29">
        <v>11.3</v>
      </c>
      <c r="E49" s="32" t="s">
        <v>5</v>
      </c>
      <c r="F49" s="32" t="s">
        <v>6</v>
      </c>
      <c r="G49" s="29">
        <v>4.0</v>
      </c>
    </row>
    <row r="50">
      <c r="A50" s="2"/>
      <c r="B50" s="3" t="s">
        <v>7</v>
      </c>
      <c r="C50" s="14"/>
      <c r="D50" s="14"/>
      <c r="E50" s="15"/>
      <c r="F50" s="6"/>
      <c r="G50" s="735">
        <f>G46+G47+G48+G49</f>
        <v>27.25</v>
      </c>
    </row>
    <row r="51">
      <c r="B51" s="28">
        <v>45320.0</v>
      </c>
      <c r="C51" s="29">
        <v>7.3</v>
      </c>
      <c r="D51" s="39">
        <v>16.3</v>
      </c>
      <c r="E51" s="30" t="s">
        <v>3</v>
      </c>
      <c r="F51" s="42" t="s">
        <v>3457</v>
      </c>
      <c r="G51" s="39">
        <v>7.25</v>
      </c>
      <c r="I51" s="35">
        <v>0.5</v>
      </c>
    </row>
    <row r="52">
      <c r="B52" s="28">
        <v>45321.0</v>
      </c>
      <c r="C52" s="29">
        <v>7.3</v>
      </c>
      <c r="D52" s="29">
        <v>17.0</v>
      </c>
      <c r="E52" s="30" t="s">
        <v>3</v>
      </c>
      <c r="F52" s="30" t="s">
        <v>4</v>
      </c>
      <c r="G52" s="29">
        <v>7.75</v>
      </c>
    </row>
    <row r="53">
      <c r="B53" s="28">
        <v>45322.0</v>
      </c>
      <c r="C53" s="29">
        <v>7.3</v>
      </c>
      <c r="D53" s="29">
        <v>17.0</v>
      </c>
      <c r="E53" s="42" t="s">
        <v>21</v>
      </c>
      <c r="F53" s="42" t="s">
        <v>22</v>
      </c>
      <c r="G53" s="39">
        <v>8.75</v>
      </c>
      <c r="H53" s="41">
        <v>1.0</v>
      </c>
    </row>
    <row r="54">
      <c r="A54" s="2"/>
      <c r="B54" s="3" t="s">
        <v>7</v>
      </c>
      <c r="C54" s="14"/>
      <c r="D54" s="14"/>
      <c r="E54" s="15"/>
      <c r="F54" s="6"/>
      <c r="G54" s="735">
        <f>G51+G52+G53</f>
        <v>23.75</v>
      </c>
      <c r="K54" s="8"/>
      <c r="N54" s="9" t="s">
        <v>9</v>
      </c>
      <c r="O54" s="10" t="s">
        <v>10</v>
      </c>
      <c r="P54" s="11" t="s">
        <v>11</v>
      </c>
      <c r="Q54" s="10" t="s">
        <v>1</v>
      </c>
    </row>
    <row r="55">
      <c r="A55" s="12"/>
      <c r="B55" s="13" t="s">
        <v>2</v>
      </c>
      <c r="C55" s="14"/>
      <c r="D55" s="14"/>
      <c r="E55" s="15"/>
      <c r="F55" s="16"/>
      <c r="G55" s="17">
        <f>G33+G39+G45+G51+G54</f>
        <v>54.25</v>
      </c>
      <c r="H55" s="18">
        <f>H53</f>
        <v>1</v>
      </c>
      <c r="I55" s="19">
        <f>I51</f>
        <v>0.5</v>
      </c>
      <c r="J55" s="20">
        <f>H55-I55</f>
        <v>0.5</v>
      </c>
      <c r="K55" s="21" t="s">
        <v>3458</v>
      </c>
      <c r="L55" s="22" t="s">
        <v>3459</v>
      </c>
      <c r="M55" s="23" t="s">
        <v>14</v>
      </c>
      <c r="N55" s="24">
        <v>1852.35</v>
      </c>
      <c r="O55" s="25">
        <v>1239.98</v>
      </c>
      <c r="P55" s="26">
        <v>1296.98</v>
      </c>
      <c r="Q55" s="27">
        <v>1515.68</v>
      </c>
    </row>
    <row r="56">
      <c r="A56" s="728"/>
      <c r="B56" s="28">
        <v>45323.0</v>
      </c>
      <c r="C56" s="29">
        <v>7.3</v>
      </c>
      <c r="D56" s="29">
        <v>17.0</v>
      </c>
      <c r="E56" s="42" t="s">
        <v>21</v>
      </c>
      <c r="F56" s="42" t="s">
        <v>22</v>
      </c>
      <c r="G56" s="39">
        <v>8.75</v>
      </c>
      <c r="H56" s="41">
        <v>1.0</v>
      </c>
      <c r="I56" s="736"/>
      <c r="J56" s="736"/>
      <c r="K56" s="729"/>
      <c r="L56" s="734"/>
      <c r="O56" s="31">
        <f>P55-O55</f>
        <v>57</v>
      </c>
    </row>
    <row r="57">
      <c r="B57" s="28">
        <v>45324.0</v>
      </c>
      <c r="C57" s="29">
        <v>7.3</v>
      </c>
      <c r="D57" s="29">
        <v>11.3</v>
      </c>
      <c r="E57" s="32" t="s">
        <v>5</v>
      </c>
      <c r="F57" s="32" t="s">
        <v>6</v>
      </c>
      <c r="G57" s="29">
        <v>4.0</v>
      </c>
    </row>
    <row r="58">
      <c r="A58" s="2"/>
      <c r="B58" s="3" t="s">
        <v>7</v>
      </c>
      <c r="C58" s="14"/>
      <c r="D58" s="14"/>
      <c r="E58" s="15"/>
      <c r="F58" s="6"/>
      <c r="G58" s="735">
        <f>G56+G57</f>
        <v>12.75</v>
      </c>
    </row>
    <row r="59">
      <c r="B59" s="28">
        <v>45327.0</v>
      </c>
      <c r="C59" s="29">
        <v>7.3</v>
      </c>
      <c r="D59" s="29">
        <v>17.0</v>
      </c>
      <c r="E59" s="42" t="s">
        <v>21</v>
      </c>
      <c r="F59" s="42" t="s">
        <v>22</v>
      </c>
      <c r="G59" s="39">
        <v>8.75</v>
      </c>
      <c r="H59" s="41">
        <v>1.0</v>
      </c>
    </row>
    <row r="60">
      <c r="B60" s="28">
        <v>45328.0</v>
      </c>
      <c r="C60" s="39">
        <v>13.0</v>
      </c>
      <c r="D60" s="29">
        <v>17.0</v>
      </c>
      <c r="E60" s="42" t="s">
        <v>5</v>
      </c>
      <c r="F60" s="32" t="s">
        <v>6</v>
      </c>
      <c r="G60" s="29">
        <v>4.0</v>
      </c>
      <c r="H60" s="41">
        <v>1.0</v>
      </c>
      <c r="I60" s="35">
        <v>4.75</v>
      </c>
    </row>
    <row r="61">
      <c r="B61" s="28">
        <v>45329.0</v>
      </c>
      <c r="C61" s="29">
        <v>7.3</v>
      </c>
      <c r="D61" s="29">
        <v>17.0</v>
      </c>
      <c r="E61" s="30" t="s">
        <v>21</v>
      </c>
      <c r="F61" s="30" t="s">
        <v>22</v>
      </c>
      <c r="G61" s="29">
        <v>8.75</v>
      </c>
      <c r="H61" s="41">
        <v>1.0</v>
      </c>
    </row>
    <row r="62">
      <c r="B62" s="28">
        <v>45330.0</v>
      </c>
      <c r="C62" s="29">
        <v>7.3</v>
      </c>
      <c r="D62" s="29">
        <v>17.0</v>
      </c>
      <c r="E62" s="30" t="s">
        <v>21</v>
      </c>
      <c r="F62" s="30" t="s">
        <v>22</v>
      </c>
      <c r="G62" s="29">
        <v>8.75</v>
      </c>
      <c r="H62" s="41">
        <v>1.0</v>
      </c>
    </row>
    <row r="63">
      <c r="B63" s="28">
        <v>45331.0</v>
      </c>
      <c r="C63" s="29">
        <v>7.3</v>
      </c>
      <c r="D63" s="29">
        <v>11.3</v>
      </c>
      <c r="E63" s="32" t="s">
        <v>5</v>
      </c>
      <c r="F63" s="32" t="s">
        <v>6</v>
      </c>
      <c r="G63" s="29">
        <v>4.0</v>
      </c>
    </row>
    <row r="64">
      <c r="A64" s="2"/>
      <c r="B64" s="3" t="s">
        <v>7</v>
      </c>
      <c r="C64" s="14"/>
      <c r="D64" s="14"/>
      <c r="E64" s="15"/>
      <c r="F64" s="6"/>
      <c r="G64" s="735">
        <f>G62+G63+G59+G60+G61</f>
        <v>34.25</v>
      </c>
    </row>
    <row r="65">
      <c r="B65" s="28">
        <v>45334.0</v>
      </c>
      <c r="C65" s="29">
        <v>7.3</v>
      </c>
      <c r="D65" s="29">
        <v>17.0</v>
      </c>
      <c r="E65" s="42" t="s">
        <v>21</v>
      </c>
      <c r="F65" s="42" t="s">
        <v>22</v>
      </c>
      <c r="G65" s="39">
        <v>8.75</v>
      </c>
      <c r="H65" s="41">
        <v>1.0</v>
      </c>
    </row>
    <row r="66">
      <c r="B66" s="28">
        <v>45335.0</v>
      </c>
      <c r="C66" s="29">
        <v>7.3</v>
      </c>
      <c r="D66" s="29">
        <v>17.0</v>
      </c>
      <c r="E66" s="30" t="s">
        <v>21</v>
      </c>
      <c r="F66" s="30" t="s">
        <v>22</v>
      </c>
      <c r="G66" s="29">
        <v>8.75</v>
      </c>
      <c r="H66" s="41">
        <v>1.0</v>
      </c>
    </row>
    <row r="67">
      <c r="B67" s="28">
        <v>45336.0</v>
      </c>
      <c r="C67" s="29">
        <v>7.3</v>
      </c>
      <c r="D67" s="29">
        <v>17.0</v>
      </c>
      <c r="E67" s="30" t="s">
        <v>21</v>
      </c>
      <c r="F67" s="30" t="s">
        <v>22</v>
      </c>
      <c r="G67" s="29">
        <v>8.75</v>
      </c>
      <c r="H67" s="41">
        <v>1.0</v>
      </c>
    </row>
    <row r="68">
      <c r="B68" s="28">
        <v>45337.0</v>
      </c>
      <c r="C68" s="29">
        <v>7.3</v>
      </c>
      <c r="D68" s="29">
        <v>17.0</v>
      </c>
      <c r="E68" s="30" t="s">
        <v>21</v>
      </c>
      <c r="F68" s="30" t="s">
        <v>22</v>
      </c>
      <c r="G68" s="29">
        <v>8.75</v>
      </c>
      <c r="H68" s="41">
        <v>1.0</v>
      </c>
    </row>
    <row r="69">
      <c r="B69" s="28">
        <v>45338.0</v>
      </c>
      <c r="C69" s="29">
        <v>7.3</v>
      </c>
      <c r="D69" s="29">
        <v>11.3</v>
      </c>
      <c r="E69" s="32" t="s">
        <v>5</v>
      </c>
      <c r="F69" s="32" t="s">
        <v>6</v>
      </c>
      <c r="G69" s="29">
        <v>4.0</v>
      </c>
    </row>
    <row r="70">
      <c r="A70" s="2"/>
      <c r="B70" s="3" t="s">
        <v>7</v>
      </c>
      <c r="C70" s="14"/>
      <c r="D70" s="14"/>
      <c r="E70" s="15"/>
      <c r="F70" s="6"/>
      <c r="G70" s="735">
        <f>G68+G69+G65+G66+G67</f>
        <v>39</v>
      </c>
    </row>
    <row r="71">
      <c r="B71" s="28">
        <v>45341.0</v>
      </c>
      <c r="C71" s="29">
        <v>7.3</v>
      </c>
      <c r="D71" s="29">
        <v>17.0</v>
      </c>
      <c r="E71" s="42" t="s">
        <v>21</v>
      </c>
      <c r="F71" s="42" t="s">
        <v>22</v>
      </c>
      <c r="G71" s="39">
        <v>8.75</v>
      </c>
      <c r="H71" s="41">
        <v>1.0</v>
      </c>
    </row>
    <row r="72">
      <c r="B72" s="28">
        <v>45342.0</v>
      </c>
      <c r="C72" s="29">
        <v>7.3</v>
      </c>
      <c r="D72" s="29">
        <v>17.0</v>
      </c>
      <c r="E72" s="30" t="s">
        <v>21</v>
      </c>
      <c r="F72" s="30" t="s">
        <v>22</v>
      </c>
      <c r="G72" s="29">
        <v>8.75</v>
      </c>
      <c r="H72" s="41">
        <v>1.0</v>
      </c>
    </row>
    <row r="73">
      <c r="B73" s="28">
        <v>45343.0</v>
      </c>
      <c r="C73" s="29">
        <v>7.3</v>
      </c>
      <c r="D73" s="29">
        <v>17.0</v>
      </c>
      <c r="E73" s="30" t="s">
        <v>21</v>
      </c>
      <c r="F73" s="30" t="s">
        <v>22</v>
      </c>
      <c r="G73" s="29">
        <v>8.75</v>
      </c>
      <c r="H73" s="41">
        <v>1.0</v>
      </c>
    </row>
    <row r="74">
      <c r="B74" s="28">
        <v>45344.0</v>
      </c>
      <c r="C74" s="29">
        <v>7.3</v>
      </c>
      <c r="D74" s="29">
        <v>17.0</v>
      </c>
      <c r="E74" s="30" t="s">
        <v>21</v>
      </c>
      <c r="F74" s="30" t="s">
        <v>22</v>
      </c>
      <c r="G74" s="29">
        <v>8.75</v>
      </c>
      <c r="H74" s="41">
        <v>1.0</v>
      </c>
    </row>
    <row r="75">
      <c r="B75" s="28">
        <v>45345.0</v>
      </c>
      <c r="C75" s="29">
        <v>7.3</v>
      </c>
      <c r="D75" s="29">
        <v>11.3</v>
      </c>
      <c r="E75" s="32" t="s">
        <v>5</v>
      </c>
      <c r="F75" s="32" t="s">
        <v>6</v>
      </c>
      <c r="G75" s="29">
        <v>4.0</v>
      </c>
    </row>
    <row r="76">
      <c r="A76" s="2"/>
      <c r="B76" s="3" t="s">
        <v>7</v>
      </c>
      <c r="C76" s="14"/>
      <c r="D76" s="14"/>
      <c r="E76" s="15"/>
      <c r="F76" s="6"/>
      <c r="G76" s="735">
        <v>39.0</v>
      </c>
    </row>
    <row r="77">
      <c r="B77" s="28">
        <v>45348.0</v>
      </c>
      <c r="C77" s="29">
        <v>7.3</v>
      </c>
      <c r="D77" s="29">
        <v>17.0</v>
      </c>
      <c r="E77" s="42" t="s">
        <v>21</v>
      </c>
      <c r="F77" s="42" t="s">
        <v>22</v>
      </c>
      <c r="G77" s="39">
        <v>8.75</v>
      </c>
      <c r="H77" s="41">
        <v>1.0</v>
      </c>
    </row>
    <row r="78">
      <c r="B78" s="28">
        <v>45349.0</v>
      </c>
      <c r="C78" s="29">
        <v>7.3</v>
      </c>
      <c r="D78" s="29">
        <v>17.0</v>
      </c>
      <c r="E78" s="30" t="s">
        <v>21</v>
      </c>
      <c r="F78" s="30" t="s">
        <v>22</v>
      </c>
      <c r="G78" s="29">
        <v>8.75</v>
      </c>
      <c r="H78" s="41">
        <v>1.0</v>
      </c>
    </row>
    <row r="79">
      <c r="B79" s="28">
        <v>45350.0</v>
      </c>
      <c r="C79" s="29">
        <v>7.3</v>
      </c>
      <c r="D79" s="29">
        <v>17.0</v>
      </c>
      <c r="E79" s="30" t="s">
        <v>21</v>
      </c>
      <c r="F79" s="30" t="s">
        <v>22</v>
      </c>
      <c r="G79" s="29">
        <v>8.75</v>
      </c>
      <c r="H79" s="41">
        <v>1.0</v>
      </c>
    </row>
    <row r="80">
      <c r="B80" s="28">
        <v>45351.0</v>
      </c>
      <c r="C80" s="29">
        <v>7.3</v>
      </c>
      <c r="D80" s="29">
        <v>17.0</v>
      </c>
      <c r="E80" s="30" t="s">
        <v>21</v>
      </c>
      <c r="F80" s="30" t="s">
        <v>22</v>
      </c>
      <c r="G80" s="29">
        <v>8.75</v>
      </c>
      <c r="H80" s="41">
        <v>1.0</v>
      </c>
    </row>
    <row r="81">
      <c r="A81" s="2"/>
      <c r="B81" s="3" t="s">
        <v>7</v>
      </c>
      <c r="C81" s="14"/>
      <c r="D81" s="14"/>
      <c r="E81" s="15"/>
      <c r="F81" s="6"/>
      <c r="G81" s="735">
        <f>G78+G79+G80</f>
        <v>26.25</v>
      </c>
      <c r="K81" s="8"/>
      <c r="N81" s="9" t="s">
        <v>9</v>
      </c>
      <c r="O81" s="10" t="s">
        <v>10</v>
      </c>
      <c r="P81" s="11" t="s">
        <v>11</v>
      </c>
      <c r="Q81" s="10" t="s">
        <v>1</v>
      </c>
    </row>
    <row r="82">
      <c r="A82" s="12"/>
      <c r="B82" s="13" t="s">
        <v>2</v>
      </c>
      <c r="C82" s="14"/>
      <c r="D82" s="14"/>
      <c r="E82" s="15"/>
      <c r="F82" s="16"/>
      <c r="G82" s="17">
        <f>G58+G64+G70+G76+G81</f>
        <v>151.25</v>
      </c>
      <c r="H82" s="18">
        <f>H56+H59+H60+H61+H62+H65+H66+H67+H68+H71+H72+H73+H74+H77+H78+H79+H80</f>
        <v>17</v>
      </c>
      <c r="I82" s="19">
        <f>I60</f>
        <v>4.75</v>
      </c>
      <c r="J82" s="20">
        <f>H82-I82</f>
        <v>12.25</v>
      </c>
      <c r="K82" s="21" t="s">
        <v>3460</v>
      </c>
      <c r="L82" s="22" t="s">
        <v>3461</v>
      </c>
      <c r="M82" s="23" t="s">
        <v>14</v>
      </c>
      <c r="N82" s="24">
        <v>1850.48</v>
      </c>
      <c r="O82" s="25">
        <v>1219.51</v>
      </c>
      <c r="P82" s="26">
        <v>1295.51</v>
      </c>
      <c r="Q82" s="27">
        <v>1514.15</v>
      </c>
    </row>
    <row r="83">
      <c r="A83" s="728"/>
      <c r="B83" s="28">
        <v>45352.0</v>
      </c>
      <c r="C83" s="29">
        <v>7.3</v>
      </c>
      <c r="D83" s="29">
        <v>11.3</v>
      </c>
      <c r="E83" s="32" t="s">
        <v>5</v>
      </c>
      <c r="F83" s="32" t="s">
        <v>6</v>
      </c>
      <c r="G83" s="29">
        <v>4.0</v>
      </c>
      <c r="H83" s="47"/>
      <c r="I83" s="736"/>
      <c r="J83" s="736"/>
      <c r="K83" s="729"/>
      <c r="L83" s="734"/>
      <c r="O83" s="31">
        <f>P82-O82</f>
        <v>76</v>
      </c>
    </row>
    <row r="84">
      <c r="A84" s="2"/>
      <c r="B84" s="3" t="s">
        <v>7</v>
      </c>
      <c r="C84" s="14"/>
      <c r="D84" s="14"/>
      <c r="E84" s="15"/>
      <c r="F84" s="6"/>
      <c r="G84" s="735">
        <f>G83</f>
        <v>4</v>
      </c>
    </row>
    <row r="85">
      <c r="B85" s="28">
        <v>45355.0</v>
      </c>
      <c r="C85" s="29">
        <v>7.3</v>
      </c>
      <c r="D85" s="29">
        <v>17.0</v>
      </c>
      <c r="E85" s="42" t="s">
        <v>21</v>
      </c>
      <c r="F85" s="42" t="s">
        <v>22</v>
      </c>
      <c r="G85" s="39">
        <v>8.75</v>
      </c>
      <c r="H85" s="41">
        <v>1.0</v>
      </c>
    </row>
    <row r="86">
      <c r="B86" s="28">
        <v>45356.0</v>
      </c>
      <c r="C86" s="29">
        <v>7.3</v>
      </c>
      <c r="D86" s="29">
        <v>17.0</v>
      </c>
      <c r="E86" s="30" t="s">
        <v>21</v>
      </c>
      <c r="F86" s="30" t="s">
        <v>22</v>
      </c>
      <c r="G86" s="29">
        <v>8.75</v>
      </c>
      <c r="H86" s="41">
        <v>1.0</v>
      </c>
    </row>
    <row r="87">
      <c r="B87" s="28">
        <v>45357.0</v>
      </c>
      <c r="C87" s="29">
        <v>7.3</v>
      </c>
      <c r="D87" s="29">
        <v>17.0</v>
      </c>
      <c r="E87" s="30" t="s">
        <v>21</v>
      </c>
      <c r="F87" s="30" t="s">
        <v>22</v>
      </c>
      <c r="G87" s="29">
        <v>8.75</v>
      </c>
      <c r="H87" s="41">
        <v>1.0</v>
      </c>
    </row>
    <row r="88">
      <c r="B88" s="28">
        <v>45358.0</v>
      </c>
      <c r="C88" s="29">
        <v>7.3</v>
      </c>
      <c r="D88" s="29">
        <v>17.0</v>
      </c>
      <c r="E88" s="30" t="s">
        <v>21</v>
      </c>
      <c r="F88" s="30" t="s">
        <v>22</v>
      </c>
      <c r="G88" s="29">
        <v>8.75</v>
      </c>
      <c r="H88" s="41">
        <v>1.0</v>
      </c>
    </row>
    <row r="89">
      <c r="B89" s="28">
        <v>45359.0</v>
      </c>
      <c r="C89" s="29">
        <v>7.3</v>
      </c>
      <c r="D89" s="29">
        <v>11.3</v>
      </c>
      <c r="E89" s="32" t="s">
        <v>5</v>
      </c>
      <c r="F89" s="32" t="s">
        <v>6</v>
      </c>
      <c r="G89" s="29">
        <v>4.0</v>
      </c>
    </row>
    <row r="90">
      <c r="A90" s="2"/>
      <c r="B90" s="3" t="s">
        <v>7</v>
      </c>
      <c r="C90" s="14"/>
      <c r="D90" s="14"/>
      <c r="E90" s="15"/>
      <c r="F90" s="6"/>
      <c r="G90" s="735">
        <f>SUM(G85:G89)</f>
        <v>39</v>
      </c>
    </row>
    <row r="91">
      <c r="B91" s="28">
        <v>45362.0</v>
      </c>
      <c r="C91" s="29">
        <v>7.3</v>
      </c>
      <c r="D91" s="29">
        <v>17.0</v>
      </c>
      <c r="E91" s="42" t="s">
        <v>21</v>
      </c>
      <c r="F91" s="42" t="s">
        <v>22</v>
      </c>
      <c r="G91" s="39">
        <v>8.75</v>
      </c>
      <c r="H91" s="41">
        <v>1.0</v>
      </c>
    </row>
    <row r="92">
      <c r="B92" s="28">
        <v>45363.0</v>
      </c>
      <c r="C92" s="29">
        <v>7.3</v>
      </c>
      <c r="D92" s="29">
        <v>17.0</v>
      </c>
      <c r="E92" s="30" t="s">
        <v>21</v>
      </c>
      <c r="F92" s="30" t="s">
        <v>22</v>
      </c>
      <c r="G92" s="29">
        <v>8.75</v>
      </c>
      <c r="H92" s="41">
        <v>1.0</v>
      </c>
    </row>
    <row r="93">
      <c r="B93" s="28">
        <v>45364.0</v>
      </c>
      <c r="C93" s="29">
        <v>7.3</v>
      </c>
      <c r="D93" s="29">
        <v>17.0</v>
      </c>
      <c r="E93" s="30" t="s">
        <v>21</v>
      </c>
      <c r="F93" s="30" t="s">
        <v>22</v>
      </c>
      <c r="G93" s="29">
        <v>8.75</v>
      </c>
      <c r="H93" s="41">
        <v>1.0</v>
      </c>
    </row>
    <row r="94">
      <c r="B94" s="28">
        <v>45365.0</v>
      </c>
      <c r="C94" s="29">
        <v>7.3</v>
      </c>
      <c r="D94" s="29">
        <v>17.0</v>
      </c>
      <c r="E94" s="30" t="s">
        <v>21</v>
      </c>
      <c r="F94" s="30" t="s">
        <v>22</v>
      </c>
      <c r="G94" s="29">
        <v>8.75</v>
      </c>
      <c r="H94" s="41">
        <v>1.0</v>
      </c>
    </row>
    <row r="95">
      <c r="B95" s="28">
        <v>45366.0</v>
      </c>
      <c r="C95" s="29">
        <v>7.3</v>
      </c>
      <c r="D95" s="29">
        <v>11.3</v>
      </c>
      <c r="E95" s="32" t="s">
        <v>5</v>
      </c>
      <c r="F95" s="32" t="s">
        <v>6</v>
      </c>
      <c r="G95" s="29">
        <v>4.0</v>
      </c>
    </row>
    <row r="96">
      <c r="A96" s="2"/>
      <c r="B96" s="3" t="s">
        <v>7</v>
      </c>
      <c r="C96" s="14"/>
      <c r="D96" s="14"/>
      <c r="E96" s="15"/>
      <c r="F96" s="6"/>
      <c r="G96" s="735">
        <f>SUM(G91:G95)</f>
        <v>39</v>
      </c>
    </row>
    <row r="97">
      <c r="B97" s="28">
        <v>45369.0</v>
      </c>
      <c r="C97" s="29">
        <v>7.3</v>
      </c>
      <c r="D97" s="29">
        <v>17.0</v>
      </c>
      <c r="E97" s="42" t="s">
        <v>21</v>
      </c>
      <c r="F97" s="42" t="s">
        <v>22</v>
      </c>
      <c r="G97" s="39">
        <v>8.75</v>
      </c>
      <c r="H97" s="41">
        <v>1.0</v>
      </c>
    </row>
    <row r="98">
      <c r="B98" s="28">
        <v>45370.0</v>
      </c>
      <c r="C98" s="29">
        <v>7.3</v>
      </c>
      <c r="D98" s="29">
        <v>17.0</v>
      </c>
      <c r="E98" s="30" t="s">
        <v>21</v>
      </c>
      <c r="F98" s="30" t="s">
        <v>22</v>
      </c>
      <c r="G98" s="29">
        <v>8.75</v>
      </c>
      <c r="H98" s="41">
        <v>1.0</v>
      </c>
    </row>
    <row r="99">
      <c r="B99" s="28">
        <v>45371.0</v>
      </c>
      <c r="C99" s="29">
        <v>7.3</v>
      </c>
      <c r="D99" s="29">
        <v>17.0</v>
      </c>
      <c r="E99" s="30" t="s">
        <v>21</v>
      </c>
      <c r="F99" s="30" t="s">
        <v>22</v>
      </c>
      <c r="G99" s="29">
        <v>8.75</v>
      </c>
      <c r="H99" s="41">
        <v>1.0</v>
      </c>
    </row>
    <row r="100">
      <c r="B100" s="28">
        <v>45372.0</v>
      </c>
      <c r="C100" s="29">
        <v>7.3</v>
      </c>
      <c r="D100" s="29">
        <v>17.0</v>
      </c>
      <c r="E100" s="30" t="s">
        <v>21</v>
      </c>
      <c r="F100" s="30" t="s">
        <v>22</v>
      </c>
      <c r="G100" s="29">
        <v>8.75</v>
      </c>
      <c r="H100" s="41">
        <v>1.0</v>
      </c>
    </row>
    <row r="101">
      <c r="B101" s="28">
        <v>45373.0</v>
      </c>
      <c r="C101" s="29">
        <v>7.3</v>
      </c>
      <c r="D101" s="29">
        <v>11.3</v>
      </c>
      <c r="E101" s="32" t="s">
        <v>5</v>
      </c>
      <c r="F101" s="32" t="s">
        <v>6</v>
      </c>
      <c r="G101" s="29">
        <v>4.0</v>
      </c>
    </row>
    <row r="102">
      <c r="A102" s="2"/>
      <c r="B102" s="3" t="s">
        <v>7</v>
      </c>
      <c r="C102" s="14"/>
      <c r="D102" s="14"/>
      <c r="E102" s="15"/>
      <c r="F102" s="6"/>
      <c r="G102" s="735">
        <f>SUM(G97:G101)</f>
        <v>39</v>
      </c>
    </row>
    <row r="103">
      <c r="B103" s="28">
        <v>45376.0</v>
      </c>
      <c r="C103" s="29">
        <v>7.3</v>
      </c>
      <c r="D103" s="29">
        <v>17.0</v>
      </c>
      <c r="E103" s="42" t="s">
        <v>21</v>
      </c>
      <c r="F103" s="42" t="s">
        <v>22</v>
      </c>
      <c r="G103" s="39">
        <v>8.75</v>
      </c>
      <c r="H103" s="41">
        <v>1.0</v>
      </c>
    </row>
    <row r="104">
      <c r="B104" s="28">
        <v>45377.0</v>
      </c>
      <c r="C104" s="29">
        <v>7.3</v>
      </c>
      <c r="D104" s="29">
        <v>17.0</v>
      </c>
      <c r="E104" s="30" t="s">
        <v>21</v>
      </c>
      <c r="F104" s="30" t="s">
        <v>22</v>
      </c>
      <c r="G104" s="29">
        <v>8.75</v>
      </c>
      <c r="H104" s="41">
        <v>1.0</v>
      </c>
    </row>
    <row r="105">
      <c r="B105" s="28">
        <v>45378.0</v>
      </c>
      <c r="C105" s="29">
        <v>7.3</v>
      </c>
      <c r="D105" s="29">
        <v>17.0</v>
      </c>
      <c r="E105" s="30" t="s">
        <v>21</v>
      </c>
      <c r="F105" s="30" t="s">
        <v>22</v>
      </c>
      <c r="G105" s="29">
        <v>8.75</v>
      </c>
      <c r="H105" s="41">
        <v>1.0</v>
      </c>
    </row>
    <row r="106">
      <c r="B106" s="28">
        <v>45379.0</v>
      </c>
      <c r="C106" s="29">
        <v>7.3</v>
      </c>
      <c r="D106" s="29">
        <v>17.0</v>
      </c>
      <c r="E106" s="30" t="s">
        <v>3</v>
      </c>
      <c r="F106" s="30" t="s">
        <v>4</v>
      </c>
      <c r="G106" s="29">
        <v>7.75</v>
      </c>
    </row>
    <row r="107">
      <c r="B107" s="28">
        <v>45380.0</v>
      </c>
      <c r="C107" s="29">
        <v>7.3</v>
      </c>
      <c r="D107" s="29">
        <v>11.3</v>
      </c>
      <c r="E107" s="32" t="s">
        <v>5</v>
      </c>
      <c r="F107" s="32" t="s">
        <v>6</v>
      </c>
      <c r="G107" s="29">
        <v>4.0</v>
      </c>
    </row>
    <row r="108">
      <c r="A108" s="2"/>
      <c r="B108" s="3" t="s">
        <v>7</v>
      </c>
      <c r="C108" s="14"/>
      <c r="D108" s="14"/>
      <c r="E108" s="15"/>
      <c r="F108" s="6"/>
      <c r="G108" s="735">
        <f>SUM(G103:G107)</f>
        <v>38</v>
      </c>
      <c r="K108" s="8"/>
      <c r="N108" s="9" t="s">
        <v>9</v>
      </c>
      <c r="O108" s="10" t="s">
        <v>10</v>
      </c>
      <c r="P108" s="11" t="s">
        <v>11</v>
      </c>
      <c r="Q108" s="10" t="s">
        <v>1</v>
      </c>
    </row>
    <row r="109">
      <c r="A109" s="12"/>
      <c r="B109" s="13" t="s">
        <v>2</v>
      </c>
      <c r="C109" s="14"/>
      <c r="D109" s="14"/>
      <c r="E109" s="15"/>
      <c r="F109" s="16"/>
      <c r="G109" s="17">
        <f>G84+G90+G96+G102+G108</f>
        <v>159</v>
      </c>
      <c r="H109" s="18">
        <f>H85+H86+H87+H88+H91+H92+H93+H94+H97+H98+H99+H100+H103+H104+H105+H106</f>
        <v>15</v>
      </c>
      <c r="I109" s="19">
        <v>0.0</v>
      </c>
      <c r="J109" s="20">
        <f>H109-I109</f>
        <v>15</v>
      </c>
      <c r="K109" s="21" t="s">
        <v>3462</v>
      </c>
      <c r="L109" s="22" t="s">
        <v>3463</v>
      </c>
      <c r="M109" s="23" t="s">
        <v>14</v>
      </c>
      <c r="N109" s="24">
        <v>2203.61</v>
      </c>
      <c r="O109" s="25">
        <v>1520.37</v>
      </c>
      <c r="P109" s="26">
        <v>1596.37</v>
      </c>
      <c r="Q109" s="27">
        <v>1649.16</v>
      </c>
    </row>
    <row r="110">
      <c r="A110" s="728"/>
      <c r="B110" s="28">
        <v>45383.0</v>
      </c>
      <c r="C110" s="29">
        <v>7.3</v>
      </c>
      <c r="D110" s="29">
        <v>17.0</v>
      </c>
      <c r="E110" s="30" t="s">
        <v>3</v>
      </c>
      <c r="F110" s="30" t="s">
        <v>4</v>
      </c>
      <c r="G110" s="29">
        <v>7.75</v>
      </c>
      <c r="H110" s="47"/>
      <c r="I110" s="736"/>
      <c r="J110" s="736"/>
      <c r="K110" s="729"/>
      <c r="L110" s="734"/>
      <c r="O110" s="31">
        <f>P109-O109</f>
        <v>76</v>
      </c>
    </row>
    <row r="111">
      <c r="B111" s="28">
        <v>45384.0</v>
      </c>
      <c r="C111" s="29">
        <v>7.3</v>
      </c>
      <c r="D111" s="29">
        <v>17.0</v>
      </c>
      <c r="E111" s="30" t="s">
        <v>3</v>
      </c>
      <c r="F111" s="30" t="s">
        <v>4</v>
      </c>
      <c r="G111" s="29">
        <v>7.75</v>
      </c>
    </row>
    <row r="112">
      <c r="B112" s="28">
        <v>45385.0</v>
      </c>
      <c r="C112" s="29">
        <v>7.3</v>
      </c>
      <c r="D112" s="29">
        <v>17.0</v>
      </c>
      <c r="E112" s="30" t="s">
        <v>3</v>
      </c>
      <c r="F112" s="30" t="s">
        <v>4</v>
      </c>
      <c r="G112" s="29">
        <v>7.75</v>
      </c>
    </row>
    <row r="113">
      <c r="B113" s="28">
        <v>45386.0</v>
      </c>
      <c r="C113" s="29">
        <v>7.3</v>
      </c>
      <c r="D113" s="29">
        <v>17.0</v>
      </c>
      <c r="E113" s="30" t="s">
        <v>3</v>
      </c>
      <c r="F113" s="30" t="s">
        <v>4</v>
      </c>
      <c r="G113" s="29">
        <v>7.75</v>
      </c>
    </row>
    <row r="114">
      <c r="B114" s="28">
        <v>45387.0</v>
      </c>
      <c r="C114" s="29">
        <v>7.3</v>
      </c>
      <c r="D114" s="29">
        <v>11.3</v>
      </c>
      <c r="E114" s="32" t="s">
        <v>5</v>
      </c>
      <c r="F114" s="32" t="s">
        <v>6</v>
      </c>
      <c r="G114" s="29">
        <v>4.0</v>
      </c>
    </row>
    <row r="115">
      <c r="A115" s="2"/>
      <c r="B115" s="3" t="s">
        <v>7</v>
      </c>
      <c r="C115" s="14"/>
      <c r="D115" s="14"/>
      <c r="E115" s="15"/>
      <c r="F115" s="6"/>
      <c r="G115" s="735">
        <f>SUM(G110:G114)</f>
        <v>35</v>
      </c>
    </row>
    <row r="116">
      <c r="B116" s="28">
        <v>45390.0</v>
      </c>
      <c r="C116" s="29">
        <v>7.3</v>
      </c>
      <c r="D116" s="29">
        <v>17.0</v>
      </c>
      <c r="E116" s="42" t="s">
        <v>21</v>
      </c>
      <c r="F116" s="42" t="s">
        <v>3457</v>
      </c>
      <c r="G116" s="39">
        <v>7.25</v>
      </c>
      <c r="H116" s="41">
        <v>1.0</v>
      </c>
      <c r="I116" s="35">
        <v>1.5</v>
      </c>
    </row>
    <row r="117">
      <c r="B117" s="28">
        <v>45391.0</v>
      </c>
      <c r="C117" s="29">
        <v>7.3</v>
      </c>
      <c r="D117" s="29">
        <v>17.0</v>
      </c>
      <c r="E117" s="42" t="s">
        <v>3464</v>
      </c>
      <c r="F117" s="42" t="s">
        <v>3465</v>
      </c>
      <c r="G117" s="39">
        <v>8.25</v>
      </c>
      <c r="H117" s="41">
        <v>0.5</v>
      </c>
    </row>
    <row r="118">
      <c r="B118" s="28">
        <v>45392.0</v>
      </c>
      <c r="C118" s="29">
        <v>7.3</v>
      </c>
      <c r="D118" s="29">
        <v>17.0</v>
      </c>
      <c r="E118" s="30" t="s">
        <v>3</v>
      </c>
      <c r="F118" s="30" t="s">
        <v>4</v>
      </c>
      <c r="G118" s="29">
        <v>7.75</v>
      </c>
    </row>
    <row r="119">
      <c r="B119" s="28">
        <v>45393.0</v>
      </c>
      <c r="C119" s="29">
        <v>7.3</v>
      </c>
      <c r="D119" s="29">
        <v>17.0</v>
      </c>
      <c r="E119" s="30" t="s">
        <v>3</v>
      </c>
      <c r="F119" s="30" t="s">
        <v>4</v>
      </c>
      <c r="G119" s="29">
        <v>7.75</v>
      </c>
    </row>
    <row r="120">
      <c r="B120" s="28">
        <v>45394.0</v>
      </c>
      <c r="C120" s="29">
        <v>7.3</v>
      </c>
      <c r="D120" s="29">
        <v>11.3</v>
      </c>
      <c r="E120" s="32" t="s">
        <v>5</v>
      </c>
      <c r="F120" s="32" t="s">
        <v>6</v>
      </c>
      <c r="G120" s="29">
        <v>4.0</v>
      </c>
    </row>
    <row r="121">
      <c r="A121" s="2"/>
      <c r="B121" s="3" t="s">
        <v>7</v>
      </c>
      <c r="C121" s="14"/>
      <c r="D121" s="14"/>
      <c r="E121" s="15"/>
      <c r="F121" s="6"/>
      <c r="G121" s="735">
        <f>SUM(G116:G120)</f>
        <v>35</v>
      </c>
    </row>
    <row r="122">
      <c r="B122" s="28">
        <v>45397.0</v>
      </c>
      <c r="C122" s="29">
        <v>7.3</v>
      </c>
      <c r="D122" s="29">
        <v>17.0</v>
      </c>
      <c r="E122" s="30" t="s">
        <v>3</v>
      </c>
      <c r="F122" s="30" t="s">
        <v>4</v>
      </c>
      <c r="G122" s="29">
        <v>7.75</v>
      </c>
    </row>
    <row r="123">
      <c r="B123" s="28">
        <v>45398.0</v>
      </c>
      <c r="C123" s="29">
        <v>7.3</v>
      </c>
      <c r="D123" s="29">
        <v>17.0</v>
      </c>
      <c r="E123" s="30" t="s">
        <v>3</v>
      </c>
      <c r="F123" s="30" t="s">
        <v>4</v>
      </c>
      <c r="G123" s="29">
        <v>7.75</v>
      </c>
    </row>
    <row r="124">
      <c r="B124" s="28">
        <v>45399.0</v>
      </c>
      <c r="C124" s="29">
        <v>7.3</v>
      </c>
      <c r="D124" s="29">
        <v>17.0</v>
      </c>
      <c r="E124" s="30" t="s">
        <v>3</v>
      </c>
      <c r="F124" s="30" t="s">
        <v>4</v>
      </c>
      <c r="G124" s="29">
        <v>7.75</v>
      </c>
    </row>
    <row r="125">
      <c r="B125" s="28">
        <v>45400.0</v>
      </c>
      <c r="C125" s="29">
        <v>7.3</v>
      </c>
      <c r="D125" s="29">
        <v>17.0</v>
      </c>
      <c r="E125" s="30" t="s">
        <v>3</v>
      </c>
      <c r="F125" s="30" t="s">
        <v>4</v>
      </c>
      <c r="G125" s="29">
        <v>7.75</v>
      </c>
    </row>
    <row r="126">
      <c r="B126" s="28">
        <v>45401.0</v>
      </c>
      <c r="C126" s="29">
        <v>7.3</v>
      </c>
      <c r="D126" s="29">
        <v>11.3</v>
      </c>
      <c r="E126" s="32" t="s">
        <v>5</v>
      </c>
      <c r="F126" s="32" t="s">
        <v>6</v>
      </c>
      <c r="G126" s="29">
        <v>4.0</v>
      </c>
    </row>
    <row r="127">
      <c r="A127" s="2"/>
      <c r="B127" s="3" t="s">
        <v>7</v>
      </c>
      <c r="C127" s="14"/>
      <c r="D127" s="14"/>
      <c r="E127" s="15"/>
      <c r="F127" s="6"/>
      <c r="G127" s="735">
        <f>SUM(G122:G126)</f>
        <v>35</v>
      </c>
    </row>
    <row r="128">
      <c r="B128" s="28">
        <v>45404.0</v>
      </c>
      <c r="C128" s="29">
        <v>7.3</v>
      </c>
      <c r="D128" s="29">
        <v>17.0</v>
      </c>
      <c r="E128" s="30" t="s">
        <v>3</v>
      </c>
      <c r="F128" s="30" t="s">
        <v>4</v>
      </c>
      <c r="G128" s="29">
        <v>7.75</v>
      </c>
    </row>
    <row r="129">
      <c r="B129" s="28">
        <v>45405.0</v>
      </c>
      <c r="C129" s="29">
        <v>7.3</v>
      </c>
      <c r="D129" s="29">
        <v>17.0</v>
      </c>
      <c r="E129" s="30" t="s">
        <v>3</v>
      </c>
      <c r="F129" s="30" t="s">
        <v>4</v>
      </c>
      <c r="G129" s="29">
        <v>7.75</v>
      </c>
    </row>
    <row r="130">
      <c r="B130" s="28">
        <v>45406.0</v>
      </c>
      <c r="C130" s="29">
        <v>7.3</v>
      </c>
      <c r="D130" s="29">
        <v>17.0</v>
      </c>
      <c r="E130" s="30" t="s">
        <v>3</v>
      </c>
      <c r="F130" s="30" t="s">
        <v>4</v>
      </c>
      <c r="G130" s="29">
        <v>7.75</v>
      </c>
    </row>
    <row r="131">
      <c r="B131" s="28">
        <v>45407.0</v>
      </c>
      <c r="C131" s="29">
        <v>7.3</v>
      </c>
      <c r="D131" s="29">
        <v>17.0</v>
      </c>
      <c r="E131" s="30" t="s">
        <v>3</v>
      </c>
      <c r="F131" s="30" t="s">
        <v>4</v>
      </c>
      <c r="G131" s="29">
        <v>7.75</v>
      </c>
    </row>
    <row r="132">
      <c r="B132" s="28">
        <v>45408.0</v>
      </c>
      <c r="C132" s="29">
        <v>7.3</v>
      </c>
      <c r="D132" s="29">
        <v>11.3</v>
      </c>
      <c r="E132" s="32" t="s">
        <v>5</v>
      </c>
      <c r="F132" s="32" t="s">
        <v>6</v>
      </c>
      <c r="G132" s="29">
        <v>4.0</v>
      </c>
    </row>
    <row r="133">
      <c r="A133" s="2"/>
      <c r="B133" s="3" t="s">
        <v>7</v>
      </c>
      <c r="C133" s="14"/>
      <c r="D133" s="14"/>
      <c r="E133" s="15"/>
      <c r="F133" s="6"/>
      <c r="G133" s="735">
        <f>SUM(G128:G132)</f>
        <v>35</v>
      </c>
    </row>
    <row r="134">
      <c r="B134" s="28">
        <v>45411.0</v>
      </c>
      <c r="C134" s="29">
        <v>7.3</v>
      </c>
      <c r="D134" s="29">
        <v>17.0</v>
      </c>
      <c r="E134" s="30" t="s">
        <v>3</v>
      </c>
      <c r="F134" s="30" t="s">
        <v>4</v>
      </c>
      <c r="G134" s="29">
        <v>7.75</v>
      </c>
    </row>
    <row r="135">
      <c r="B135" s="28">
        <v>45412.0</v>
      </c>
      <c r="C135" s="29">
        <v>7.3</v>
      </c>
      <c r="D135" s="29">
        <v>17.0</v>
      </c>
      <c r="E135" s="30" t="s">
        <v>3</v>
      </c>
      <c r="F135" s="30" t="s">
        <v>4</v>
      </c>
      <c r="G135" s="29">
        <v>7.75</v>
      </c>
    </row>
    <row r="136">
      <c r="A136" s="2"/>
      <c r="B136" s="3" t="s">
        <v>7</v>
      </c>
      <c r="C136" s="14"/>
      <c r="D136" s="14"/>
      <c r="E136" s="15"/>
      <c r="F136" s="6"/>
      <c r="G136" s="735">
        <f>G134+G135</f>
        <v>15.5</v>
      </c>
      <c r="K136" s="8"/>
      <c r="N136" s="9" t="s">
        <v>9</v>
      </c>
      <c r="O136" s="10" t="s">
        <v>10</v>
      </c>
      <c r="P136" s="11" t="s">
        <v>11</v>
      </c>
      <c r="Q136" s="10" t="s">
        <v>1</v>
      </c>
    </row>
    <row r="137">
      <c r="A137" s="12"/>
      <c r="B137" s="13" t="s">
        <v>2</v>
      </c>
      <c r="C137" s="14"/>
      <c r="D137" s="14"/>
      <c r="E137" s="15"/>
      <c r="F137" s="16"/>
      <c r="G137" s="17">
        <f>G115+G121+G127+G133+G136</f>
        <v>155.5</v>
      </c>
      <c r="H137" s="18">
        <f>H116+H117</f>
        <v>1.5</v>
      </c>
      <c r="I137" s="19">
        <f>I116</f>
        <v>1.5</v>
      </c>
      <c r="J137" s="20">
        <f>H137-I137</f>
        <v>0</v>
      </c>
      <c r="K137" s="21" t="s">
        <v>3466</v>
      </c>
      <c r="L137" s="22" t="s">
        <v>3467</v>
      </c>
      <c r="M137" s="23" t="s">
        <v>14</v>
      </c>
      <c r="N137" s="24">
        <v>2141.62</v>
      </c>
      <c r="O137" s="25">
        <v>1610.34</v>
      </c>
      <c r="P137" s="26">
        <v>1686.34</v>
      </c>
      <c r="Q137" s="27">
        <v>1560.87</v>
      </c>
    </row>
    <row r="138">
      <c r="A138" s="728"/>
      <c r="B138" s="28">
        <v>45413.0</v>
      </c>
      <c r="C138" s="43" t="s">
        <v>24</v>
      </c>
      <c r="F138" s="44" t="s">
        <v>4</v>
      </c>
      <c r="G138" s="45">
        <v>7.75</v>
      </c>
      <c r="H138" s="47"/>
      <c r="I138" s="736"/>
      <c r="J138" s="736"/>
      <c r="K138" s="729"/>
      <c r="L138" s="734"/>
      <c r="O138" s="31">
        <f>P137-O137</f>
        <v>76</v>
      </c>
    </row>
    <row r="139">
      <c r="B139" s="28">
        <v>45414.0</v>
      </c>
      <c r="C139" s="29">
        <v>7.3</v>
      </c>
      <c r="D139" s="29">
        <v>17.0</v>
      </c>
      <c r="E139" s="30" t="s">
        <v>3</v>
      </c>
      <c r="F139" s="30" t="s">
        <v>4</v>
      </c>
      <c r="G139" s="29">
        <v>7.75</v>
      </c>
    </row>
    <row r="140">
      <c r="B140" s="28">
        <v>45415.0</v>
      </c>
      <c r="C140" s="29">
        <v>7.3</v>
      </c>
      <c r="D140" s="39">
        <v>16.15</v>
      </c>
      <c r="E140" s="40" t="s">
        <v>21</v>
      </c>
      <c r="F140" s="40" t="s">
        <v>3468</v>
      </c>
      <c r="G140" s="39">
        <v>8.0</v>
      </c>
      <c r="H140" s="41">
        <v>4.0</v>
      </c>
      <c r="L140" s="738" t="s">
        <v>3469</v>
      </c>
    </row>
    <row r="141">
      <c r="A141" s="2"/>
      <c r="B141" s="3" t="s">
        <v>7</v>
      </c>
      <c r="C141" s="14"/>
      <c r="D141" s="14"/>
      <c r="E141" s="15"/>
      <c r="F141" s="6"/>
      <c r="G141" s="735">
        <f>G138+G139+G140</f>
        <v>23.5</v>
      </c>
    </row>
    <row r="142">
      <c r="B142" s="28">
        <v>45418.0</v>
      </c>
      <c r="C142" s="29">
        <v>7.3</v>
      </c>
      <c r="D142" s="29">
        <v>17.0</v>
      </c>
      <c r="E142" s="30" t="s">
        <v>3</v>
      </c>
      <c r="F142" s="30" t="s">
        <v>4</v>
      </c>
      <c r="G142" s="29">
        <v>7.75</v>
      </c>
    </row>
    <row r="143">
      <c r="B143" s="28">
        <v>45419.0</v>
      </c>
      <c r="C143" s="29">
        <v>7.3</v>
      </c>
      <c r="D143" s="29">
        <v>17.0</v>
      </c>
      <c r="E143" s="30" t="s">
        <v>3</v>
      </c>
      <c r="F143" s="30" t="s">
        <v>4</v>
      </c>
      <c r="G143" s="29">
        <v>7.75</v>
      </c>
    </row>
    <row r="144">
      <c r="B144" s="28">
        <v>45420.0</v>
      </c>
      <c r="C144" s="43" t="s">
        <v>24</v>
      </c>
      <c r="F144" s="44" t="s">
        <v>4</v>
      </c>
      <c r="G144" s="45">
        <v>7.75</v>
      </c>
    </row>
    <row r="145">
      <c r="B145" s="28">
        <v>45421.0</v>
      </c>
      <c r="C145" s="43" t="s">
        <v>24</v>
      </c>
      <c r="F145" s="44" t="s">
        <v>4</v>
      </c>
      <c r="G145" s="45">
        <v>7.75</v>
      </c>
    </row>
    <row r="146">
      <c r="B146" s="28">
        <v>45422.0</v>
      </c>
      <c r="C146" s="46" t="s">
        <v>15</v>
      </c>
      <c r="I146" s="35">
        <v>4.0</v>
      </c>
    </row>
    <row r="147">
      <c r="A147" s="2"/>
      <c r="B147" s="3" t="s">
        <v>7</v>
      </c>
      <c r="C147" s="14"/>
      <c r="D147" s="14"/>
      <c r="E147" s="15"/>
      <c r="F147" s="6"/>
      <c r="G147" s="735">
        <f>SUM(G142:G146)</f>
        <v>31</v>
      </c>
    </row>
    <row r="148">
      <c r="B148" s="28">
        <v>45425.0</v>
      </c>
      <c r="C148" s="29">
        <v>7.3</v>
      </c>
      <c r="D148" s="29">
        <v>17.0</v>
      </c>
      <c r="E148" s="30" t="s">
        <v>3</v>
      </c>
      <c r="F148" s="30" t="s">
        <v>4</v>
      </c>
      <c r="G148" s="29">
        <v>7.75</v>
      </c>
    </row>
    <row r="149">
      <c r="B149" s="28">
        <v>45426.0</v>
      </c>
      <c r="C149" s="29">
        <v>7.3</v>
      </c>
      <c r="D149" s="29">
        <v>17.0</v>
      </c>
      <c r="E149" s="30" t="s">
        <v>3</v>
      </c>
      <c r="F149" s="30" t="s">
        <v>4</v>
      </c>
      <c r="G149" s="29">
        <v>7.75</v>
      </c>
    </row>
    <row r="150">
      <c r="B150" s="28">
        <v>45427.0</v>
      </c>
      <c r="C150" s="29">
        <v>7.3</v>
      </c>
      <c r="D150" s="29">
        <v>17.0</v>
      </c>
      <c r="E150" s="30" t="s">
        <v>3</v>
      </c>
      <c r="F150" s="30" t="s">
        <v>4</v>
      </c>
      <c r="G150" s="29">
        <v>7.75</v>
      </c>
    </row>
    <row r="151">
      <c r="B151" s="28">
        <v>45428.0</v>
      </c>
      <c r="C151" s="29">
        <v>7.3</v>
      </c>
      <c r="D151" s="29">
        <v>17.0</v>
      </c>
      <c r="E151" s="30" t="s">
        <v>3</v>
      </c>
      <c r="F151" s="30" t="s">
        <v>4</v>
      </c>
      <c r="G151" s="29">
        <v>7.75</v>
      </c>
    </row>
    <row r="152">
      <c r="B152" s="28">
        <v>45429.0</v>
      </c>
      <c r="C152" s="29">
        <v>7.3</v>
      </c>
      <c r="D152" s="29">
        <v>11.3</v>
      </c>
      <c r="E152" s="32" t="s">
        <v>5</v>
      </c>
      <c r="F152" s="32" t="s">
        <v>6</v>
      </c>
      <c r="G152" s="29">
        <v>4.0</v>
      </c>
    </row>
    <row r="153">
      <c r="A153" s="2"/>
      <c r="B153" s="3" t="s">
        <v>7</v>
      </c>
      <c r="C153" s="14"/>
      <c r="D153" s="14"/>
      <c r="E153" s="15"/>
      <c r="F153" s="6"/>
      <c r="G153" s="735">
        <f>SUM(G148:G152)</f>
        <v>35</v>
      </c>
    </row>
    <row r="154">
      <c r="B154" s="28">
        <v>45432.0</v>
      </c>
      <c r="C154" s="47">
        <v>7.3</v>
      </c>
      <c r="D154" s="51">
        <v>16.15</v>
      </c>
      <c r="E154" s="51" t="s">
        <v>3</v>
      </c>
      <c r="F154" s="51" t="s">
        <v>27</v>
      </c>
      <c r="G154" s="47">
        <v>7.0</v>
      </c>
      <c r="L154" s="738" t="s">
        <v>3470</v>
      </c>
    </row>
    <row r="155">
      <c r="B155" s="28">
        <v>45433.0</v>
      </c>
      <c r="C155" s="29">
        <v>7.3</v>
      </c>
      <c r="D155" s="29">
        <v>17.0</v>
      </c>
      <c r="E155" s="30" t="s">
        <v>3</v>
      </c>
      <c r="F155" s="30" t="s">
        <v>4</v>
      </c>
      <c r="G155" s="29">
        <v>7.75</v>
      </c>
    </row>
    <row r="156">
      <c r="B156" s="28">
        <v>45434.0</v>
      </c>
      <c r="C156" s="29">
        <v>7.3</v>
      </c>
      <c r="D156" s="29">
        <v>17.0</v>
      </c>
      <c r="E156" s="30" t="s">
        <v>3</v>
      </c>
      <c r="F156" s="30" t="s">
        <v>4</v>
      </c>
      <c r="G156" s="29">
        <v>7.75</v>
      </c>
    </row>
    <row r="157">
      <c r="B157" s="28">
        <v>45435.0</v>
      </c>
      <c r="C157" s="29">
        <v>7.3</v>
      </c>
      <c r="D157" s="29">
        <v>17.0</v>
      </c>
      <c r="E157" s="30" t="s">
        <v>3</v>
      </c>
      <c r="F157" s="30" t="s">
        <v>4</v>
      </c>
      <c r="G157" s="29">
        <v>7.75</v>
      </c>
    </row>
    <row r="158">
      <c r="B158" s="28">
        <v>45436.0</v>
      </c>
      <c r="C158" s="29">
        <v>7.3</v>
      </c>
      <c r="D158" s="29">
        <v>11.3</v>
      </c>
      <c r="E158" s="32" t="s">
        <v>5</v>
      </c>
      <c r="F158" s="32" t="s">
        <v>6</v>
      </c>
      <c r="G158" s="29">
        <v>4.0</v>
      </c>
    </row>
    <row r="159">
      <c r="A159" s="2"/>
      <c r="B159" s="3" t="s">
        <v>7</v>
      </c>
      <c r="C159" s="14"/>
      <c r="D159" s="14"/>
      <c r="E159" s="15"/>
      <c r="F159" s="6"/>
      <c r="G159" s="735">
        <f>SUM(G154:G158)</f>
        <v>34.25</v>
      </c>
    </row>
    <row r="160">
      <c r="B160" s="28">
        <v>45439.0</v>
      </c>
      <c r="C160" s="29">
        <v>7.3</v>
      </c>
      <c r="D160" s="29">
        <v>17.0</v>
      </c>
      <c r="E160" s="30" t="s">
        <v>3</v>
      </c>
      <c r="F160" s="30" t="s">
        <v>4</v>
      </c>
      <c r="G160" s="29">
        <v>7.75</v>
      </c>
    </row>
    <row r="161">
      <c r="B161" s="28">
        <v>45440.0</v>
      </c>
      <c r="C161" s="29">
        <v>7.3</v>
      </c>
      <c r="D161" s="29">
        <v>17.0</v>
      </c>
      <c r="E161" s="30" t="s">
        <v>3</v>
      </c>
      <c r="F161" s="30" t="s">
        <v>4</v>
      </c>
      <c r="G161" s="29">
        <v>7.75</v>
      </c>
    </row>
    <row r="162">
      <c r="B162" s="28">
        <v>45441.0</v>
      </c>
      <c r="C162" s="29">
        <v>7.3</v>
      </c>
      <c r="D162" s="29">
        <v>17.0</v>
      </c>
      <c r="E162" s="30" t="s">
        <v>3</v>
      </c>
      <c r="F162" s="30" t="s">
        <v>4</v>
      </c>
      <c r="G162" s="29">
        <v>7.75</v>
      </c>
    </row>
    <row r="163">
      <c r="B163" s="28">
        <v>45442.0</v>
      </c>
      <c r="C163" s="29">
        <v>7.3</v>
      </c>
      <c r="D163" s="29">
        <v>17.0</v>
      </c>
      <c r="E163" s="30" t="s">
        <v>3</v>
      </c>
      <c r="F163" s="30" t="s">
        <v>4</v>
      </c>
      <c r="G163" s="29">
        <v>7.75</v>
      </c>
    </row>
    <row r="164">
      <c r="B164" s="28">
        <v>45443.0</v>
      </c>
      <c r="C164" s="29">
        <v>7.3</v>
      </c>
      <c r="D164" s="29">
        <v>11.3</v>
      </c>
      <c r="E164" s="32" t="s">
        <v>5</v>
      </c>
      <c r="F164" s="32" t="s">
        <v>6</v>
      </c>
      <c r="G164" s="29">
        <v>4.0</v>
      </c>
    </row>
    <row r="165">
      <c r="A165" s="2"/>
      <c r="B165" s="3" t="s">
        <v>7</v>
      </c>
      <c r="C165" s="14"/>
      <c r="D165" s="14"/>
      <c r="E165" s="15"/>
      <c r="F165" s="6"/>
      <c r="G165" s="735">
        <f>SUM(G160:G164)</f>
        <v>35</v>
      </c>
      <c r="K165" s="8"/>
      <c r="N165" s="9" t="s">
        <v>9</v>
      </c>
      <c r="O165" s="10" t="s">
        <v>10</v>
      </c>
      <c r="P165" s="11" t="s">
        <v>11</v>
      </c>
      <c r="Q165" s="10" t="s">
        <v>1</v>
      </c>
    </row>
    <row r="166">
      <c r="A166" s="12"/>
      <c r="B166" s="13" t="s">
        <v>2</v>
      </c>
      <c r="C166" s="14"/>
      <c r="D166" s="14"/>
      <c r="E166" s="15"/>
      <c r="F166" s="16"/>
      <c r="G166" s="17">
        <f>G165+G159+G153+G147+G141</f>
        <v>158.75</v>
      </c>
      <c r="H166" s="18">
        <f>H142+H143+H144+H145+H148+H149+H150+H151+H154+H155+H156+H157+H160+H161+H162+H163</f>
        <v>0</v>
      </c>
      <c r="I166" s="19">
        <v>0.0</v>
      </c>
      <c r="J166" s="20">
        <f>H166-I166</f>
        <v>0</v>
      </c>
      <c r="K166" s="21" t="s">
        <v>3471</v>
      </c>
      <c r="L166" s="22" t="s">
        <v>3472</v>
      </c>
      <c r="M166" s="23" t="s">
        <v>3473</v>
      </c>
      <c r="N166" s="24">
        <v>1905.99</v>
      </c>
      <c r="O166" s="25">
        <v>1392.42</v>
      </c>
      <c r="P166" s="26">
        <v>1473.17</v>
      </c>
      <c r="Q166" s="27">
        <v>1560.88</v>
      </c>
    </row>
    <row r="167">
      <c r="A167" s="728"/>
      <c r="B167" s="28">
        <v>45446.0</v>
      </c>
      <c r="C167" s="29">
        <v>7.3</v>
      </c>
      <c r="D167" s="29">
        <v>17.0</v>
      </c>
      <c r="E167" s="30" t="s">
        <v>3</v>
      </c>
      <c r="F167" s="30" t="s">
        <v>4</v>
      </c>
      <c r="G167" s="29">
        <v>7.75</v>
      </c>
      <c r="H167" s="47"/>
      <c r="I167" s="736"/>
      <c r="J167" s="736"/>
      <c r="K167" s="729"/>
      <c r="L167" s="734"/>
      <c r="O167" s="31">
        <f>P166-O166</f>
        <v>80.75</v>
      </c>
    </row>
    <row r="168">
      <c r="B168" s="28">
        <v>45447.0</v>
      </c>
      <c r="C168" s="29">
        <v>7.3</v>
      </c>
      <c r="D168" s="29">
        <v>17.0</v>
      </c>
      <c r="E168" s="30" t="s">
        <v>3</v>
      </c>
      <c r="F168" s="30" t="s">
        <v>4</v>
      </c>
      <c r="G168" s="29">
        <v>7.75</v>
      </c>
    </row>
    <row r="169">
      <c r="B169" s="28">
        <v>45448.0</v>
      </c>
      <c r="C169" s="29">
        <v>7.3</v>
      </c>
      <c r="D169" s="29">
        <v>17.0</v>
      </c>
      <c r="E169" s="30" t="s">
        <v>3</v>
      </c>
      <c r="F169" s="30" t="s">
        <v>4</v>
      </c>
      <c r="G169" s="29">
        <v>7.75</v>
      </c>
    </row>
    <row r="170">
      <c r="B170" s="28">
        <v>45449.0</v>
      </c>
      <c r="C170" s="29">
        <v>7.3</v>
      </c>
      <c r="D170" s="29">
        <v>17.0</v>
      </c>
      <c r="E170" s="30" t="s">
        <v>3</v>
      </c>
      <c r="F170" s="30" t="s">
        <v>4</v>
      </c>
      <c r="G170" s="29">
        <v>7.75</v>
      </c>
    </row>
    <row r="171">
      <c r="B171" s="28">
        <v>45450.0</v>
      </c>
      <c r="C171" s="29">
        <v>7.3</v>
      </c>
      <c r="D171" s="39">
        <v>15.15</v>
      </c>
      <c r="E171" s="32" t="s">
        <v>5</v>
      </c>
      <c r="F171" s="40" t="s">
        <v>27</v>
      </c>
      <c r="G171" s="39">
        <v>7.0</v>
      </c>
      <c r="H171" s="41">
        <v>3.0</v>
      </c>
      <c r="L171" s="738" t="s">
        <v>3474</v>
      </c>
    </row>
    <row r="172">
      <c r="A172" s="2"/>
      <c r="B172" s="3" t="s">
        <v>7</v>
      </c>
      <c r="C172" s="14"/>
      <c r="D172" s="14"/>
      <c r="E172" s="15"/>
      <c r="F172" s="6"/>
      <c r="G172" s="735">
        <f>SUM(G167:G171)</f>
        <v>38</v>
      </c>
    </row>
    <row r="173">
      <c r="B173" s="28">
        <v>45453.0</v>
      </c>
      <c r="C173" s="29">
        <v>7.3</v>
      </c>
      <c r="D173" s="29">
        <v>17.0</v>
      </c>
      <c r="E173" s="30" t="s">
        <v>3</v>
      </c>
      <c r="F173" s="30" t="s">
        <v>4</v>
      </c>
      <c r="G173" s="29">
        <v>7.75</v>
      </c>
    </row>
    <row r="174">
      <c r="B174" s="28">
        <v>45454.0</v>
      </c>
      <c r="C174" s="29">
        <v>7.3</v>
      </c>
      <c r="D174" s="29">
        <v>17.0</v>
      </c>
      <c r="E174" s="30" t="s">
        <v>3</v>
      </c>
      <c r="F174" s="30" t="s">
        <v>4</v>
      </c>
      <c r="G174" s="29">
        <v>7.75</v>
      </c>
    </row>
    <row r="175">
      <c r="B175" s="28">
        <v>45455.0</v>
      </c>
      <c r="C175" s="29">
        <v>7.3</v>
      </c>
      <c r="D175" s="29">
        <v>17.0</v>
      </c>
      <c r="E175" s="30" t="s">
        <v>3</v>
      </c>
      <c r="F175" s="30" t="s">
        <v>4</v>
      </c>
      <c r="G175" s="29">
        <v>7.75</v>
      </c>
    </row>
    <row r="176">
      <c r="B176" s="28">
        <v>45456.0</v>
      </c>
      <c r="C176" s="29">
        <v>7.3</v>
      </c>
      <c r="D176" s="29">
        <v>17.0</v>
      </c>
      <c r="E176" s="30" t="s">
        <v>3</v>
      </c>
      <c r="F176" s="30" t="s">
        <v>4</v>
      </c>
      <c r="G176" s="29">
        <v>7.75</v>
      </c>
    </row>
    <row r="177">
      <c r="B177" s="28">
        <v>45457.0</v>
      </c>
      <c r="C177" s="29">
        <v>7.3</v>
      </c>
      <c r="D177" s="29">
        <v>11.3</v>
      </c>
      <c r="E177" s="32" t="s">
        <v>5</v>
      </c>
      <c r="F177" s="32" t="s">
        <v>6</v>
      </c>
      <c r="G177" s="29">
        <v>4.0</v>
      </c>
    </row>
    <row r="178">
      <c r="A178" s="2"/>
      <c r="B178" s="3" t="s">
        <v>7</v>
      </c>
      <c r="C178" s="14"/>
      <c r="D178" s="14"/>
      <c r="E178" s="15"/>
      <c r="F178" s="6"/>
      <c r="G178" s="735">
        <f>SUM(G173:G177)</f>
        <v>35</v>
      </c>
    </row>
    <row r="179">
      <c r="B179" s="28">
        <v>45460.0</v>
      </c>
      <c r="C179" s="29">
        <v>7.3</v>
      </c>
      <c r="D179" s="29">
        <v>17.0</v>
      </c>
      <c r="E179" s="30" t="s">
        <v>3</v>
      </c>
      <c r="F179" s="30" t="s">
        <v>4</v>
      </c>
      <c r="G179" s="29">
        <v>7.75</v>
      </c>
    </row>
    <row r="180">
      <c r="B180" s="28">
        <v>45461.0</v>
      </c>
      <c r="C180" s="29">
        <v>7.3</v>
      </c>
      <c r="D180" s="29">
        <v>17.0</v>
      </c>
      <c r="E180" s="30" t="s">
        <v>3</v>
      </c>
      <c r="F180" s="30" t="s">
        <v>4</v>
      </c>
      <c r="G180" s="29">
        <v>7.75</v>
      </c>
    </row>
    <row r="181">
      <c r="B181" s="28">
        <v>45462.0</v>
      </c>
      <c r="C181" s="29">
        <v>7.3</v>
      </c>
      <c r="D181" s="29">
        <v>17.0</v>
      </c>
      <c r="E181" s="30" t="s">
        <v>3</v>
      </c>
      <c r="F181" s="30" t="s">
        <v>4</v>
      </c>
      <c r="G181" s="29">
        <v>7.75</v>
      </c>
    </row>
    <row r="182">
      <c r="B182" s="28">
        <v>45463.0</v>
      </c>
      <c r="C182" s="29">
        <v>7.3</v>
      </c>
      <c r="D182" s="29">
        <v>17.0</v>
      </c>
      <c r="E182" s="30" t="s">
        <v>3</v>
      </c>
      <c r="F182" s="30" t="s">
        <v>4</v>
      </c>
      <c r="G182" s="29">
        <v>7.75</v>
      </c>
    </row>
    <row r="183">
      <c r="B183" s="28">
        <v>45464.0</v>
      </c>
      <c r="C183" s="29">
        <v>7.3</v>
      </c>
      <c r="D183" s="39">
        <v>16.0</v>
      </c>
      <c r="E183" s="40" t="s">
        <v>21</v>
      </c>
      <c r="F183" s="32" t="s">
        <v>6</v>
      </c>
      <c r="G183" s="29">
        <v>4.0</v>
      </c>
    </row>
    <row r="184">
      <c r="A184" s="2"/>
      <c r="B184" s="3" t="s">
        <v>7</v>
      </c>
      <c r="C184" s="14"/>
      <c r="D184" s="14"/>
      <c r="E184" s="15"/>
      <c r="F184" s="6"/>
      <c r="G184" s="735">
        <f>SUM(G179:G183)</f>
        <v>35</v>
      </c>
    </row>
    <row r="185">
      <c r="B185" s="28">
        <v>45467.0</v>
      </c>
      <c r="C185" s="29">
        <v>7.3</v>
      </c>
      <c r="D185" s="29">
        <v>17.0</v>
      </c>
      <c r="E185" s="30" t="s">
        <v>3</v>
      </c>
      <c r="F185" s="30" t="s">
        <v>4</v>
      </c>
      <c r="G185" s="29">
        <v>7.75</v>
      </c>
    </row>
    <row r="186">
      <c r="B186" s="28">
        <v>45468.0</v>
      </c>
      <c r="C186" s="29">
        <v>7.3</v>
      </c>
      <c r="D186" s="29">
        <v>17.0</v>
      </c>
      <c r="E186" s="42" t="s">
        <v>21</v>
      </c>
      <c r="F186" s="42" t="s">
        <v>22</v>
      </c>
      <c r="G186" s="39">
        <v>8.75</v>
      </c>
      <c r="H186" s="41">
        <v>1.0</v>
      </c>
    </row>
    <row r="187">
      <c r="B187" s="28">
        <v>45469.0</v>
      </c>
      <c r="C187" s="29">
        <v>7.3</v>
      </c>
      <c r="D187" s="39">
        <v>12.15</v>
      </c>
      <c r="E187" s="30"/>
      <c r="F187" s="42" t="s">
        <v>20</v>
      </c>
      <c r="G187" s="39">
        <v>4.75</v>
      </c>
      <c r="I187" s="35">
        <v>3.0</v>
      </c>
      <c r="L187" s="738" t="s">
        <v>3475</v>
      </c>
    </row>
    <row r="188">
      <c r="B188" s="28">
        <v>45470.0</v>
      </c>
      <c r="C188" s="739" t="s">
        <v>3476</v>
      </c>
      <c r="F188" s="740" t="s">
        <v>4</v>
      </c>
      <c r="G188" s="741">
        <v>7.75</v>
      </c>
      <c r="I188" s="47"/>
      <c r="L188" s="738" t="s">
        <v>3477</v>
      </c>
    </row>
    <row r="189">
      <c r="B189" s="28">
        <v>45471.0</v>
      </c>
      <c r="C189" s="29">
        <v>7.3</v>
      </c>
      <c r="D189" s="39">
        <v>16.0</v>
      </c>
      <c r="E189" s="40" t="s">
        <v>21</v>
      </c>
      <c r="F189" s="42" t="s">
        <v>36</v>
      </c>
      <c r="G189" s="39">
        <v>8.5</v>
      </c>
      <c r="H189" s="41">
        <v>3.75</v>
      </c>
    </row>
    <row r="190">
      <c r="A190" s="2"/>
      <c r="B190" s="3" t="s">
        <v>7</v>
      </c>
      <c r="C190" s="14"/>
      <c r="D190" s="14"/>
      <c r="E190" s="15"/>
      <c r="F190" s="6"/>
      <c r="G190" s="735">
        <f>SUM(G185:G189)</f>
        <v>37.5</v>
      </c>
      <c r="K190" s="8"/>
      <c r="N190" s="9" t="s">
        <v>9</v>
      </c>
      <c r="O190" s="10" t="s">
        <v>10</v>
      </c>
      <c r="P190" s="11" t="s">
        <v>11</v>
      </c>
      <c r="Q190" s="10" t="s">
        <v>1</v>
      </c>
    </row>
    <row r="191">
      <c r="A191" s="12"/>
      <c r="B191" s="13" t="s">
        <v>2</v>
      </c>
      <c r="C191" s="14"/>
      <c r="D191" s="14"/>
      <c r="E191" s="15"/>
      <c r="F191" s="16"/>
      <c r="G191" s="17">
        <f>G172+G178+G184+G190</f>
        <v>145.5</v>
      </c>
      <c r="H191" s="18">
        <f>H171+H186+H189</f>
        <v>7.75</v>
      </c>
      <c r="I191" s="19">
        <f>I187+I188</f>
        <v>3</v>
      </c>
      <c r="J191" s="20">
        <f>H191-I191</f>
        <v>4.75</v>
      </c>
      <c r="K191" s="21" t="s">
        <v>3478</v>
      </c>
      <c r="L191" s="22" t="s">
        <v>3479</v>
      </c>
      <c r="M191" s="23" t="s">
        <v>14</v>
      </c>
      <c r="N191" s="24">
        <v>1905.99</v>
      </c>
      <c r="O191" s="25">
        <v>1397.17</v>
      </c>
      <c r="P191" s="26">
        <v>1473.17</v>
      </c>
      <c r="Q191" s="27">
        <v>1560.88</v>
      </c>
    </row>
    <row r="192">
      <c r="A192" s="728"/>
      <c r="B192" s="28">
        <v>45474.0</v>
      </c>
      <c r="C192" s="29">
        <v>7.3</v>
      </c>
      <c r="D192" s="29">
        <v>17.0</v>
      </c>
      <c r="E192" s="42" t="s">
        <v>21</v>
      </c>
      <c r="F192" s="42" t="s">
        <v>22</v>
      </c>
      <c r="G192" s="39">
        <v>8.75</v>
      </c>
      <c r="H192" s="41">
        <v>1.0</v>
      </c>
      <c r="I192" s="736"/>
      <c r="J192" s="736"/>
      <c r="K192" s="729"/>
      <c r="L192" s="734"/>
      <c r="O192" s="31">
        <f>P191-O191</f>
        <v>76</v>
      </c>
    </row>
    <row r="193">
      <c r="B193" s="28">
        <v>45475.0</v>
      </c>
      <c r="C193" s="29">
        <v>7.3</v>
      </c>
      <c r="D193" s="29">
        <v>17.0</v>
      </c>
      <c r="E193" s="42" t="s">
        <v>21</v>
      </c>
      <c r="F193" s="42" t="s">
        <v>22</v>
      </c>
      <c r="G193" s="39">
        <v>8.75</v>
      </c>
      <c r="H193" s="41">
        <v>1.0</v>
      </c>
    </row>
    <row r="194">
      <c r="B194" s="28">
        <v>45476.0</v>
      </c>
      <c r="C194" s="29">
        <v>7.3</v>
      </c>
      <c r="D194" s="29">
        <v>17.0</v>
      </c>
      <c r="E194" s="42" t="s">
        <v>21</v>
      </c>
      <c r="F194" s="42" t="s">
        <v>22</v>
      </c>
      <c r="G194" s="39">
        <v>8.75</v>
      </c>
      <c r="H194" s="41">
        <v>1.0</v>
      </c>
    </row>
    <row r="195">
      <c r="B195" s="28">
        <v>45477.0</v>
      </c>
      <c r="C195" s="29">
        <v>7.3</v>
      </c>
      <c r="D195" s="29">
        <v>17.0</v>
      </c>
      <c r="E195" s="42" t="s">
        <v>21</v>
      </c>
      <c r="F195" s="42" t="s">
        <v>22</v>
      </c>
      <c r="G195" s="39">
        <v>8.75</v>
      </c>
      <c r="H195" s="41">
        <v>1.0</v>
      </c>
    </row>
    <row r="196">
      <c r="B196" s="28">
        <v>45478.0</v>
      </c>
      <c r="C196" s="29">
        <v>7.3</v>
      </c>
      <c r="D196" s="39">
        <v>16.0</v>
      </c>
      <c r="E196" s="40" t="s">
        <v>21</v>
      </c>
      <c r="F196" s="42" t="s">
        <v>36</v>
      </c>
      <c r="G196" s="39">
        <v>8.5</v>
      </c>
      <c r="H196" s="41">
        <v>3.75</v>
      </c>
    </row>
    <row r="197">
      <c r="A197" s="2"/>
      <c r="B197" s="3" t="s">
        <v>7</v>
      </c>
      <c r="C197" s="14"/>
      <c r="D197" s="14"/>
      <c r="E197" s="15"/>
      <c r="F197" s="6"/>
      <c r="G197" s="735">
        <f>G192+G193+G194+G195+G196</f>
        <v>43.5</v>
      </c>
    </row>
    <row r="198">
      <c r="B198" s="28">
        <v>45481.0</v>
      </c>
      <c r="C198" s="29">
        <v>7.3</v>
      </c>
      <c r="D198" s="29">
        <v>17.0</v>
      </c>
      <c r="E198" s="42" t="s">
        <v>21</v>
      </c>
      <c r="F198" s="42" t="s">
        <v>22</v>
      </c>
      <c r="G198" s="39">
        <v>8.75</v>
      </c>
      <c r="H198" s="41">
        <v>1.0</v>
      </c>
    </row>
    <row r="199">
      <c r="B199" s="28">
        <v>45482.0</v>
      </c>
      <c r="C199" s="29">
        <v>7.3</v>
      </c>
      <c r="D199" s="29">
        <v>17.0</v>
      </c>
      <c r="E199" s="42" t="s">
        <v>21</v>
      </c>
      <c r="F199" s="42" t="s">
        <v>22</v>
      </c>
      <c r="G199" s="39">
        <v>8.75</v>
      </c>
      <c r="H199" s="41">
        <v>1.0</v>
      </c>
    </row>
    <row r="200">
      <c r="B200" s="28">
        <v>45483.0</v>
      </c>
      <c r="C200" s="29">
        <v>7.3</v>
      </c>
      <c r="D200" s="29">
        <v>17.0</v>
      </c>
      <c r="E200" s="42" t="s">
        <v>21</v>
      </c>
      <c r="F200" s="42" t="s">
        <v>22</v>
      </c>
      <c r="G200" s="39">
        <v>8.75</v>
      </c>
      <c r="H200" s="41">
        <v>1.0</v>
      </c>
    </row>
    <row r="201">
      <c r="B201" s="28">
        <v>45484.0</v>
      </c>
      <c r="C201" s="29">
        <v>7.3</v>
      </c>
      <c r="D201" s="29">
        <v>17.0</v>
      </c>
      <c r="E201" s="42" t="s">
        <v>21</v>
      </c>
      <c r="F201" s="42" t="s">
        <v>22</v>
      </c>
      <c r="G201" s="39">
        <v>8.75</v>
      </c>
      <c r="H201" s="41">
        <v>1.0</v>
      </c>
    </row>
    <row r="202">
      <c r="B202" s="28">
        <v>45485.0</v>
      </c>
      <c r="C202" s="29">
        <v>7.3</v>
      </c>
      <c r="D202" s="39">
        <v>16.0</v>
      </c>
      <c r="E202" s="40" t="s">
        <v>21</v>
      </c>
      <c r="F202" s="42" t="s">
        <v>36</v>
      </c>
      <c r="G202" s="39">
        <v>8.5</v>
      </c>
      <c r="H202" s="41">
        <v>3.75</v>
      </c>
    </row>
    <row r="203">
      <c r="A203" s="2"/>
      <c r="B203" s="3" t="s">
        <v>7</v>
      </c>
      <c r="C203" s="14"/>
      <c r="D203" s="14"/>
      <c r="E203" s="15"/>
      <c r="F203" s="6"/>
      <c r="G203" s="735">
        <f>G198+G199+G200+G201+G202</f>
        <v>43.5</v>
      </c>
    </row>
    <row r="204">
      <c r="B204" s="28">
        <v>45488.0</v>
      </c>
      <c r="C204" s="29">
        <v>7.3</v>
      </c>
      <c r="D204" s="29">
        <v>17.0</v>
      </c>
      <c r="E204" s="30" t="s">
        <v>3</v>
      </c>
      <c r="F204" s="30" t="s">
        <v>4</v>
      </c>
      <c r="G204" s="29">
        <v>7.75</v>
      </c>
    </row>
    <row r="205">
      <c r="B205" s="28">
        <v>45489.0</v>
      </c>
      <c r="C205" s="29">
        <v>7.3</v>
      </c>
      <c r="D205" s="29">
        <v>17.0</v>
      </c>
      <c r="E205" s="30" t="s">
        <v>3</v>
      </c>
      <c r="F205" s="30" t="s">
        <v>4</v>
      </c>
      <c r="G205" s="29">
        <v>7.75</v>
      </c>
    </row>
    <row r="206">
      <c r="B206" s="28">
        <v>45490.0</v>
      </c>
      <c r="C206" s="29">
        <v>7.3</v>
      </c>
      <c r="D206" s="29">
        <v>17.0</v>
      </c>
      <c r="E206" s="30" t="s">
        <v>3</v>
      </c>
      <c r="F206" s="30" t="s">
        <v>4</v>
      </c>
      <c r="G206" s="29">
        <v>7.75</v>
      </c>
    </row>
    <row r="207">
      <c r="B207" s="28">
        <v>45491.0</v>
      </c>
      <c r="C207" s="29">
        <v>7.3</v>
      </c>
      <c r="D207" s="29">
        <v>17.0</v>
      </c>
      <c r="E207" s="30" t="s">
        <v>3</v>
      </c>
      <c r="F207" s="30" t="s">
        <v>4</v>
      </c>
      <c r="G207" s="29">
        <v>7.75</v>
      </c>
    </row>
    <row r="208">
      <c r="B208" s="28">
        <v>45492.0</v>
      </c>
      <c r="C208" s="29">
        <v>7.3</v>
      </c>
      <c r="D208" s="29">
        <v>11.3</v>
      </c>
      <c r="E208" s="32" t="s">
        <v>5</v>
      </c>
      <c r="F208" s="32" t="s">
        <v>6</v>
      </c>
      <c r="G208" s="29">
        <v>4.0</v>
      </c>
    </row>
    <row r="209">
      <c r="A209" s="2"/>
      <c r="B209" s="3" t="s">
        <v>7</v>
      </c>
      <c r="C209" s="14"/>
      <c r="D209" s="14"/>
      <c r="E209" s="15"/>
      <c r="F209" s="6"/>
      <c r="G209" s="735">
        <f>G204+G205+G206+G207+G208</f>
        <v>35</v>
      </c>
    </row>
    <row r="210">
      <c r="B210" s="28">
        <v>45495.0</v>
      </c>
      <c r="C210" s="29">
        <v>7.3</v>
      </c>
      <c r="D210" s="29">
        <v>17.0</v>
      </c>
      <c r="E210" s="30" t="s">
        <v>3</v>
      </c>
      <c r="F210" s="30" t="s">
        <v>4</v>
      </c>
      <c r="G210" s="29">
        <v>7.75</v>
      </c>
    </row>
    <row r="211">
      <c r="B211" s="28">
        <v>45496.0</v>
      </c>
      <c r="C211" s="29">
        <v>7.3</v>
      </c>
      <c r="D211" s="29">
        <v>17.0</v>
      </c>
      <c r="E211" s="30" t="s">
        <v>3</v>
      </c>
      <c r="F211" s="30" t="s">
        <v>4</v>
      </c>
      <c r="G211" s="29">
        <v>7.75</v>
      </c>
    </row>
    <row r="212">
      <c r="B212" s="28">
        <v>45497.0</v>
      </c>
      <c r="C212" s="29">
        <v>7.3</v>
      </c>
      <c r="D212" s="29">
        <v>17.0</v>
      </c>
      <c r="E212" s="30" t="s">
        <v>3</v>
      </c>
      <c r="F212" s="30" t="s">
        <v>4</v>
      </c>
      <c r="G212" s="29">
        <v>7.75</v>
      </c>
    </row>
    <row r="213">
      <c r="B213" s="28">
        <v>45498.0</v>
      </c>
      <c r="C213" s="29">
        <v>7.3</v>
      </c>
      <c r="D213" s="29">
        <v>17.0</v>
      </c>
      <c r="E213" s="30" t="s">
        <v>3</v>
      </c>
      <c r="F213" s="30" t="s">
        <v>4</v>
      </c>
      <c r="G213" s="29">
        <v>7.75</v>
      </c>
    </row>
    <row r="214">
      <c r="B214" s="28">
        <v>45499.0</v>
      </c>
      <c r="C214" s="29">
        <v>7.3</v>
      </c>
      <c r="D214" s="29">
        <v>11.3</v>
      </c>
      <c r="E214" s="32" t="s">
        <v>5</v>
      </c>
      <c r="F214" s="32" t="s">
        <v>6</v>
      </c>
      <c r="G214" s="29">
        <v>4.0</v>
      </c>
    </row>
    <row r="215">
      <c r="A215" s="2"/>
      <c r="B215" s="3" t="s">
        <v>7</v>
      </c>
      <c r="C215" s="14"/>
      <c r="D215" s="14"/>
      <c r="E215" s="15"/>
      <c r="F215" s="6"/>
      <c r="G215" s="735">
        <f>G210+G211+G212+G213+G214</f>
        <v>35</v>
      </c>
    </row>
    <row r="216">
      <c r="B216" s="28">
        <v>45502.0</v>
      </c>
      <c r="C216" s="29">
        <v>7.3</v>
      </c>
      <c r="D216" s="29">
        <v>17.0</v>
      </c>
      <c r="E216" s="30" t="s">
        <v>3</v>
      </c>
      <c r="F216" s="30" t="s">
        <v>4</v>
      </c>
      <c r="G216" s="29">
        <v>7.75</v>
      </c>
    </row>
    <row r="217">
      <c r="B217" s="28">
        <v>45503.0</v>
      </c>
      <c r="C217" s="29">
        <v>7.3</v>
      </c>
      <c r="D217" s="29">
        <v>17.0</v>
      </c>
      <c r="E217" s="30" t="s">
        <v>3</v>
      </c>
      <c r="F217" s="30" t="s">
        <v>4</v>
      </c>
      <c r="G217" s="29">
        <v>7.75</v>
      </c>
    </row>
    <row r="218">
      <c r="B218" s="28">
        <v>45504.0</v>
      </c>
      <c r="C218" s="29">
        <v>7.3</v>
      </c>
      <c r="D218" s="29">
        <v>17.0</v>
      </c>
      <c r="E218" s="30" t="s">
        <v>3</v>
      </c>
      <c r="F218" s="30" t="s">
        <v>4</v>
      </c>
      <c r="G218" s="29">
        <v>7.75</v>
      </c>
    </row>
    <row r="219">
      <c r="A219" s="2"/>
      <c r="B219" s="3" t="s">
        <v>7</v>
      </c>
      <c r="C219" s="14"/>
      <c r="D219" s="14"/>
      <c r="E219" s="15"/>
      <c r="F219" s="6"/>
      <c r="G219" s="735">
        <f>SUM(G216:G218)</f>
        <v>23.25</v>
      </c>
      <c r="K219" s="8"/>
      <c r="N219" s="9" t="s">
        <v>9</v>
      </c>
      <c r="O219" s="10" t="s">
        <v>10</v>
      </c>
      <c r="P219" s="11" t="s">
        <v>11</v>
      </c>
      <c r="Q219" s="10" t="s">
        <v>1</v>
      </c>
    </row>
    <row r="220">
      <c r="A220" s="12"/>
      <c r="B220" s="13" t="s">
        <v>2</v>
      </c>
      <c r="C220" s="14"/>
      <c r="D220" s="14"/>
      <c r="E220" s="15"/>
      <c r="F220" s="16"/>
      <c r="G220" s="17">
        <f>G197+G203+G209+G215+G219</f>
        <v>180.25</v>
      </c>
      <c r="H220" s="18">
        <f>H192+H193+H194+H195+H196+H198+H199+H200+H201+H202+H204+H205+H206+H207+H208+H210+H211+H212+H213+H214+H216+H217+H218</f>
        <v>15.5</v>
      </c>
      <c r="I220" s="19">
        <f>I216+I217</f>
        <v>0</v>
      </c>
      <c r="J220" s="20">
        <f>H220-I220</f>
        <v>15.5</v>
      </c>
      <c r="K220" s="21" t="s">
        <v>3480</v>
      </c>
      <c r="L220" s="22" t="s">
        <v>3481</v>
      </c>
      <c r="M220" s="23" t="s">
        <v>14</v>
      </c>
      <c r="N220" s="24">
        <v>1980.6</v>
      </c>
      <c r="O220" s="25">
        <v>1464.68</v>
      </c>
      <c r="P220" s="26">
        <v>1540.68</v>
      </c>
      <c r="Q220" s="27">
        <v>1560.88</v>
      </c>
    </row>
    <row r="221">
      <c r="A221" s="728"/>
      <c r="B221" s="28">
        <v>45505.0</v>
      </c>
      <c r="C221" s="29">
        <v>7.3</v>
      </c>
      <c r="D221" s="29">
        <v>17.0</v>
      </c>
      <c r="E221" s="30" t="s">
        <v>3</v>
      </c>
      <c r="F221" s="30" t="s">
        <v>4</v>
      </c>
      <c r="G221" s="29">
        <v>7.75</v>
      </c>
      <c r="H221" s="47"/>
      <c r="I221" s="736"/>
      <c r="J221" s="736"/>
      <c r="K221" s="729"/>
      <c r="L221" s="734"/>
      <c r="O221" s="31">
        <f>P220-O220</f>
        <v>76</v>
      </c>
    </row>
    <row r="222">
      <c r="B222" s="28">
        <v>45506.0</v>
      </c>
      <c r="C222" s="29">
        <v>7.3</v>
      </c>
      <c r="D222" s="29">
        <v>11.3</v>
      </c>
      <c r="E222" s="32" t="s">
        <v>5</v>
      </c>
      <c r="F222" s="32" t="s">
        <v>6</v>
      </c>
      <c r="G222" s="29">
        <v>4.0</v>
      </c>
    </row>
    <row r="223">
      <c r="A223" s="2"/>
      <c r="B223" s="3" t="s">
        <v>7</v>
      </c>
      <c r="C223" s="14"/>
      <c r="D223" s="14"/>
      <c r="E223" s="15"/>
      <c r="F223" s="6"/>
      <c r="G223" s="735">
        <f>SUM(G221:G222)</f>
        <v>11.75</v>
      </c>
    </row>
    <row r="224">
      <c r="B224" s="33" t="s">
        <v>3482</v>
      </c>
    </row>
    <row r="226">
      <c r="B226" s="28">
        <v>45530.0</v>
      </c>
      <c r="C226" s="29">
        <v>7.3</v>
      </c>
      <c r="D226" s="29">
        <v>17.0</v>
      </c>
      <c r="E226" s="30" t="s">
        <v>3</v>
      </c>
      <c r="F226" s="30" t="s">
        <v>4</v>
      </c>
      <c r="G226" s="29">
        <v>7.75</v>
      </c>
    </row>
    <row r="227">
      <c r="B227" s="28">
        <v>45531.0</v>
      </c>
      <c r="C227" s="29">
        <v>7.3</v>
      </c>
      <c r="D227" s="29">
        <v>17.0</v>
      </c>
      <c r="E227" s="30" t="s">
        <v>3</v>
      </c>
      <c r="F227" s="30" t="s">
        <v>4</v>
      </c>
      <c r="G227" s="29">
        <v>7.75</v>
      </c>
    </row>
    <row r="228">
      <c r="B228" s="28">
        <v>45532.0</v>
      </c>
      <c r="C228" s="29">
        <v>7.3</v>
      </c>
      <c r="D228" s="29">
        <v>17.0</v>
      </c>
      <c r="E228" s="30" t="s">
        <v>3</v>
      </c>
      <c r="F228" s="30" t="s">
        <v>4</v>
      </c>
      <c r="G228" s="29">
        <v>7.75</v>
      </c>
    </row>
    <row r="229">
      <c r="B229" s="28">
        <v>45533.0</v>
      </c>
      <c r="C229" s="29">
        <v>7.3</v>
      </c>
      <c r="D229" s="29">
        <v>17.0</v>
      </c>
      <c r="E229" s="30" t="s">
        <v>3</v>
      </c>
      <c r="F229" s="30" t="s">
        <v>4</v>
      </c>
      <c r="G229" s="29">
        <v>7.75</v>
      </c>
    </row>
    <row r="230">
      <c r="B230" s="28">
        <v>45534.0</v>
      </c>
      <c r="C230" s="29">
        <v>7.3</v>
      </c>
      <c r="D230" s="29">
        <v>11.3</v>
      </c>
      <c r="E230" s="32" t="s">
        <v>5</v>
      </c>
      <c r="F230" s="32" t="s">
        <v>6</v>
      </c>
      <c r="G230" s="29">
        <v>4.0</v>
      </c>
    </row>
    <row r="231">
      <c r="A231" s="2"/>
      <c r="B231" s="3" t="s">
        <v>7</v>
      </c>
      <c r="C231" s="14"/>
      <c r="D231" s="14"/>
      <c r="E231" s="15"/>
      <c r="F231" s="6"/>
      <c r="G231" s="735">
        <f>SUM(G228:G230)</f>
        <v>19.5</v>
      </c>
      <c r="K231" s="8"/>
      <c r="N231" s="9" t="s">
        <v>9</v>
      </c>
      <c r="O231" s="10" t="s">
        <v>10</v>
      </c>
      <c r="P231" s="11" t="s">
        <v>11</v>
      </c>
      <c r="Q231" s="10" t="s">
        <v>1</v>
      </c>
    </row>
    <row r="232">
      <c r="A232" s="12"/>
      <c r="B232" s="13" t="s">
        <v>2</v>
      </c>
      <c r="C232" s="14"/>
      <c r="D232" s="14"/>
      <c r="E232" s="15"/>
      <c r="F232" s="16"/>
      <c r="G232" s="17">
        <f>G209+G215+G221+G227+G231</f>
        <v>105</v>
      </c>
      <c r="H232" s="18"/>
      <c r="I232" s="19">
        <f>I228+I229</f>
        <v>0</v>
      </c>
      <c r="J232" s="20">
        <f>H232-I232</f>
        <v>0</v>
      </c>
      <c r="K232" s="21" t="s">
        <v>3483</v>
      </c>
      <c r="L232" s="22" t="s">
        <v>3484</v>
      </c>
      <c r="M232" s="23" t="s">
        <v>14</v>
      </c>
      <c r="N232" s="24">
        <v>2211.7</v>
      </c>
      <c r="O232" s="25">
        <v>1642.95</v>
      </c>
      <c r="P232" s="26">
        <v>1742.7</v>
      </c>
      <c r="Q232" s="27">
        <v>1611.91</v>
      </c>
    </row>
    <row r="233">
      <c r="A233" s="728"/>
      <c r="B233" s="28">
        <v>45537.0</v>
      </c>
      <c r="C233" s="29">
        <v>7.3</v>
      </c>
      <c r="D233" s="29">
        <v>17.0</v>
      </c>
      <c r="E233" s="30" t="s">
        <v>3</v>
      </c>
      <c r="F233" s="30" t="s">
        <v>4</v>
      </c>
      <c r="G233" s="29">
        <v>7.75</v>
      </c>
      <c r="H233" s="47"/>
      <c r="I233" s="736"/>
      <c r="J233" s="736"/>
      <c r="K233" s="729"/>
      <c r="L233" s="734"/>
      <c r="O233" s="31">
        <f>P232-O232</f>
        <v>99.75</v>
      </c>
    </row>
    <row r="234">
      <c r="B234" s="28">
        <v>45538.0</v>
      </c>
      <c r="C234" s="29">
        <v>7.3</v>
      </c>
      <c r="D234" s="29">
        <v>17.0</v>
      </c>
      <c r="E234" s="30" t="s">
        <v>3</v>
      </c>
      <c r="F234" s="30" t="s">
        <v>4</v>
      </c>
      <c r="G234" s="29">
        <v>7.75</v>
      </c>
    </row>
    <row r="235">
      <c r="B235" s="28">
        <v>45539.0</v>
      </c>
      <c r="C235" s="29">
        <v>7.3</v>
      </c>
      <c r="D235" s="29">
        <v>17.0</v>
      </c>
      <c r="E235" s="30" t="s">
        <v>3</v>
      </c>
      <c r="F235" s="30" t="s">
        <v>4</v>
      </c>
      <c r="G235" s="29">
        <v>7.75</v>
      </c>
    </row>
    <row r="236">
      <c r="B236" s="28">
        <v>45540.0</v>
      </c>
      <c r="C236" s="29">
        <v>7.3</v>
      </c>
      <c r="D236" s="29">
        <v>17.0</v>
      </c>
      <c r="E236" s="30" t="s">
        <v>3</v>
      </c>
      <c r="F236" s="30" t="s">
        <v>4</v>
      </c>
      <c r="G236" s="29">
        <v>7.75</v>
      </c>
    </row>
    <row r="237">
      <c r="B237" s="28">
        <v>45541.0</v>
      </c>
      <c r="C237" s="29">
        <v>7.3</v>
      </c>
      <c r="D237" s="29">
        <v>11.3</v>
      </c>
      <c r="E237" s="32" t="s">
        <v>5</v>
      </c>
      <c r="F237" s="32" t="s">
        <v>6</v>
      </c>
      <c r="G237" s="29">
        <v>4.0</v>
      </c>
    </row>
    <row r="238">
      <c r="A238" s="2"/>
      <c r="B238" s="3" t="s">
        <v>7</v>
      </c>
      <c r="C238" s="14"/>
      <c r="D238" s="14"/>
      <c r="E238" s="15"/>
      <c r="F238" s="6"/>
      <c r="G238" s="735">
        <f>G233+G234+G235+G236+G237</f>
        <v>35</v>
      </c>
    </row>
    <row r="239">
      <c r="B239" s="28">
        <v>45544.0</v>
      </c>
      <c r="C239" s="29">
        <v>7.3</v>
      </c>
      <c r="D239" s="29">
        <v>17.0</v>
      </c>
      <c r="E239" s="30" t="s">
        <v>3</v>
      </c>
      <c r="F239" s="30" t="s">
        <v>4</v>
      </c>
      <c r="G239" s="29">
        <v>7.75</v>
      </c>
    </row>
    <row r="240">
      <c r="B240" s="28">
        <v>45545.0</v>
      </c>
      <c r="C240" s="29">
        <v>7.3</v>
      </c>
      <c r="D240" s="29">
        <v>17.0</v>
      </c>
      <c r="E240" s="30" t="s">
        <v>3</v>
      </c>
      <c r="F240" s="30" t="s">
        <v>4</v>
      </c>
      <c r="G240" s="29">
        <v>7.75</v>
      </c>
    </row>
    <row r="241">
      <c r="B241" s="28">
        <v>45546.0</v>
      </c>
      <c r="C241" s="29">
        <v>7.3</v>
      </c>
      <c r="D241" s="29">
        <v>17.0</v>
      </c>
      <c r="E241" s="30" t="s">
        <v>3</v>
      </c>
      <c r="F241" s="30" t="s">
        <v>4</v>
      </c>
      <c r="G241" s="29">
        <v>7.75</v>
      </c>
    </row>
    <row r="242">
      <c r="B242" s="28">
        <v>45547.0</v>
      </c>
      <c r="C242" s="29">
        <v>7.3</v>
      </c>
      <c r="D242" s="29">
        <v>17.0</v>
      </c>
      <c r="E242" s="30" t="s">
        <v>3</v>
      </c>
      <c r="F242" s="30" t="s">
        <v>4</v>
      </c>
      <c r="G242" s="29">
        <v>7.75</v>
      </c>
    </row>
    <row r="243">
      <c r="B243" s="28">
        <v>45548.0</v>
      </c>
      <c r="C243" s="29">
        <v>7.3</v>
      </c>
      <c r="D243" s="29">
        <v>11.3</v>
      </c>
      <c r="E243" s="32" t="s">
        <v>5</v>
      </c>
      <c r="F243" s="32" t="s">
        <v>6</v>
      </c>
      <c r="G243" s="29">
        <v>4.0</v>
      </c>
    </row>
    <row r="244">
      <c r="A244" s="2"/>
      <c r="B244" s="3" t="s">
        <v>7</v>
      </c>
      <c r="C244" s="14"/>
      <c r="D244" s="14"/>
      <c r="E244" s="15"/>
      <c r="F244" s="6"/>
      <c r="G244" s="735">
        <f>G239+G240+G241+G242+G243</f>
        <v>35</v>
      </c>
    </row>
    <row r="245">
      <c r="B245" s="28">
        <v>45551.0</v>
      </c>
      <c r="C245" s="29">
        <v>7.3</v>
      </c>
      <c r="D245" s="29">
        <v>17.0</v>
      </c>
      <c r="E245" s="30" t="s">
        <v>3</v>
      </c>
      <c r="F245" s="30" t="s">
        <v>4</v>
      </c>
      <c r="G245" s="29">
        <v>7.75</v>
      </c>
    </row>
    <row r="246">
      <c r="B246" s="28">
        <v>45552.0</v>
      </c>
      <c r="C246" s="29">
        <v>7.3</v>
      </c>
      <c r="D246" s="29">
        <v>17.0</v>
      </c>
      <c r="E246" s="30" t="s">
        <v>3</v>
      </c>
      <c r="F246" s="30" t="s">
        <v>4</v>
      </c>
      <c r="G246" s="29">
        <v>7.75</v>
      </c>
    </row>
    <row r="247">
      <c r="B247" s="28">
        <v>45553.0</v>
      </c>
      <c r="C247" s="29">
        <v>7.3</v>
      </c>
      <c r="D247" s="29">
        <v>17.0</v>
      </c>
      <c r="E247" s="30" t="s">
        <v>3</v>
      </c>
      <c r="F247" s="30" t="s">
        <v>4</v>
      </c>
      <c r="G247" s="29">
        <v>7.75</v>
      </c>
    </row>
    <row r="248">
      <c r="B248" s="28">
        <v>45554.0</v>
      </c>
      <c r="C248" s="29">
        <v>7.3</v>
      </c>
      <c r="D248" s="29">
        <v>17.0</v>
      </c>
      <c r="E248" s="30" t="s">
        <v>3</v>
      </c>
      <c r="F248" s="30" t="s">
        <v>4</v>
      </c>
      <c r="G248" s="29">
        <v>7.75</v>
      </c>
    </row>
    <row r="249">
      <c r="B249" s="28">
        <v>45555.0</v>
      </c>
      <c r="C249" s="29">
        <v>7.3</v>
      </c>
      <c r="D249" s="29">
        <v>11.3</v>
      </c>
      <c r="E249" s="32" t="s">
        <v>5</v>
      </c>
      <c r="F249" s="32" t="s">
        <v>6</v>
      </c>
      <c r="G249" s="29">
        <v>4.0</v>
      </c>
    </row>
    <row r="250">
      <c r="A250" s="2"/>
      <c r="B250" s="3" t="s">
        <v>7</v>
      </c>
      <c r="C250" s="14"/>
      <c r="D250" s="14"/>
      <c r="E250" s="15"/>
      <c r="F250" s="6"/>
      <c r="G250" s="735">
        <f>G245+G246+G247+G248+G249</f>
        <v>35</v>
      </c>
    </row>
    <row r="251">
      <c r="B251" s="28">
        <v>45558.0</v>
      </c>
      <c r="C251" s="29">
        <v>7.3</v>
      </c>
      <c r="D251" s="29">
        <v>17.0</v>
      </c>
      <c r="E251" s="30" t="s">
        <v>3</v>
      </c>
      <c r="F251" s="30" t="s">
        <v>4</v>
      </c>
      <c r="G251" s="29">
        <v>7.75</v>
      </c>
    </row>
    <row r="252">
      <c r="B252" s="28">
        <v>45559.0</v>
      </c>
      <c r="C252" s="29">
        <v>7.3</v>
      </c>
      <c r="D252" s="29">
        <v>17.0</v>
      </c>
      <c r="E252" s="30" t="s">
        <v>3</v>
      </c>
      <c r="F252" s="30" t="s">
        <v>4</v>
      </c>
      <c r="G252" s="29">
        <v>7.75</v>
      </c>
    </row>
    <row r="253">
      <c r="B253" s="28">
        <v>45560.0</v>
      </c>
      <c r="C253" s="29">
        <v>7.3</v>
      </c>
      <c r="D253" s="29">
        <v>17.0</v>
      </c>
      <c r="E253" s="30" t="s">
        <v>3</v>
      </c>
      <c r="F253" s="30" t="s">
        <v>4</v>
      </c>
      <c r="G253" s="29">
        <v>7.75</v>
      </c>
    </row>
    <row r="254">
      <c r="B254" s="28">
        <v>45561.0</v>
      </c>
      <c r="C254" s="29">
        <v>7.3</v>
      </c>
      <c r="D254" s="29">
        <v>17.0</v>
      </c>
      <c r="E254" s="30" t="s">
        <v>3</v>
      </c>
      <c r="F254" s="30" t="s">
        <v>4</v>
      </c>
      <c r="G254" s="29">
        <v>7.75</v>
      </c>
    </row>
    <row r="255">
      <c r="B255" s="28">
        <v>45562.0</v>
      </c>
      <c r="C255" s="742" t="s">
        <v>3485</v>
      </c>
      <c r="L255" s="738" t="s">
        <v>3486</v>
      </c>
    </row>
    <row r="256">
      <c r="A256" s="2"/>
      <c r="B256" s="3" t="s">
        <v>7</v>
      </c>
      <c r="C256" s="14"/>
      <c r="D256" s="14"/>
      <c r="E256" s="15"/>
      <c r="F256" s="6"/>
      <c r="G256" s="735">
        <f>G251+G252+G253+G254+G255</f>
        <v>31</v>
      </c>
    </row>
    <row r="257">
      <c r="B257" s="28">
        <v>45565.0</v>
      </c>
      <c r="C257" s="29">
        <v>7.3</v>
      </c>
      <c r="D257" s="29">
        <v>17.0</v>
      </c>
      <c r="E257" s="30" t="s">
        <v>3</v>
      </c>
      <c r="F257" s="30" t="s">
        <v>4</v>
      </c>
      <c r="G257" s="29">
        <v>7.75</v>
      </c>
    </row>
    <row r="258">
      <c r="A258" s="2"/>
      <c r="B258" s="3" t="s">
        <v>7</v>
      </c>
      <c r="C258" s="14"/>
      <c r="D258" s="14"/>
      <c r="E258" s="15"/>
      <c r="F258" s="6"/>
      <c r="G258" s="735">
        <f>SUM(G255:G257)</f>
        <v>38.75</v>
      </c>
      <c r="K258" s="8"/>
      <c r="N258" s="9" t="s">
        <v>9</v>
      </c>
      <c r="O258" s="10" t="s">
        <v>10</v>
      </c>
      <c r="P258" s="11" t="s">
        <v>11</v>
      </c>
      <c r="Q258" s="10" t="s">
        <v>1</v>
      </c>
    </row>
    <row r="259">
      <c r="A259" s="12"/>
      <c r="B259" s="13" t="s">
        <v>2</v>
      </c>
      <c r="C259" s="14"/>
      <c r="D259" s="14"/>
      <c r="E259" s="15"/>
      <c r="F259" s="16"/>
      <c r="G259" s="17">
        <f>G236+G242+G248+G254+G258</f>
        <v>69.75</v>
      </c>
      <c r="H259" s="18"/>
      <c r="I259" s="19">
        <f>I255+I256</f>
        <v>0</v>
      </c>
      <c r="J259" s="20">
        <f>H259-I259</f>
        <v>0</v>
      </c>
      <c r="K259" s="21" t="s">
        <v>3487</v>
      </c>
      <c r="L259" s="22" t="s">
        <v>13</v>
      </c>
      <c r="M259" s="23" t="s">
        <v>14</v>
      </c>
      <c r="N259" s="24">
        <v>1864.06</v>
      </c>
      <c r="O259" s="25">
        <v>1416.22</v>
      </c>
      <c r="P259" s="26">
        <v>1439.97</v>
      </c>
      <c r="Q259" s="27">
        <v>1526.48</v>
      </c>
    </row>
    <row r="260">
      <c r="A260" s="728"/>
      <c r="B260" s="28">
        <v>45566.0</v>
      </c>
      <c r="C260" s="29">
        <v>7.3</v>
      </c>
      <c r="D260" s="29">
        <v>17.0</v>
      </c>
      <c r="E260" s="30" t="s">
        <v>3</v>
      </c>
      <c r="F260" s="30" t="s">
        <v>4</v>
      </c>
      <c r="G260" s="29">
        <v>7.75</v>
      </c>
      <c r="H260" s="47"/>
      <c r="I260" s="736"/>
      <c r="J260" s="736"/>
      <c r="K260" s="729"/>
      <c r="L260" s="734"/>
      <c r="O260" s="31">
        <f>P259-O259</f>
        <v>23.75</v>
      </c>
    </row>
    <row r="261">
      <c r="B261" s="28">
        <v>45567.0</v>
      </c>
      <c r="C261" s="29">
        <v>7.3</v>
      </c>
      <c r="D261" s="29">
        <v>17.0</v>
      </c>
      <c r="E261" s="30" t="s">
        <v>3</v>
      </c>
      <c r="F261" s="30" t="s">
        <v>4</v>
      </c>
      <c r="G261" s="29">
        <v>7.75</v>
      </c>
    </row>
    <row r="262">
      <c r="B262" s="28">
        <v>45568.0</v>
      </c>
      <c r="C262" s="29">
        <v>7.3</v>
      </c>
      <c r="D262" s="29">
        <v>17.0</v>
      </c>
      <c r="E262" s="30" t="s">
        <v>3</v>
      </c>
      <c r="F262" s="30" t="s">
        <v>4</v>
      </c>
      <c r="G262" s="29">
        <v>7.75</v>
      </c>
    </row>
    <row r="263">
      <c r="B263" s="28">
        <v>45569.0</v>
      </c>
      <c r="C263" s="29">
        <v>7.3</v>
      </c>
      <c r="D263" s="29">
        <v>17.0</v>
      </c>
      <c r="E263" s="30" t="s">
        <v>3</v>
      </c>
      <c r="F263" s="30" t="s">
        <v>4</v>
      </c>
      <c r="G263" s="29">
        <v>7.75</v>
      </c>
    </row>
    <row r="264">
      <c r="A264" s="2"/>
      <c r="B264" s="3" t="s">
        <v>7</v>
      </c>
      <c r="C264" s="14"/>
      <c r="D264" s="14"/>
      <c r="E264" s="15"/>
      <c r="F264" s="6"/>
      <c r="G264" s="735">
        <f>G259+G260+G261+G262+G263</f>
        <v>100.75</v>
      </c>
    </row>
    <row r="265">
      <c r="B265" s="28">
        <v>45572.0</v>
      </c>
      <c r="C265" s="29">
        <v>7.3</v>
      </c>
      <c r="D265" s="29">
        <v>17.0</v>
      </c>
      <c r="E265" s="30" t="s">
        <v>3</v>
      </c>
      <c r="F265" s="30" t="s">
        <v>4</v>
      </c>
      <c r="G265" s="29">
        <v>7.75</v>
      </c>
    </row>
    <row r="266">
      <c r="B266" s="28">
        <v>45573.0</v>
      </c>
      <c r="C266" s="29">
        <v>7.3</v>
      </c>
      <c r="D266" s="29">
        <v>17.0</v>
      </c>
      <c r="E266" s="30" t="s">
        <v>3</v>
      </c>
      <c r="F266" s="30" t="s">
        <v>4</v>
      </c>
      <c r="G266" s="29">
        <v>7.75</v>
      </c>
    </row>
    <row r="267">
      <c r="B267" s="28">
        <v>45574.0</v>
      </c>
      <c r="C267" s="29">
        <v>7.3</v>
      </c>
      <c r="D267" s="29">
        <v>17.0</v>
      </c>
      <c r="E267" s="30" t="s">
        <v>3</v>
      </c>
      <c r="F267" s="30" t="s">
        <v>4</v>
      </c>
      <c r="G267" s="29">
        <v>7.75</v>
      </c>
    </row>
    <row r="268">
      <c r="B268" s="28">
        <v>45575.0</v>
      </c>
      <c r="C268" s="29">
        <v>7.3</v>
      </c>
      <c r="D268" s="29">
        <v>17.0</v>
      </c>
      <c r="E268" s="30" t="s">
        <v>3</v>
      </c>
      <c r="F268" s="30" t="s">
        <v>4</v>
      </c>
      <c r="G268" s="29">
        <v>7.75</v>
      </c>
    </row>
    <row r="269">
      <c r="B269" s="28">
        <v>45576.0</v>
      </c>
      <c r="C269" s="29">
        <v>7.3</v>
      </c>
      <c r="D269" s="29">
        <v>11.3</v>
      </c>
      <c r="E269" s="32" t="s">
        <v>5</v>
      </c>
      <c r="F269" s="32" t="s">
        <v>6</v>
      </c>
      <c r="G269" s="29">
        <v>4.0</v>
      </c>
    </row>
    <row r="270">
      <c r="A270" s="743"/>
      <c r="B270" s="3" t="s">
        <v>7</v>
      </c>
      <c r="C270" s="14"/>
      <c r="D270" s="14"/>
      <c r="E270" s="15"/>
      <c r="F270" s="6"/>
      <c r="G270" s="7">
        <f>G265+G266+G267+G268+G269</f>
        <v>35</v>
      </c>
    </row>
    <row r="271">
      <c r="B271" s="28">
        <v>45579.0</v>
      </c>
      <c r="C271" s="29">
        <v>7.3</v>
      </c>
      <c r="D271" s="29">
        <v>17.0</v>
      </c>
      <c r="E271" s="30" t="s">
        <v>3</v>
      </c>
      <c r="F271" s="30" t="s">
        <v>4</v>
      </c>
      <c r="G271" s="29">
        <v>7.75</v>
      </c>
    </row>
    <row r="272">
      <c r="B272" s="28">
        <v>45580.0</v>
      </c>
      <c r="C272" s="29">
        <v>7.3</v>
      </c>
      <c r="D272" s="29">
        <v>17.0</v>
      </c>
      <c r="E272" s="30" t="s">
        <v>3</v>
      </c>
      <c r="F272" s="30" t="s">
        <v>4</v>
      </c>
      <c r="G272" s="29">
        <v>7.75</v>
      </c>
    </row>
    <row r="273">
      <c r="B273" s="28">
        <v>45581.0</v>
      </c>
      <c r="C273" s="29">
        <v>7.3</v>
      </c>
      <c r="D273" s="29">
        <v>17.0</v>
      </c>
      <c r="E273" s="30" t="s">
        <v>3</v>
      </c>
      <c r="F273" s="30" t="s">
        <v>4</v>
      </c>
      <c r="G273" s="29">
        <v>7.75</v>
      </c>
    </row>
    <row r="274">
      <c r="B274" s="28">
        <v>45582.0</v>
      </c>
      <c r="C274" s="29">
        <v>7.3</v>
      </c>
      <c r="D274" s="29">
        <v>17.0</v>
      </c>
      <c r="E274" s="30" t="s">
        <v>3</v>
      </c>
      <c r="F274" s="42" t="s">
        <v>3488</v>
      </c>
      <c r="G274" s="39">
        <v>5.75</v>
      </c>
      <c r="I274" s="35">
        <v>-2.0</v>
      </c>
      <c r="L274" s="51" t="s">
        <v>3489</v>
      </c>
    </row>
    <row r="275">
      <c r="B275" s="28">
        <v>45583.0</v>
      </c>
      <c r="C275" s="29">
        <v>7.3</v>
      </c>
      <c r="D275" s="29">
        <v>11.3</v>
      </c>
      <c r="E275" s="32" t="s">
        <v>5</v>
      </c>
      <c r="F275" s="32" t="s">
        <v>6</v>
      </c>
      <c r="G275" s="29">
        <v>4.0</v>
      </c>
    </row>
    <row r="276">
      <c r="A276" s="743"/>
      <c r="B276" s="3" t="s">
        <v>7</v>
      </c>
      <c r="C276" s="14"/>
      <c r="D276" s="14"/>
      <c r="E276" s="15"/>
      <c r="F276" s="6"/>
      <c r="G276" s="7">
        <f>G271+G272+G273+G274+G275</f>
        <v>33</v>
      </c>
    </row>
    <row r="277">
      <c r="B277" s="28">
        <v>45586.0</v>
      </c>
      <c r="C277" s="29">
        <v>7.3</v>
      </c>
      <c r="D277" s="29">
        <v>17.0</v>
      </c>
      <c r="E277" s="30" t="s">
        <v>3</v>
      </c>
      <c r="F277" s="30" t="s">
        <v>4</v>
      </c>
      <c r="G277" s="29">
        <v>7.75</v>
      </c>
    </row>
    <row r="278">
      <c r="B278" s="28">
        <v>45587.0</v>
      </c>
      <c r="C278" s="29">
        <v>7.3</v>
      </c>
      <c r="D278" s="29">
        <v>17.0</v>
      </c>
      <c r="E278" s="30" t="s">
        <v>3</v>
      </c>
      <c r="F278" s="30" t="s">
        <v>4</v>
      </c>
      <c r="G278" s="29">
        <v>7.75</v>
      </c>
    </row>
    <row r="279">
      <c r="B279" s="28">
        <v>45588.0</v>
      </c>
      <c r="C279" s="29">
        <v>7.3</v>
      </c>
      <c r="D279" s="29">
        <v>17.0</v>
      </c>
      <c r="E279" s="30" t="s">
        <v>3</v>
      </c>
      <c r="F279" s="30" t="s">
        <v>4</v>
      </c>
      <c r="G279" s="29">
        <v>7.75</v>
      </c>
    </row>
    <row r="280">
      <c r="B280" s="28">
        <v>45589.0</v>
      </c>
      <c r="C280" s="29">
        <v>7.3</v>
      </c>
      <c r="D280" s="29">
        <v>17.0</v>
      </c>
      <c r="E280" s="30" t="s">
        <v>3</v>
      </c>
      <c r="F280" s="30" t="s">
        <v>4</v>
      </c>
      <c r="G280" s="29">
        <v>7.75</v>
      </c>
    </row>
    <row r="281">
      <c r="B281" s="28">
        <v>45590.0</v>
      </c>
      <c r="C281" s="29">
        <v>7.3</v>
      </c>
      <c r="D281" s="29">
        <v>11.3</v>
      </c>
      <c r="E281" s="32" t="s">
        <v>5</v>
      </c>
      <c r="F281" s="32" t="s">
        <v>6</v>
      </c>
      <c r="G281" s="29">
        <v>4.0</v>
      </c>
    </row>
    <row r="282">
      <c r="A282" s="743"/>
      <c r="B282" s="3" t="s">
        <v>7</v>
      </c>
      <c r="C282" s="14"/>
      <c r="D282" s="14"/>
      <c r="E282" s="15"/>
      <c r="F282" s="6"/>
      <c r="G282" s="7">
        <f>G277+G278+G279+G280+G281</f>
        <v>35</v>
      </c>
    </row>
    <row r="283">
      <c r="B283" s="28">
        <v>45593.0</v>
      </c>
      <c r="C283" s="29">
        <v>7.3</v>
      </c>
      <c r="D283" s="29">
        <v>17.0</v>
      </c>
      <c r="E283" s="30" t="s">
        <v>3</v>
      </c>
      <c r="F283" s="30" t="s">
        <v>4</v>
      </c>
      <c r="G283" s="29">
        <v>7.75</v>
      </c>
    </row>
    <row r="284">
      <c r="B284" s="28">
        <v>45594.0</v>
      </c>
      <c r="C284" s="29">
        <v>7.3</v>
      </c>
      <c r="D284" s="29">
        <v>17.0</v>
      </c>
      <c r="E284" s="30" t="s">
        <v>3</v>
      </c>
      <c r="F284" s="30" t="s">
        <v>4</v>
      </c>
      <c r="G284" s="29">
        <v>7.75</v>
      </c>
    </row>
    <row r="285">
      <c r="B285" s="28">
        <v>45595.0</v>
      </c>
      <c r="C285" s="29">
        <v>7.3</v>
      </c>
      <c r="D285" s="29">
        <v>17.0</v>
      </c>
      <c r="E285" s="30" t="s">
        <v>3</v>
      </c>
      <c r="F285" s="30" t="s">
        <v>4</v>
      </c>
      <c r="G285" s="29">
        <v>7.75</v>
      </c>
    </row>
    <row r="286">
      <c r="B286" s="28">
        <v>45596.0</v>
      </c>
      <c r="C286" s="29">
        <v>7.3</v>
      </c>
      <c r="D286" s="29">
        <v>17.0</v>
      </c>
      <c r="E286" s="30" t="s">
        <v>3</v>
      </c>
      <c r="F286" s="30" t="s">
        <v>4</v>
      </c>
      <c r="G286" s="29">
        <v>7.75</v>
      </c>
    </row>
    <row r="287">
      <c r="A287" s="2"/>
      <c r="B287" s="3" t="s">
        <v>7</v>
      </c>
      <c r="C287" s="14"/>
      <c r="D287" s="14"/>
      <c r="E287" s="15"/>
      <c r="F287" s="6"/>
      <c r="G287" s="735">
        <f>SUM(G284:G286)</f>
        <v>23.25</v>
      </c>
      <c r="K287" s="8"/>
      <c r="N287" s="9" t="s">
        <v>9</v>
      </c>
      <c r="O287" s="10" t="s">
        <v>10</v>
      </c>
      <c r="P287" s="11" t="s">
        <v>11</v>
      </c>
      <c r="Q287" s="10" t="s">
        <v>1</v>
      </c>
    </row>
    <row r="288">
      <c r="A288" s="12"/>
      <c r="B288" s="13" t="s">
        <v>2</v>
      </c>
      <c r="C288" s="14"/>
      <c r="D288" s="14"/>
      <c r="E288" s="15"/>
      <c r="F288" s="16"/>
      <c r="G288" s="17">
        <f>G265+G271+G277+G283+G287</f>
        <v>54.25</v>
      </c>
      <c r="H288" s="18"/>
      <c r="I288" s="19">
        <v>-2.0</v>
      </c>
      <c r="J288" s="20">
        <f>H288-I288</f>
        <v>2</v>
      </c>
      <c r="K288" s="21" t="s">
        <v>3490</v>
      </c>
      <c r="L288" s="22" t="s">
        <v>13</v>
      </c>
      <c r="M288" s="23" t="s">
        <v>14</v>
      </c>
      <c r="N288" s="24">
        <v>1905.99</v>
      </c>
      <c r="O288" s="25">
        <v>1392.42</v>
      </c>
      <c r="P288" s="26">
        <v>1473.17</v>
      </c>
      <c r="Q288" s="27">
        <v>1560.88</v>
      </c>
    </row>
    <row r="289">
      <c r="B289" s="28">
        <v>45597.0</v>
      </c>
      <c r="C289" s="43" t="s">
        <v>24</v>
      </c>
      <c r="F289" s="44" t="s">
        <v>4</v>
      </c>
      <c r="G289" s="45">
        <v>7.75</v>
      </c>
      <c r="O289" s="31">
        <f>P288-O288</f>
        <v>80.75</v>
      </c>
    </row>
    <row r="290">
      <c r="A290" s="743"/>
      <c r="B290" s="3" t="s">
        <v>7</v>
      </c>
      <c r="C290" s="14"/>
      <c r="D290" s="14"/>
      <c r="E290" s="15"/>
      <c r="F290" s="6"/>
      <c r="G290" s="7"/>
    </row>
    <row r="291">
      <c r="B291" s="28">
        <v>45600.0</v>
      </c>
      <c r="C291" s="29">
        <v>7.3</v>
      </c>
      <c r="D291" s="29">
        <v>17.0</v>
      </c>
      <c r="E291" s="30" t="s">
        <v>3</v>
      </c>
      <c r="F291" s="30" t="s">
        <v>4</v>
      </c>
      <c r="G291" s="29">
        <v>7.75</v>
      </c>
    </row>
    <row r="292">
      <c r="B292" s="28">
        <v>45601.0</v>
      </c>
      <c r="C292" s="29">
        <v>7.3</v>
      </c>
      <c r="D292" s="29">
        <v>17.0</v>
      </c>
      <c r="E292" s="30" t="s">
        <v>3</v>
      </c>
      <c r="F292" s="30" t="s">
        <v>4</v>
      </c>
      <c r="G292" s="29">
        <v>7.75</v>
      </c>
    </row>
    <row r="293">
      <c r="B293" s="28">
        <v>45602.0</v>
      </c>
      <c r="C293" s="29">
        <v>7.3</v>
      </c>
      <c r="D293" s="29">
        <v>17.0</v>
      </c>
      <c r="E293" s="30" t="s">
        <v>3</v>
      </c>
      <c r="F293" s="30" t="s">
        <v>4</v>
      </c>
      <c r="G293" s="29">
        <v>7.75</v>
      </c>
    </row>
    <row r="294">
      <c r="B294" s="28">
        <v>45603.0</v>
      </c>
      <c r="C294" s="29">
        <v>7.3</v>
      </c>
      <c r="D294" s="29">
        <v>17.0</v>
      </c>
      <c r="E294" s="30" t="s">
        <v>3</v>
      </c>
      <c r="F294" s="30" t="s">
        <v>4</v>
      </c>
      <c r="G294" s="29">
        <v>7.75</v>
      </c>
    </row>
    <row r="295">
      <c r="B295" s="28">
        <v>45604.0</v>
      </c>
      <c r="C295" s="29">
        <v>7.3</v>
      </c>
      <c r="D295" s="29">
        <v>11.3</v>
      </c>
      <c r="E295" s="32" t="s">
        <v>5</v>
      </c>
      <c r="F295" s="32" t="s">
        <v>6</v>
      </c>
      <c r="G295" s="29">
        <v>4.0</v>
      </c>
    </row>
    <row r="296">
      <c r="A296" s="743"/>
      <c r="B296" s="3" t="s">
        <v>7</v>
      </c>
      <c r="C296" s="14"/>
      <c r="D296" s="14"/>
      <c r="E296" s="15"/>
      <c r="F296" s="6"/>
      <c r="G296" s="7">
        <f>G291+G292+G293+G294+G295</f>
        <v>35</v>
      </c>
    </row>
    <row r="297">
      <c r="B297" s="28">
        <v>45607.0</v>
      </c>
      <c r="C297" s="43" t="s">
        <v>24</v>
      </c>
      <c r="F297" s="44" t="s">
        <v>4</v>
      </c>
      <c r="G297" s="45">
        <v>7.75</v>
      </c>
    </row>
    <row r="298">
      <c r="B298" s="28">
        <v>45608.0</v>
      </c>
      <c r="C298" s="29">
        <v>7.3</v>
      </c>
      <c r="D298" s="29">
        <v>17.0</v>
      </c>
      <c r="E298" s="30" t="s">
        <v>3</v>
      </c>
      <c r="F298" s="30" t="s">
        <v>4</v>
      </c>
      <c r="G298" s="29">
        <v>7.75</v>
      </c>
    </row>
    <row r="299">
      <c r="B299" s="28">
        <v>45609.0</v>
      </c>
      <c r="C299" s="29">
        <v>7.3</v>
      </c>
      <c r="D299" s="29">
        <v>17.0</v>
      </c>
      <c r="E299" s="30" t="s">
        <v>3</v>
      </c>
      <c r="F299" s="30" t="s">
        <v>4</v>
      </c>
      <c r="G299" s="29">
        <v>7.75</v>
      </c>
    </row>
    <row r="300">
      <c r="B300" s="28">
        <v>45610.0</v>
      </c>
      <c r="C300" s="29">
        <v>7.3</v>
      </c>
      <c r="D300" s="29">
        <v>17.0</v>
      </c>
      <c r="E300" s="30" t="s">
        <v>3</v>
      </c>
      <c r="F300" s="30" t="s">
        <v>4</v>
      </c>
      <c r="G300" s="29">
        <v>7.75</v>
      </c>
    </row>
    <row r="301">
      <c r="B301" s="28">
        <v>45611.0</v>
      </c>
      <c r="C301" s="29">
        <v>7.3</v>
      </c>
      <c r="D301" s="29">
        <v>11.3</v>
      </c>
      <c r="E301" s="32" t="s">
        <v>5</v>
      </c>
      <c r="F301" s="32" t="s">
        <v>6</v>
      </c>
      <c r="G301" s="29">
        <v>4.0</v>
      </c>
    </row>
    <row r="302">
      <c r="A302" s="743"/>
      <c r="B302" s="3" t="s">
        <v>7</v>
      </c>
      <c r="C302" s="14"/>
      <c r="D302" s="14"/>
      <c r="E302" s="15"/>
      <c r="F302" s="6"/>
      <c r="G302" s="7">
        <f>G297+G298+G299+G300+G301</f>
        <v>35</v>
      </c>
    </row>
    <row r="303">
      <c r="B303" s="28">
        <v>45614.0</v>
      </c>
      <c r="C303" s="29">
        <v>7.3</v>
      </c>
      <c r="D303" s="29">
        <v>17.0</v>
      </c>
      <c r="E303" s="30" t="s">
        <v>3</v>
      </c>
      <c r="F303" s="30" t="s">
        <v>4</v>
      </c>
      <c r="G303" s="29">
        <v>7.75</v>
      </c>
    </row>
    <row r="304">
      <c r="B304" s="28">
        <v>45615.0</v>
      </c>
      <c r="C304" s="29">
        <v>7.3</v>
      </c>
      <c r="D304" s="29">
        <v>17.0</v>
      </c>
      <c r="E304" s="30" t="s">
        <v>3</v>
      </c>
      <c r="F304" s="30" t="s">
        <v>4</v>
      </c>
      <c r="G304" s="29">
        <v>7.75</v>
      </c>
    </row>
    <row r="305">
      <c r="B305" s="28">
        <v>45616.0</v>
      </c>
      <c r="C305" s="29">
        <v>7.3</v>
      </c>
      <c r="D305" s="29">
        <v>17.0</v>
      </c>
      <c r="E305" s="30" t="s">
        <v>3</v>
      </c>
      <c r="F305" s="30" t="s">
        <v>4</v>
      </c>
      <c r="G305" s="29">
        <v>7.75</v>
      </c>
    </row>
    <row r="306">
      <c r="B306" s="28">
        <v>45617.0</v>
      </c>
      <c r="C306" s="39">
        <v>9.0</v>
      </c>
      <c r="D306" s="29">
        <v>17.0</v>
      </c>
      <c r="E306" s="30" t="s">
        <v>3</v>
      </c>
      <c r="F306" s="30"/>
      <c r="G306" s="39">
        <v>6.15</v>
      </c>
      <c r="I306" s="35">
        <v>-1.5</v>
      </c>
      <c r="L306" s="36" t="s">
        <v>3491</v>
      </c>
      <c r="M306" s="37"/>
    </row>
    <row r="307">
      <c r="B307" s="28">
        <v>45618.0</v>
      </c>
      <c r="C307" s="29">
        <v>7.3</v>
      </c>
      <c r="D307" s="29">
        <v>11.3</v>
      </c>
      <c r="E307" s="32" t="s">
        <v>5</v>
      </c>
      <c r="F307" s="32" t="s">
        <v>6</v>
      </c>
      <c r="G307" s="29">
        <v>4.0</v>
      </c>
    </row>
    <row r="308">
      <c r="A308" s="743"/>
      <c r="B308" s="3" t="s">
        <v>7</v>
      </c>
      <c r="C308" s="14"/>
      <c r="D308" s="14"/>
      <c r="E308" s="15"/>
      <c r="F308" s="6"/>
      <c r="G308" s="7">
        <f>G303+G304+G305+G306+G307</f>
        <v>33.4</v>
      </c>
    </row>
    <row r="309">
      <c r="B309" s="28">
        <v>45621.0</v>
      </c>
      <c r="C309" s="29">
        <v>7.3</v>
      </c>
      <c r="D309" s="29">
        <v>17.0</v>
      </c>
      <c r="E309" s="30" t="s">
        <v>3</v>
      </c>
      <c r="F309" s="30" t="s">
        <v>4</v>
      </c>
      <c r="G309" s="29">
        <v>7.75</v>
      </c>
    </row>
    <row r="310">
      <c r="B310" s="28">
        <v>45622.0</v>
      </c>
      <c r="C310" s="29">
        <v>7.3</v>
      </c>
      <c r="D310" s="29">
        <v>17.0</v>
      </c>
      <c r="E310" s="30" t="s">
        <v>3</v>
      </c>
      <c r="F310" s="30" t="s">
        <v>4</v>
      </c>
      <c r="G310" s="29">
        <v>7.75</v>
      </c>
    </row>
    <row r="311">
      <c r="B311" s="28">
        <v>45623.0</v>
      </c>
      <c r="C311" s="29">
        <v>7.3</v>
      </c>
      <c r="D311" s="29">
        <v>17.0</v>
      </c>
      <c r="E311" s="30" t="s">
        <v>3</v>
      </c>
      <c r="F311" s="30" t="s">
        <v>4</v>
      </c>
      <c r="G311" s="29">
        <v>7.75</v>
      </c>
    </row>
    <row r="312">
      <c r="B312" s="28">
        <v>45624.0</v>
      </c>
      <c r="C312" s="29">
        <v>7.3</v>
      </c>
      <c r="D312" s="29">
        <v>17.0</v>
      </c>
      <c r="E312" s="30" t="s">
        <v>3</v>
      </c>
      <c r="F312" s="30" t="s">
        <v>4</v>
      </c>
      <c r="G312" s="29">
        <v>7.75</v>
      </c>
    </row>
    <row r="313">
      <c r="B313" s="28">
        <v>45625.0</v>
      </c>
      <c r="C313" s="29">
        <v>7.3</v>
      </c>
      <c r="D313" s="29">
        <v>11.3</v>
      </c>
      <c r="E313" s="32" t="s">
        <v>5</v>
      </c>
      <c r="F313" s="32" t="s">
        <v>6</v>
      </c>
      <c r="G313" s="29">
        <v>4.0</v>
      </c>
    </row>
    <row r="314">
      <c r="A314" s="2"/>
      <c r="B314" s="3" t="s">
        <v>7</v>
      </c>
      <c r="C314" s="14"/>
      <c r="D314" s="14"/>
      <c r="E314" s="15"/>
      <c r="F314" s="6"/>
      <c r="G314" s="7">
        <f>G309+G310+G311+G312+G313</f>
        <v>35</v>
      </c>
      <c r="K314" s="8"/>
      <c r="N314" s="9" t="s">
        <v>9</v>
      </c>
      <c r="O314" s="10" t="s">
        <v>10</v>
      </c>
      <c r="P314" s="11" t="s">
        <v>11</v>
      </c>
      <c r="Q314" s="10" t="s">
        <v>1</v>
      </c>
    </row>
    <row r="315">
      <c r="A315" s="12"/>
      <c r="B315" s="13" t="s">
        <v>2</v>
      </c>
      <c r="C315" s="14"/>
      <c r="D315" s="14"/>
      <c r="E315" s="15"/>
      <c r="F315" s="16"/>
      <c r="G315" s="17">
        <f>G292+G298+G304+G310+G314</f>
        <v>66</v>
      </c>
      <c r="H315" s="18"/>
      <c r="I315" s="19">
        <v>-1.5</v>
      </c>
      <c r="J315" s="20">
        <f>J288-I306</f>
        <v>3.5</v>
      </c>
      <c r="K315" s="21" t="s">
        <v>12</v>
      </c>
      <c r="L315" s="22" t="s">
        <v>13</v>
      </c>
      <c r="M315" s="23" t="s">
        <v>14</v>
      </c>
      <c r="N315" s="24">
        <v>1905.99</v>
      </c>
      <c r="O315" s="25">
        <v>2680.03</v>
      </c>
      <c r="P315" s="26">
        <v>2770.28</v>
      </c>
      <c r="Q315" s="27">
        <v>1560.88</v>
      </c>
    </row>
    <row r="316">
      <c r="B316" s="28">
        <v>45628.0</v>
      </c>
      <c r="C316" s="29">
        <v>7.3</v>
      </c>
      <c r="D316" s="29">
        <v>17.0</v>
      </c>
      <c r="E316" s="30" t="s">
        <v>3</v>
      </c>
      <c r="F316" s="30" t="s">
        <v>4</v>
      </c>
      <c r="G316" s="29">
        <v>7.75</v>
      </c>
      <c r="O316" s="31">
        <f>P315-O315</f>
        <v>90.25</v>
      </c>
    </row>
    <row r="317">
      <c r="B317" s="28">
        <v>45629.0</v>
      </c>
      <c r="C317" s="29">
        <v>7.3</v>
      </c>
      <c r="D317" s="29">
        <v>17.0</v>
      </c>
      <c r="E317" s="30" t="s">
        <v>3</v>
      </c>
      <c r="F317" s="30" t="s">
        <v>4</v>
      </c>
      <c r="G317" s="29">
        <v>7.75</v>
      </c>
    </row>
    <row r="318">
      <c r="B318" s="28">
        <v>45630.0</v>
      </c>
      <c r="C318" s="29">
        <v>7.3</v>
      </c>
      <c r="D318" s="29">
        <v>17.0</v>
      </c>
      <c r="E318" s="30" t="s">
        <v>3</v>
      </c>
      <c r="F318" s="30" t="s">
        <v>4</v>
      </c>
      <c r="G318" s="29">
        <v>7.75</v>
      </c>
    </row>
    <row r="319">
      <c r="B319" s="28">
        <v>45631.0</v>
      </c>
      <c r="C319" s="29">
        <v>7.3</v>
      </c>
      <c r="D319" s="29">
        <v>17.0</v>
      </c>
      <c r="E319" s="30" t="s">
        <v>3</v>
      </c>
      <c r="F319" s="30" t="s">
        <v>4</v>
      </c>
      <c r="G319" s="29">
        <v>7.75</v>
      </c>
    </row>
    <row r="320">
      <c r="B320" s="28">
        <v>45632.0</v>
      </c>
      <c r="C320" s="29">
        <v>7.3</v>
      </c>
      <c r="D320" s="29">
        <v>11.3</v>
      </c>
      <c r="E320" s="32" t="s">
        <v>5</v>
      </c>
      <c r="F320" s="32" t="s">
        <v>6</v>
      </c>
      <c r="G320" s="29">
        <v>4.0</v>
      </c>
    </row>
    <row r="321">
      <c r="A321" s="2"/>
      <c r="B321" s="3" t="s">
        <v>7</v>
      </c>
      <c r="C321" s="14"/>
      <c r="D321" s="14"/>
      <c r="E321" s="15"/>
      <c r="F321" s="6"/>
      <c r="G321" s="7">
        <f>G316+G317+G318+G319+G320</f>
        <v>35</v>
      </c>
    </row>
    <row r="322">
      <c r="B322" s="28">
        <v>45635.0</v>
      </c>
      <c r="C322" s="29">
        <v>7.3</v>
      </c>
      <c r="D322" s="29">
        <v>17.0</v>
      </c>
      <c r="E322" s="30" t="s">
        <v>3</v>
      </c>
      <c r="F322" s="30" t="s">
        <v>4</v>
      </c>
      <c r="G322" s="29">
        <v>7.75</v>
      </c>
    </row>
    <row r="323">
      <c r="B323" s="28">
        <v>45636.0</v>
      </c>
      <c r="C323" s="29">
        <v>7.3</v>
      </c>
      <c r="D323" s="29">
        <v>17.0</v>
      </c>
      <c r="E323" s="30" t="s">
        <v>3</v>
      </c>
      <c r="F323" s="30" t="s">
        <v>4</v>
      </c>
      <c r="G323" s="29">
        <v>7.75</v>
      </c>
    </row>
    <row r="324">
      <c r="B324" s="28">
        <v>45637.0</v>
      </c>
      <c r="C324" s="29">
        <v>7.3</v>
      </c>
      <c r="D324" s="29">
        <v>17.0</v>
      </c>
      <c r="E324" s="30" t="s">
        <v>3</v>
      </c>
      <c r="F324" s="30" t="s">
        <v>4</v>
      </c>
      <c r="G324" s="29">
        <v>7.75</v>
      </c>
    </row>
    <row r="325">
      <c r="B325" s="28">
        <v>45638.0</v>
      </c>
      <c r="C325" s="29">
        <v>7.3</v>
      </c>
      <c r="D325" s="29">
        <v>17.0</v>
      </c>
      <c r="E325" s="30" t="s">
        <v>3</v>
      </c>
      <c r="F325" s="30" t="s">
        <v>4</v>
      </c>
      <c r="G325" s="29">
        <v>7.75</v>
      </c>
    </row>
    <row r="326">
      <c r="B326" s="28">
        <v>45639.0</v>
      </c>
      <c r="C326" s="29">
        <v>7.3</v>
      </c>
      <c r="D326" s="29">
        <v>11.3</v>
      </c>
      <c r="E326" s="32" t="s">
        <v>5</v>
      </c>
      <c r="F326" s="32" t="s">
        <v>6</v>
      </c>
      <c r="G326" s="29">
        <v>4.0</v>
      </c>
    </row>
    <row r="327">
      <c r="A327" s="2"/>
      <c r="B327" s="3" t="s">
        <v>7</v>
      </c>
      <c r="C327" s="14"/>
      <c r="D327" s="14"/>
      <c r="E327" s="15"/>
      <c r="F327" s="6"/>
      <c r="G327" s="7">
        <f>G322+G323+G324+G325+G326</f>
        <v>35</v>
      </c>
    </row>
    <row r="328">
      <c r="B328" s="28">
        <v>45642.0</v>
      </c>
      <c r="C328" s="29">
        <v>7.3</v>
      </c>
      <c r="D328" s="29">
        <v>17.0</v>
      </c>
      <c r="E328" s="30" t="s">
        <v>3</v>
      </c>
      <c r="F328" s="30" t="s">
        <v>4</v>
      </c>
      <c r="G328" s="29">
        <v>7.75</v>
      </c>
    </row>
    <row r="329">
      <c r="B329" s="28">
        <v>45643.0</v>
      </c>
      <c r="C329" s="29">
        <v>7.3</v>
      </c>
      <c r="D329" s="29">
        <v>17.0</v>
      </c>
      <c r="E329" s="30" t="s">
        <v>3</v>
      </c>
      <c r="F329" s="30" t="s">
        <v>4</v>
      </c>
      <c r="G329" s="29">
        <v>7.75</v>
      </c>
    </row>
    <row r="330">
      <c r="B330" s="28">
        <v>45644.0</v>
      </c>
      <c r="C330" s="29">
        <v>7.3</v>
      </c>
      <c r="D330" s="29">
        <v>17.0</v>
      </c>
      <c r="E330" s="30" t="s">
        <v>3</v>
      </c>
      <c r="F330" s="30" t="s">
        <v>4</v>
      </c>
      <c r="G330" s="29">
        <v>7.75</v>
      </c>
    </row>
    <row r="331">
      <c r="B331" s="28">
        <v>45645.0</v>
      </c>
      <c r="C331" s="29">
        <v>7.3</v>
      </c>
      <c r="D331" s="29">
        <v>17.0</v>
      </c>
      <c r="E331" s="30" t="s">
        <v>3</v>
      </c>
      <c r="F331" s="30" t="s">
        <v>4</v>
      </c>
      <c r="G331" s="29">
        <v>7.75</v>
      </c>
    </row>
    <row r="332">
      <c r="B332" s="28">
        <v>45646.0</v>
      </c>
      <c r="C332" s="29">
        <v>7.3</v>
      </c>
      <c r="D332" s="29">
        <v>11.3</v>
      </c>
      <c r="E332" s="32" t="s">
        <v>5</v>
      </c>
      <c r="F332" s="32" t="s">
        <v>6</v>
      </c>
      <c r="G332" s="29">
        <v>4.0</v>
      </c>
    </row>
    <row r="333">
      <c r="A333" s="2"/>
      <c r="B333" s="3" t="s">
        <v>7</v>
      </c>
      <c r="C333" s="14"/>
      <c r="D333" s="14"/>
      <c r="E333" s="15"/>
      <c r="F333" s="6"/>
      <c r="G333" s="7">
        <f>G328+G329+G330+G331+G332</f>
        <v>35</v>
      </c>
    </row>
    <row r="334">
      <c r="B334" s="33" t="s">
        <v>8</v>
      </c>
      <c r="N334" s="9" t="s">
        <v>9</v>
      </c>
      <c r="O334" s="10" t="s">
        <v>10</v>
      </c>
      <c r="P334" s="11" t="s">
        <v>11</v>
      </c>
      <c r="Q334" s="10" t="s">
        <v>1</v>
      </c>
    </row>
    <row r="335">
      <c r="A335" s="12"/>
      <c r="B335" s="13" t="s">
        <v>2</v>
      </c>
      <c r="C335" s="14"/>
      <c r="D335" s="14"/>
      <c r="E335" s="15"/>
      <c r="F335" s="16"/>
      <c r="G335" s="17">
        <f>G312+G318+G324+G330+G334</f>
        <v>31</v>
      </c>
      <c r="H335" s="18"/>
      <c r="I335" s="19">
        <v>0.0</v>
      </c>
      <c r="J335" s="20">
        <f>J308-I326</f>
        <v>0</v>
      </c>
      <c r="K335" s="21" t="s">
        <v>12</v>
      </c>
      <c r="L335" s="22" t="s">
        <v>13</v>
      </c>
      <c r="M335" s="23" t="s">
        <v>14</v>
      </c>
      <c r="N335" s="24">
        <v>1939.94</v>
      </c>
      <c r="O335" s="25">
        <v>1428.79</v>
      </c>
      <c r="P335" s="26">
        <v>1500.04</v>
      </c>
      <c r="Q335" s="27">
        <v>1588.72</v>
      </c>
    </row>
    <row r="336">
      <c r="B336" s="28"/>
      <c r="C336" s="29"/>
      <c r="D336" s="29"/>
      <c r="E336" s="30"/>
      <c r="F336" s="30"/>
      <c r="G336" s="29"/>
      <c r="O336" s="31">
        <f>P335-O335</f>
        <v>71.25</v>
      </c>
    </row>
  </sheetData>
  <mergeCells count="108">
    <mergeCell ref="B141:E141"/>
    <mergeCell ref="C144:E144"/>
    <mergeCell ref="C145:E145"/>
    <mergeCell ref="C146:G146"/>
    <mergeCell ref="B147:E147"/>
    <mergeCell ref="B153:E153"/>
    <mergeCell ref="B159:E159"/>
    <mergeCell ref="B165:E165"/>
    <mergeCell ref="B166:E166"/>
    <mergeCell ref="B178:E178"/>
    <mergeCell ref="B184:E184"/>
    <mergeCell ref="B197:E197"/>
    <mergeCell ref="B203:E203"/>
    <mergeCell ref="B209:E209"/>
    <mergeCell ref="B215:E215"/>
    <mergeCell ref="B219:E219"/>
    <mergeCell ref="B220:E220"/>
    <mergeCell ref="B223:E223"/>
    <mergeCell ref="B224:G224"/>
    <mergeCell ref="B231:E231"/>
    <mergeCell ref="B232:E232"/>
    <mergeCell ref="B238:E238"/>
    <mergeCell ref="B244:E244"/>
    <mergeCell ref="B250:E250"/>
    <mergeCell ref="C255:G255"/>
    <mergeCell ref="B256:E256"/>
    <mergeCell ref="B258:E258"/>
    <mergeCell ref="B259:E259"/>
    <mergeCell ref="B264:E264"/>
    <mergeCell ref="B270:E270"/>
    <mergeCell ref="B276:E276"/>
    <mergeCell ref="B282:E282"/>
    <mergeCell ref="B287:E287"/>
    <mergeCell ref="B288:E288"/>
    <mergeCell ref="C289:E289"/>
    <mergeCell ref="B321:E321"/>
    <mergeCell ref="B327:E327"/>
    <mergeCell ref="B333:E333"/>
    <mergeCell ref="B334:G334"/>
    <mergeCell ref="B335:E335"/>
    <mergeCell ref="B290:E290"/>
    <mergeCell ref="B296:E296"/>
    <mergeCell ref="C297:E297"/>
    <mergeCell ref="B302:E302"/>
    <mergeCell ref="B308:E308"/>
    <mergeCell ref="B314:E314"/>
    <mergeCell ref="B315:E315"/>
    <mergeCell ref="O192:P192"/>
    <mergeCell ref="O221:P221"/>
    <mergeCell ref="O233:P233"/>
    <mergeCell ref="L255:M255"/>
    <mergeCell ref="O260:P260"/>
    <mergeCell ref="O289:P289"/>
    <mergeCell ref="O316:P316"/>
    <mergeCell ref="O336:P336"/>
    <mergeCell ref="O138:P138"/>
    <mergeCell ref="L140:M140"/>
    <mergeCell ref="L154:M154"/>
    <mergeCell ref="O167:P167"/>
    <mergeCell ref="L171:M171"/>
    <mergeCell ref="L187:M187"/>
    <mergeCell ref="L188:M188"/>
    <mergeCell ref="B1:L1"/>
    <mergeCell ref="B2:E2"/>
    <mergeCell ref="B3:E3"/>
    <mergeCell ref="O4:P4"/>
    <mergeCell ref="B6:E6"/>
    <mergeCell ref="B12:E12"/>
    <mergeCell ref="B18:E18"/>
    <mergeCell ref="B23:E23"/>
    <mergeCell ref="B24:E24"/>
    <mergeCell ref="O25:P25"/>
    <mergeCell ref="A26:F26"/>
    <mergeCell ref="G26:I26"/>
    <mergeCell ref="B28:L28"/>
    <mergeCell ref="O29:P29"/>
    <mergeCell ref="B32:E32"/>
    <mergeCell ref="B38:E38"/>
    <mergeCell ref="B44:E44"/>
    <mergeCell ref="B50:E50"/>
    <mergeCell ref="B54:E54"/>
    <mergeCell ref="B55:E55"/>
    <mergeCell ref="O56:P56"/>
    <mergeCell ref="B58:E58"/>
    <mergeCell ref="B64:E64"/>
    <mergeCell ref="B70:E70"/>
    <mergeCell ref="B76:E76"/>
    <mergeCell ref="B81:E81"/>
    <mergeCell ref="B82:E82"/>
    <mergeCell ref="O83:P83"/>
    <mergeCell ref="B84:E84"/>
    <mergeCell ref="B90:E90"/>
    <mergeCell ref="B96:E96"/>
    <mergeCell ref="B102:E102"/>
    <mergeCell ref="B108:E108"/>
    <mergeCell ref="B109:E109"/>
    <mergeCell ref="O110:P110"/>
    <mergeCell ref="B172:E172"/>
    <mergeCell ref="C188:E188"/>
    <mergeCell ref="B190:E190"/>
    <mergeCell ref="B191:E191"/>
    <mergeCell ref="B115:E115"/>
    <mergeCell ref="B121:E121"/>
    <mergeCell ref="B127:E127"/>
    <mergeCell ref="B133:E133"/>
    <mergeCell ref="B136:E136"/>
    <mergeCell ref="B137:E137"/>
    <mergeCell ref="C138:E13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0"/>
    <col customWidth="1" min="3" max="3" width="7.71"/>
    <col customWidth="1" min="4" max="4" width="7.14"/>
    <col customWidth="1" min="5" max="5" width="7.71"/>
    <col customWidth="1" min="6" max="6" width="8.86"/>
    <col customWidth="1" min="7" max="7" width="10.29"/>
    <col customWidth="1" min="8" max="8" width="16.14"/>
    <col customWidth="1" min="9" max="9" width="15.57"/>
    <col customWidth="1" min="10" max="10" width="14.29"/>
    <col customWidth="1" min="11" max="11" width="14.43"/>
    <col customWidth="1" min="12" max="12" width="18.29"/>
    <col customWidth="1" min="13" max="13" width="13.43"/>
    <col customWidth="1" min="14" max="14" width="12.57"/>
    <col customWidth="1" min="15" max="15" width="10.86"/>
    <col customWidth="1" min="16" max="16" width="12.14"/>
    <col customWidth="1" min="17" max="17" width="12.29"/>
  </cols>
  <sheetData>
    <row r="1">
      <c r="A1" s="1"/>
      <c r="B1" s="1" t="s">
        <v>3492</v>
      </c>
    </row>
    <row r="2">
      <c r="A2" s="728"/>
      <c r="B2" s="728" t="s">
        <v>243</v>
      </c>
      <c r="C2" s="728" t="s">
        <v>3445</v>
      </c>
      <c r="D2" s="728" t="s">
        <v>3446</v>
      </c>
      <c r="E2" s="728" t="s">
        <v>3447</v>
      </c>
      <c r="F2" s="728" t="s">
        <v>3448</v>
      </c>
      <c r="G2" s="729" t="s">
        <v>3449</v>
      </c>
      <c r="H2" s="730" t="s">
        <v>3450</v>
      </c>
      <c r="I2" s="731" t="s">
        <v>3451</v>
      </c>
      <c r="J2" s="732" t="s">
        <v>3452</v>
      </c>
      <c r="K2" s="733" t="s">
        <v>50</v>
      </c>
      <c r="L2" s="734" t="s">
        <v>3493</v>
      </c>
    </row>
    <row r="3">
      <c r="A3" s="744" t="s">
        <v>3494</v>
      </c>
      <c r="B3" s="28">
        <v>44896.0</v>
      </c>
      <c r="C3" s="29">
        <v>7.3</v>
      </c>
      <c r="D3" s="29">
        <v>17.0</v>
      </c>
      <c r="E3" s="42" t="s">
        <v>21</v>
      </c>
      <c r="F3" s="42" t="s">
        <v>22</v>
      </c>
      <c r="G3" s="39">
        <v>8.75</v>
      </c>
    </row>
    <row r="4">
      <c r="B4" s="28">
        <v>44897.0</v>
      </c>
      <c r="C4" s="648" t="s">
        <v>15</v>
      </c>
    </row>
    <row r="5">
      <c r="B5" s="3" t="s">
        <v>7</v>
      </c>
      <c r="C5" s="14"/>
      <c r="D5" s="14"/>
      <c r="E5" s="15"/>
      <c r="F5" s="6"/>
      <c r="G5" s="735">
        <f>G3</f>
        <v>8.75</v>
      </c>
    </row>
    <row r="6">
      <c r="B6" s="28">
        <v>44900.0</v>
      </c>
      <c r="C6" s="29">
        <v>7.3</v>
      </c>
      <c r="D6" s="29">
        <v>17.0</v>
      </c>
      <c r="E6" s="42" t="s">
        <v>21</v>
      </c>
      <c r="F6" s="42" t="s">
        <v>22</v>
      </c>
      <c r="G6" s="39">
        <v>8.75</v>
      </c>
    </row>
    <row r="7">
      <c r="B7" s="28">
        <v>44901.0</v>
      </c>
      <c r="C7" s="34" t="s">
        <v>3495</v>
      </c>
      <c r="I7" s="745">
        <v>8.75</v>
      </c>
      <c r="K7" s="51" t="s">
        <v>3496</v>
      </c>
    </row>
    <row r="8">
      <c r="B8" s="28">
        <v>44902.0</v>
      </c>
      <c r="C8" s="29">
        <v>7.3</v>
      </c>
      <c r="D8" s="29">
        <v>17.0</v>
      </c>
      <c r="E8" s="42" t="s">
        <v>21</v>
      </c>
      <c r="F8" s="42" t="s">
        <v>22</v>
      </c>
      <c r="G8" s="39">
        <v>8.75</v>
      </c>
    </row>
    <row r="9">
      <c r="B9" s="28">
        <v>44903.0</v>
      </c>
      <c r="C9" s="29">
        <v>7.3</v>
      </c>
      <c r="D9" s="29">
        <v>17.0</v>
      </c>
      <c r="E9" s="42" t="s">
        <v>21</v>
      </c>
      <c r="F9" s="42" t="s">
        <v>22</v>
      </c>
      <c r="G9" s="39">
        <v>8.75</v>
      </c>
    </row>
    <row r="10">
      <c r="B10" s="28">
        <v>44904.0</v>
      </c>
      <c r="C10" s="648" t="s">
        <v>15</v>
      </c>
    </row>
    <row r="11">
      <c r="B11" s="3" t="s">
        <v>7</v>
      </c>
      <c r="C11" s="14"/>
      <c r="D11" s="14"/>
      <c r="E11" s="15"/>
      <c r="F11" s="6"/>
      <c r="G11" s="735">
        <f>G6+G7+G8+G9+G10</f>
        <v>26.25</v>
      </c>
    </row>
    <row r="12">
      <c r="B12" s="28">
        <v>44907.0</v>
      </c>
      <c r="C12" s="29">
        <v>7.3</v>
      </c>
      <c r="D12" s="29">
        <v>17.0</v>
      </c>
      <c r="E12" s="42" t="s">
        <v>21</v>
      </c>
      <c r="F12" s="42" t="s">
        <v>22</v>
      </c>
      <c r="G12" s="39">
        <v>8.75</v>
      </c>
    </row>
    <row r="13">
      <c r="B13" s="28">
        <v>44908.0</v>
      </c>
      <c r="C13" s="29">
        <v>7.3</v>
      </c>
      <c r="D13" s="29">
        <v>17.0</v>
      </c>
      <c r="E13" s="42" t="s">
        <v>21</v>
      </c>
      <c r="F13" s="42" t="s">
        <v>22</v>
      </c>
      <c r="G13" s="39">
        <v>8.75</v>
      </c>
    </row>
    <row r="14">
      <c r="B14" s="28">
        <v>44909.0</v>
      </c>
      <c r="C14" s="29">
        <v>7.3</v>
      </c>
      <c r="D14" s="29">
        <v>17.0</v>
      </c>
      <c r="E14" s="42" t="s">
        <v>21</v>
      </c>
      <c r="F14" s="42" t="s">
        <v>22</v>
      </c>
      <c r="G14" s="39">
        <v>8.75</v>
      </c>
    </row>
    <row r="15">
      <c r="B15" s="28">
        <v>44910.0</v>
      </c>
      <c r="C15" s="29">
        <v>7.3</v>
      </c>
      <c r="D15" s="29">
        <v>17.0</v>
      </c>
      <c r="E15" s="42" t="s">
        <v>21</v>
      </c>
      <c r="F15" s="42" t="s">
        <v>22</v>
      </c>
      <c r="G15" s="39">
        <v>8.75</v>
      </c>
    </row>
    <row r="16">
      <c r="B16" s="28">
        <v>44911.0</v>
      </c>
      <c r="C16" s="648" t="s">
        <v>15</v>
      </c>
    </row>
    <row r="17">
      <c r="B17" s="3" t="s">
        <v>7</v>
      </c>
      <c r="C17" s="14"/>
      <c r="D17" s="14"/>
      <c r="E17" s="15"/>
      <c r="F17" s="6"/>
      <c r="G17" s="735">
        <f>G12+G13+G14+G15+G16</f>
        <v>35</v>
      </c>
    </row>
    <row r="18">
      <c r="B18" s="28">
        <v>44914.0</v>
      </c>
      <c r="C18" s="29">
        <v>7.3</v>
      </c>
      <c r="D18" s="29">
        <v>17.0</v>
      </c>
      <c r="E18" s="42" t="s">
        <v>21</v>
      </c>
      <c r="F18" s="42" t="s">
        <v>22</v>
      </c>
      <c r="G18" s="39">
        <v>8.75</v>
      </c>
    </row>
    <row r="19">
      <c r="B19" s="28">
        <v>44915.0</v>
      </c>
      <c r="C19" s="29">
        <v>7.3</v>
      </c>
      <c r="D19" s="29">
        <v>17.0</v>
      </c>
      <c r="E19" s="42" t="s">
        <v>21</v>
      </c>
      <c r="F19" s="42" t="s">
        <v>22</v>
      </c>
      <c r="G19" s="39">
        <v>8.75</v>
      </c>
    </row>
    <row r="20">
      <c r="B20" s="28">
        <v>44916.0</v>
      </c>
      <c r="C20" s="29">
        <v>7.3</v>
      </c>
      <c r="D20" s="29">
        <v>17.0</v>
      </c>
      <c r="E20" s="42" t="s">
        <v>21</v>
      </c>
      <c r="F20" s="42" t="s">
        <v>22</v>
      </c>
      <c r="G20" s="39">
        <v>8.75</v>
      </c>
    </row>
    <row r="21">
      <c r="B21" s="28">
        <v>44917.0</v>
      </c>
      <c r="C21" s="29">
        <v>7.3</v>
      </c>
      <c r="D21" s="29">
        <v>17.0</v>
      </c>
      <c r="E21" s="42" t="s">
        <v>21</v>
      </c>
      <c r="F21" s="42" t="s">
        <v>22</v>
      </c>
      <c r="G21" s="39">
        <v>8.75</v>
      </c>
    </row>
    <row r="22">
      <c r="B22" s="28">
        <v>44918.0</v>
      </c>
      <c r="C22" s="648" t="s">
        <v>15</v>
      </c>
    </row>
    <row r="23">
      <c r="B23" s="3" t="s">
        <v>7</v>
      </c>
      <c r="C23" s="14"/>
      <c r="D23" s="14"/>
      <c r="E23" s="15"/>
      <c r="F23" s="6"/>
      <c r="G23" s="735">
        <f>G18+G19+G20+G21</f>
        <v>35</v>
      </c>
      <c r="K23" s="8"/>
      <c r="N23" s="9" t="s">
        <v>9</v>
      </c>
      <c r="O23" s="10" t="s">
        <v>10</v>
      </c>
      <c r="P23" s="10"/>
      <c r="Q23" s="10" t="s">
        <v>1</v>
      </c>
    </row>
    <row r="24">
      <c r="B24" s="13" t="s">
        <v>2</v>
      </c>
      <c r="C24" s="14"/>
      <c r="D24" s="14"/>
      <c r="E24" s="15"/>
      <c r="F24" s="16"/>
      <c r="G24" s="17">
        <f>G5+G11+G17+G23</f>
        <v>105</v>
      </c>
      <c r="H24" s="18">
        <v>0.0</v>
      </c>
      <c r="I24" s="19">
        <f>I7</f>
        <v>8.75</v>
      </c>
      <c r="J24" s="20">
        <f>H24-I24</f>
        <v>-8.75</v>
      </c>
      <c r="K24" s="21" t="s">
        <v>3497</v>
      </c>
      <c r="L24" s="22" t="s">
        <v>3498</v>
      </c>
      <c r="M24" s="23" t="s">
        <v>14</v>
      </c>
      <c r="N24" s="200">
        <v>1689.04</v>
      </c>
      <c r="O24" s="283">
        <v>1150.21</v>
      </c>
      <c r="P24" s="202"/>
      <c r="Q24" s="27">
        <v>1383.02</v>
      </c>
    </row>
    <row r="26">
      <c r="A26" s="33"/>
      <c r="B26" s="33" t="s">
        <v>3499</v>
      </c>
      <c r="H26" s="737" t="s">
        <v>3500</v>
      </c>
    </row>
    <row r="28">
      <c r="A28" s="1"/>
      <c r="B28" s="1">
        <v>2023.0</v>
      </c>
    </row>
    <row r="29">
      <c r="A29" s="728"/>
      <c r="B29" s="728" t="s">
        <v>243</v>
      </c>
      <c r="C29" s="728" t="s">
        <v>3445</v>
      </c>
      <c r="D29" s="728" t="s">
        <v>3446</v>
      </c>
      <c r="E29" s="728" t="s">
        <v>3447</v>
      </c>
      <c r="F29" s="728" t="s">
        <v>3448</v>
      </c>
      <c r="G29" s="729" t="s">
        <v>3449</v>
      </c>
      <c r="H29" s="730" t="s">
        <v>3450</v>
      </c>
      <c r="I29" s="731" t="s">
        <v>3451</v>
      </c>
      <c r="J29" s="732" t="s">
        <v>3452</v>
      </c>
      <c r="K29" s="733" t="s">
        <v>50</v>
      </c>
      <c r="L29" s="734" t="s">
        <v>3453</v>
      </c>
    </row>
    <row r="30">
      <c r="A30" s="746" t="s">
        <v>3501</v>
      </c>
      <c r="B30" s="28">
        <v>44929.0</v>
      </c>
      <c r="C30" s="29">
        <v>7.3</v>
      </c>
      <c r="D30" s="29">
        <v>17.0</v>
      </c>
      <c r="E30" s="42" t="s">
        <v>21</v>
      </c>
      <c r="F30" s="42" t="s">
        <v>22</v>
      </c>
      <c r="G30" s="39">
        <v>8.75</v>
      </c>
    </row>
    <row r="31">
      <c r="B31" s="28">
        <v>44930.0</v>
      </c>
      <c r="C31" s="29">
        <v>7.3</v>
      </c>
      <c r="D31" s="29">
        <v>17.0</v>
      </c>
      <c r="E31" s="42" t="s">
        <v>21</v>
      </c>
      <c r="F31" s="42" t="s">
        <v>22</v>
      </c>
      <c r="G31" s="39">
        <v>8.75</v>
      </c>
    </row>
    <row r="32">
      <c r="B32" s="28">
        <v>44931.0</v>
      </c>
      <c r="C32" s="29">
        <v>7.3</v>
      </c>
      <c r="D32" s="29">
        <v>17.0</v>
      </c>
      <c r="E32" s="42" t="s">
        <v>21</v>
      </c>
      <c r="F32" s="42" t="s">
        <v>22</v>
      </c>
      <c r="G32" s="39">
        <v>8.75</v>
      </c>
    </row>
    <row r="33">
      <c r="B33" s="28">
        <v>44932.0</v>
      </c>
      <c r="C33" s="648" t="s">
        <v>15</v>
      </c>
    </row>
    <row r="34">
      <c r="B34" s="3" t="s">
        <v>7</v>
      </c>
      <c r="C34" s="14"/>
      <c r="D34" s="14"/>
      <c r="E34" s="15"/>
      <c r="F34" s="6"/>
      <c r="G34" s="735">
        <f>G30+G31+G32</f>
        <v>26.25</v>
      </c>
    </row>
    <row r="35">
      <c r="B35" s="28">
        <v>44935.0</v>
      </c>
      <c r="C35" s="29">
        <v>7.3</v>
      </c>
      <c r="D35" s="29">
        <v>17.0</v>
      </c>
      <c r="E35" s="42" t="s">
        <v>21</v>
      </c>
      <c r="F35" s="42" t="s">
        <v>22</v>
      </c>
      <c r="G35" s="39">
        <v>8.75</v>
      </c>
    </row>
    <row r="36">
      <c r="B36" s="28">
        <v>44936.0</v>
      </c>
      <c r="C36" s="29">
        <v>7.3</v>
      </c>
      <c r="D36" s="29">
        <v>17.0</v>
      </c>
      <c r="E36" s="42" t="s">
        <v>21</v>
      </c>
      <c r="F36" s="42" t="s">
        <v>22</v>
      </c>
      <c r="G36" s="39">
        <v>8.75</v>
      </c>
    </row>
    <row r="37">
      <c r="B37" s="28">
        <v>44937.0</v>
      </c>
      <c r="C37" s="29">
        <v>7.3</v>
      </c>
      <c r="D37" s="29">
        <v>17.0</v>
      </c>
      <c r="E37" s="42" t="s">
        <v>21</v>
      </c>
      <c r="F37" s="42" t="s">
        <v>22</v>
      </c>
      <c r="G37" s="39">
        <v>8.75</v>
      </c>
    </row>
    <row r="38">
      <c r="B38" s="28">
        <v>44938.0</v>
      </c>
      <c r="C38" s="29">
        <v>7.3</v>
      </c>
      <c r="D38" s="29">
        <v>17.0</v>
      </c>
      <c r="E38" s="42" t="s">
        <v>21</v>
      </c>
      <c r="F38" s="42" t="s">
        <v>22</v>
      </c>
      <c r="G38" s="39">
        <v>8.75</v>
      </c>
    </row>
    <row r="39">
      <c r="B39" s="28">
        <v>44939.0</v>
      </c>
      <c r="C39" s="648" t="s">
        <v>15</v>
      </c>
    </row>
    <row r="40">
      <c r="B40" s="3" t="s">
        <v>7</v>
      </c>
      <c r="C40" s="14"/>
      <c r="D40" s="14"/>
      <c r="E40" s="15"/>
      <c r="F40" s="6"/>
      <c r="G40" s="735">
        <f>G35+G36+G37+G38</f>
        <v>35</v>
      </c>
    </row>
    <row r="41">
      <c r="B41" s="28">
        <v>44942.0</v>
      </c>
      <c r="C41" s="29">
        <v>7.3</v>
      </c>
      <c r="D41" s="29">
        <v>17.0</v>
      </c>
      <c r="E41" s="30" t="s">
        <v>21</v>
      </c>
      <c r="F41" s="30" t="s">
        <v>22</v>
      </c>
      <c r="G41" s="29">
        <v>8.75</v>
      </c>
    </row>
    <row r="42">
      <c r="B42" s="28">
        <v>44943.0</v>
      </c>
      <c r="C42" s="29">
        <v>7.3</v>
      </c>
      <c r="D42" s="29">
        <v>17.0</v>
      </c>
      <c r="E42" s="30" t="s">
        <v>21</v>
      </c>
      <c r="F42" s="30" t="s">
        <v>22</v>
      </c>
      <c r="G42" s="29">
        <v>8.75</v>
      </c>
    </row>
    <row r="43">
      <c r="B43" s="28">
        <v>44944.0</v>
      </c>
      <c r="C43" s="29">
        <v>7.3</v>
      </c>
      <c r="D43" s="29">
        <v>17.0</v>
      </c>
      <c r="E43" s="30" t="s">
        <v>21</v>
      </c>
      <c r="F43" s="30" t="s">
        <v>22</v>
      </c>
      <c r="G43" s="29">
        <v>8.75</v>
      </c>
    </row>
    <row r="44">
      <c r="B44" s="28">
        <v>44945.0</v>
      </c>
      <c r="C44" s="29">
        <v>7.3</v>
      </c>
      <c r="D44" s="29">
        <v>17.0</v>
      </c>
      <c r="E44" s="30" t="s">
        <v>21</v>
      </c>
      <c r="F44" s="30" t="s">
        <v>22</v>
      </c>
      <c r="G44" s="29">
        <v>8.75</v>
      </c>
    </row>
    <row r="45">
      <c r="B45" s="28">
        <v>44946.0</v>
      </c>
      <c r="C45" s="393" t="s">
        <v>15</v>
      </c>
    </row>
    <row r="46">
      <c r="B46" s="3" t="s">
        <v>7</v>
      </c>
      <c r="C46" s="14"/>
      <c r="D46" s="14"/>
      <c r="E46" s="15"/>
      <c r="F46" s="6"/>
      <c r="G46" s="735">
        <f>G41+G42+G43+G44</f>
        <v>35</v>
      </c>
    </row>
    <row r="47">
      <c r="B47" s="28">
        <v>44949.0</v>
      </c>
      <c r="C47" s="29">
        <v>7.3</v>
      </c>
      <c r="D47" s="29">
        <v>17.0</v>
      </c>
      <c r="E47" s="30" t="s">
        <v>21</v>
      </c>
      <c r="F47" s="30" t="s">
        <v>22</v>
      </c>
      <c r="G47" s="29">
        <v>8.75</v>
      </c>
    </row>
    <row r="48">
      <c r="B48" s="28">
        <v>44950.0</v>
      </c>
      <c r="C48" s="29">
        <v>7.3</v>
      </c>
      <c r="D48" s="29">
        <v>17.0</v>
      </c>
      <c r="E48" s="30" t="s">
        <v>21</v>
      </c>
      <c r="F48" s="30" t="s">
        <v>22</v>
      </c>
      <c r="G48" s="29">
        <v>8.75</v>
      </c>
    </row>
    <row r="49">
      <c r="B49" s="28">
        <v>44951.0</v>
      </c>
      <c r="C49" s="29">
        <v>7.3</v>
      </c>
      <c r="D49" s="29">
        <v>17.0</v>
      </c>
      <c r="E49" s="30" t="s">
        <v>21</v>
      </c>
      <c r="F49" s="30" t="s">
        <v>22</v>
      </c>
      <c r="G49" s="29">
        <v>8.75</v>
      </c>
    </row>
    <row r="50">
      <c r="B50" s="28">
        <v>44952.0</v>
      </c>
      <c r="C50" s="29">
        <v>7.3</v>
      </c>
      <c r="D50" s="29">
        <v>17.0</v>
      </c>
      <c r="E50" s="30" t="s">
        <v>21</v>
      </c>
      <c r="F50" s="30" t="s">
        <v>22</v>
      </c>
      <c r="G50" s="29">
        <v>8.75</v>
      </c>
    </row>
    <row r="51">
      <c r="B51" s="28">
        <v>44953.0</v>
      </c>
      <c r="C51" s="393" t="s">
        <v>15</v>
      </c>
    </row>
    <row r="52">
      <c r="B52" s="3" t="s">
        <v>7</v>
      </c>
      <c r="C52" s="14"/>
      <c r="D52" s="14"/>
      <c r="E52" s="15"/>
      <c r="F52" s="6"/>
      <c r="G52" s="735">
        <f>G47+G48+G49+G50</f>
        <v>35</v>
      </c>
    </row>
    <row r="53">
      <c r="B53" s="28">
        <v>44956.0</v>
      </c>
      <c r="C53" s="29">
        <v>7.3</v>
      </c>
      <c r="D53" s="29">
        <v>17.0</v>
      </c>
      <c r="E53" s="30" t="s">
        <v>21</v>
      </c>
      <c r="F53" s="30" t="s">
        <v>22</v>
      </c>
      <c r="G53" s="29">
        <v>8.75</v>
      </c>
    </row>
    <row r="54">
      <c r="B54" s="28">
        <v>44957.0</v>
      </c>
      <c r="C54" s="29">
        <v>7.3</v>
      </c>
      <c r="D54" s="29">
        <v>17.0</v>
      </c>
      <c r="E54" s="30" t="s">
        <v>21</v>
      </c>
      <c r="F54" s="30" t="s">
        <v>22</v>
      </c>
      <c r="G54" s="29">
        <v>8.75</v>
      </c>
    </row>
    <row r="55">
      <c r="B55" s="3" t="s">
        <v>7</v>
      </c>
      <c r="C55" s="14"/>
      <c r="D55" s="14"/>
      <c r="E55" s="15"/>
      <c r="F55" s="6"/>
      <c r="G55" s="735">
        <f>G54+G53</f>
        <v>17.5</v>
      </c>
      <c r="K55" s="8"/>
      <c r="N55" s="9" t="s">
        <v>9</v>
      </c>
      <c r="O55" s="10" t="s">
        <v>10</v>
      </c>
      <c r="P55" s="10"/>
      <c r="Q55" s="10" t="s">
        <v>1</v>
      </c>
    </row>
    <row r="56">
      <c r="B56" s="13" t="s">
        <v>2</v>
      </c>
      <c r="C56" s="14"/>
      <c r="D56" s="14"/>
      <c r="E56" s="15"/>
      <c r="F56" s="16"/>
      <c r="G56" s="17">
        <f>G34+G40+G46+G52+G55</f>
        <v>148.75</v>
      </c>
      <c r="H56" s="18"/>
      <c r="I56" s="19" t="str">
        <f>I39</f>
        <v/>
      </c>
      <c r="J56" s="20">
        <f>H56-I56</f>
        <v>0</v>
      </c>
      <c r="K56" s="21" t="s">
        <v>3502</v>
      </c>
      <c r="L56" s="22" t="s">
        <v>3503</v>
      </c>
      <c r="M56" s="23" t="s">
        <v>14</v>
      </c>
      <c r="N56" s="224">
        <v>1768.4</v>
      </c>
      <c r="O56" s="283">
        <v>1205.13</v>
      </c>
      <c r="P56" s="202"/>
      <c r="Q56" s="27">
        <v>1447.47</v>
      </c>
    </row>
    <row r="57">
      <c r="B57" s="728" t="s">
        <v>243</v>
      </c>
      <c r="C57" s="728" t="s">
        <v>3445</v>
      </c>
      <c r="D57" s="728" t="s">
        <v>3446</v>
      </c>
      <c r="E57" s="728" t="s">
        <v>3447</v>
      </c>
      <c r="F57" s="728" t="s">
        <v>3448</v>
      </c>
      <c r="G57" s="729" t="s">
        <v>3449</v>
      </c>
      <c r="H57" s="730" t="s">
        <v>3450</v>
      </c>
      <c r="I57" s="731" t="s">
        <v>3451</v>
      </c>
      <c r="J57" s="732" t="s">
        <v>3452</v>
      </c>
      <c r="K57" s="733" t="s">
        <v>50</v>
      </c>
      <c r="L57" s="734" t="s">
        <v>3453</v>
      </c>
    </row>
    <row r="58">
      <c r="B58" s="28">
        <v>44958.0</v>
      </c>
      <c r="C58" s="29">
        <v>7.3</v>
      </c>
      <c r="D58" s="29">
        <v>17.0</v>
      </c>
      <c r="E58" s="30" t="s">
        <v>21</v>
      </c>
      <c r="F58" s="30" t="s">
        <v>22</v>
      </c>
      <c r="G58" s="29">
        <v>8.75</v>
      </c>
    </row>
    <row r="59">
      <c r="B59" s="28">
        <v>44959.0</v>
      </c>
      <c r="C59" s="29">
        <v>7.3</v>
      </c>
      <c r="D59" s="29">
        <v>17.0</v>
      </c>
      <c r="E59" s="30" t="s">
        <v>21</v>
      </c>
      <c r="F59" s="30" t="s">
        <v>22</v>
      </c>
      <c r="G59" s="29">
        <v>8.75</v>
      </c>
    </row>
    <row r="60">
      <c r="B60" s="28">
        <v>44960.0</v>
      </c>
      <c r="C60" s="393" t="s">
        <v>15</v>
      </c>
    </row>
    <row r="61">
      <c r="B61" s="3" t="s">
        <v>7</v>
      </c>
      <c r="C61" s="14"/>
      <c r="D61" s="14"/>
      <c r="E61" s="15"/>
      <c r="F61" s="6"/>
      <c r="G61" s="735">
        <f>G58+G59</f>
        <v>17.5</v>
      </c>
    </row>
    <row r="62">
      <c r="B62" s="28">
        <v>44963.0</v>
      </c>
      <c r="C62" s="29">
        <v>7.3</v>
      </c>
      <c r="D62" s="29">
        <v>17.0</v>
      </c>
      <c r="E62" s="30" t="s">
        <v>21</v>
      </c>
      <c r="F62" s="30" t="s">
        <v>22</v>
      </c>
      <c r="G62" s="29">
        <v>8.75</v>
      </c>
    </row>
    <row r="63">
      <c r="B63" s="28">
        <v>44964.0</v>
      </c>
      <c r="C63" s="29">
        <v>7.3</v>
      </c>
      <c r="D63" s="29">
        <v>17.0</v>
      </c>
      <c r="E63" s="30" t="s">
        <v>21</v>
      </c>
      <c r="F63" s="30" t="s">
        <v>22</v>
      </c>
      <c r="G63" s="29">
        <v>8.75</v>
      </c>
    </row>
    <row r="64">
      <c r="B64" s="28">
        <v>44965.0</v>
      </c>
      <c r="C64" s="648" t="s">
        <v>3504</v>
      </c>
      <c r="I64" s="747"/>
      <c r="K64" s="51" t="s">
        <v>3495</v>
      </c>
    </row>
    <row r="65">
      <c r="B65" s="28">
        <v>44966.0</v>
      </c>
      <c r="C65" s="648" t="s">
        <v>3504</v>
      </c>
      <c r="I65" s="747"/>
      <c r="K65" s="51" t="s">
        <v>3495</v>
      </c>
    </row>
    <row r="66">
      <c r="B66" s="28">
        <v>44967.0</v>
      </c>
      <c r="C66" s="393" t="s">
        <v>15</v>
      </c>
    </row>
    <row r="67">
      <c r="B67" s="3" t="s">
        <v>7</v>
      </c>
      <c r="C67" s="14"/>
      <c r="D67" s="14"/>
      <c r="E67" s="15"/>
      <c r="F67" s="6"/>
      <c r="G67" s="735">
        <f>G62+G63+G64+G65</f>
        <v>17.5</v>
      </c>
    </row>
    <row r="68">
      <c r="B68" s="28">
        <v>44970.0</v>
      </c>
      <c r="C68" s="29">
        <v>7.3</v>
      </c>
      <c r="D68" s="29">
        <v>17.0</v>
      </c>
      <c r="E68" s="30" t="s">
        <v>21</v>
      </c>
      <c r="F68" s="30" t="s">
        <v>22</v>
      </c>
      <c r="G68" s="29">
        <v>8.75</v>
      </c>
    </row>
    <row r="69">
      <c r="B69" s="28">
        <v>44971.0</v>
      </c>
      <c r="C69" s="29">
        <v>7.3</v>
      </c>
      <c r="D69" s="29">
        <v>17.0</v>
      </c>
      <c r="E69" s="30" t="s">
        <v>21</v>
      </c>
      <c r="F69" s="30" t="s">
        <v>22</v>
      </c>
      <c r="G69" s="29">
        <v>8.75</v>
      </c>
    </row>
    <row r="70">
      <c r="B70" s="28">
        <v>44972.0</v>
      </c>
      <c r="C70" s="29">
        <v>7.3</v>
      </c>
      <c r="D70" s="29">
        <v>17.0</v>
      </c>
      <c r="E70" s="30" t="s">
        <v>21</v>
      </c>
      <c r="F70" s="30" t="s">
        <v>22</v>
      </c>
      <c r="G70" s="29">
        <v>8.75</v>
      </c>
    </row>
    <row r="71">
      <c r="B71" s="28">
        <v>44973.0</v>
      </c>
      <c r="C71" s="29">
        <v>7.3</v>
      </c>
      <c r="D71" s="29">
        <v>17.0</v>
      </c>
      <c r="E71" s="30" t="s">
        <v>21</v>
      </c>
      <c r="F71" s="30" t="s">
        <v>22</v>
      </c>
      <c r="G71" s="29">
        <v>8.75</v>
      </c>
    </row>
    <row r="72">
      <c r="B72" s="28">
        <v>44974.0</v>
      </c>
      <c r="C72" s="393" t="s">
        <v>15</v>
      </c>
    </row>
    <row r="73">
      <c r="B73" s="3" t="s">
        <v>7</v>
      </c>
      <c r="C73" s="14"/>
      <c r="D73" s="14"/>
      <c r="E73" s="15"/>
      <c r="F73" s="6"/>
      <c r="G73" s="735">
        <f>G68+G69+G70+G71</f>
        <v>35</v>
      </c>
    </row>
    <row r="74">
      <c r="B74" s="28">
        <v>44977.0</v>
      </c>
      <c r="C74" s="29">
        <v>7.3</v>
      </c>
      <c r="D74" s="29">
        <v>17.0</v>
      </c>
      <c r="E74" s="30" t="s">
        <v>21</v>
      </c>
      <c r="F74" s="30" t="s">
        <v>22</v>
      </c>
      <c r="G74" s="29">
        <v>8.75</v>
      </c>
    </row>
    <row r="75">
      <c r="B75" s="28">
        <v>44978.0</v>
      </c>
      <c r="C75" s="29">
        <v>7.3</v>
      </c>
      <c r="D75" s="29">
        <v>17.0</v>
      </c>
      <c r="E75" s="30" t="s">
        <v>21</v>
      </c>
      <c r="F75" s="30" t="s">
        <v>22</v>
      </c>
      <c r="G75" s="29">
        <v>8.75</v>
      </c>
    </row>
    <row r="76">
      <c r="B76" s="28">
        <v>44979.0</v>
      </c>
      <c r="C76" s="29">
        <v>7.3</v>
      </c>
      <c r="D76" s="29">
        <v>17.0</v>
      </c>
      <c r="E76" s="30" t="s">
        <v>21</v>
      </c>
      <c r="F76" s="30" t="s">
        <v>22</v>
      </c>
      <c r="G76" s="29">
        <v>8.75</v>
      </c>
    </row>
    <row r="77">
      <c r="B77" s="28">
        <v>44980.0</v>
      </c>
      <c r="C77" s="29">
        <v>7.3</v>
      </c>
      <c r="D77" s="29">
        <v>17.0</v>
      </c>
      <c r="E77" s="30" t="s">
        <v>21</v>
      </c>
      <c r="F77" s="30" t="s">
        <v>22</v>
      </c>
      <c r="G77" s="29">
        <v>8.75</v>
      </c>
    </row>
    <row r="78">
      <c r="B78" s="28">
        <v>44981.0</v>
      </c>
      <c r="C78" s="393" t="s">
        <v>15</v>
      </c>
    </row>
    <row r="79">
      <c r="B79" s="3" t="s">
        <v>7</v>
      </c>
      <c r="C79" s="14"/>
      <c r="D79" s="14"/>
      <c r="E79" s="15"/>
      <c r="F79" s="6"/>
      <c r="G79" s="735">
        <f>G74+G75+G76+G77</f>
        <v>35</v>
      </c>
    </row>
    <row r="80">
      <c r="B80" s="28">
        <v>44984.0</v>
      </c>
      <c r="C80" s="29">
        <v>7.3</v>
      </c>
      <c r="D80" s="29">
        <v>17.0</v>
      </c>
      <c r="E80" s="30" t="s">
        <v>21</v>
      </c>
      <c r="F80" s="30" t="s">
        <v>22</v>
      </c>
      <c r="G80" s="29">
        <v>8.75</v>
      </c>
    </row>
    <row r="81">
      <c r="B81" s="28">
        <v>44985.0</v>
      </c>
      <c r="C81" s="29">
        <v>7.3</v>
      </c>
      <c r="D81" s="29">
        <v>17.0</v>
      </c>
      <c r="E81" s="30" t="s">
        <v>21</v>
      </c>
      <c r="F81" s="30" t="s">
        <v>22</v>
      </c>
      <c r="G81" s="29">
        <v>8.75</v>
      </c>
    </row>
    <row r="82">
      <c r="B82" s="3" t="s">
        <v>7</v>
      </c>
      <c r="C82" s="14"/>
      <c r="D82" s="14"/>
      <c r="E82" s="15"/>
      <c r="F82" s="6"/>
      <c r="G82" s="735">
        <f>G81+G80</f>
        <v>17.5</v>
      </c>
      <c r="K82" s="8"/>
      <c r="N82" s="9" t="s">
        <v>9</v>
      </c>
      <c r="O82" s="10" t="s">
        <v>10</v>
      </c>
      <c r="P82" s="10"/>
      <c r="Q82" s="10" t="s">
        <v>1</v>
      </c>
    </row>
    <row r="83">
      <c r="B83" s="13" t="s">
        <v>2</v>
      </c>
      <c r="C83" s="14"/>
      <c r="D83" s="14"/>
      <c r="E83" s="15"/>
      <c r="F83" s="16"/>
      <c r="G83" s="17">
        <f>G61+G67+G73+G79+G82</f>
        <v>122.5</v>
      </c>
      <c r="H83" s="18"/>
      <c r="I83" s="19">
        <f>I64+I65</f>
        <v>0</v>
      </c>
      <c r="J83" s="20">
        <f>H83-I83</f>
        <v>0</v>
      </c>
      <c r="K83" s="21" t="s">
        <v>3505</v>
      </c>
      <c r="L83" s="22" t="s">
        <v>3506</v>
      </c>
      <c r="M83" s="23" t="s">
        <v>14</v>
      </c>
      <c r="N83" s="224">
        <v>1542.06</v>
      </c>
      <c r="O83" s="283">
        <v>1002.21</v>
      </c>
      <c r="P83" s="202"/>
      <c r="Q83" s="27">
        <v>1261.85</v>
      </c>
    </row>
    <row r="84">
      <c r="B84" s="728" t="s">
        <v>243</v>
      </c>
      <c r="C84" s="728" t="s">
        <v>3445</v>
      </c>
      <c r="D84" s="728" t="s">
        <v>3446</v>
      </c>
      <c r="E84" s="728" t="s">
        <v>3447</v>
      </c>
      <c r="F84" s="728" t="s">
        <v>3448</v>
      </c>
      <c r="G84" s="729" t="s">
        <v>3449</v>
      </c>
      <c r="H84" s="730" t="s">
        <v>3450</v>
      </c>
      <c r="I84" s="731" t="s">
        <v>3451</v>
      </c>
      <c r="J84" s="732" t="s">
        <v>3452</v>
      </c>
      <c r="K84" s="733" t="s">
        <v>50</v>
      </c>
      <c r="L84" s="734" t="s">
        <v>3453</v>
      </c>
    </row>
    <row r="85">
      <c r="B85" s="28">
        <v>44986.0</v>
      </c>
      <c r="C85" s="29">
        <v>7.3</v>
      </c>
      <c r="D85" s="29">
        <v>17.0</v>
      </c>
      <c r="E85" s="30" t="s">
        <v>21</v>
      </c>
      <c r="F85" s="30" t="s">
        <v>22</v>
      </c>
      <c r="G85" s="29">
        <v>8.75</v>
      </c>
    </row>
    <row r="86">
      <c r="B86" s="28">
        <v>44987.0</v>
      </c>
      <c r="C86" s="29">
        <v>7.3</v>
      </c>
      <c r="D86" s="29">
        <v>17.0</v>
      </c>
      <c r="E86" s="30" t="s">
        <v>21</v>
      </c>
      <c r="F86" s="30" t="s">
        <v>22</v>
      </c>
      <c r="G86" s="29">
        <v>8.75</v>
      </c>
    </row>
    <row r="87">
      <c r="B87" s="28">
        <v>44988.0</v>
      </c>
      <c r="C87" s="393" t="s">
        <v>15</v>
      </c>
    </row>
    <row r="88">
      <c r="B88" s="3" t="s">
        <v>7</v>
      </c>
      <c r="C88" s="14"/>
      <c r="D88" s="14"/>
      <c r="E88" s="15"/>
      <c r="F88" s="6"/>
      <c r="G88" s="735">
        <f>G85+G86+G87</f>
        <v>17.5</v>
      </c>
    </row>
    <row r="89">
      <c r="B89" s="28">
        <v>44991.0</v>
      </c>
      <c r="C89" s="29">
        <v>7.3</v>
      </c>
      <c r="D89" s="29">
        <v>17.0</v>
      </c>
      <c r="E89" s="30" t="s">
        <v>21</v>
      </c>
      <c r="F89" s="30" t="s">
        <v>22</v>
      </c>
      <c r="G89" s="29">
        <v>8.75</v>
      </c>
    </row>
    <row r="90">
      <c r="B90" s="28">
        <v>44992.0</v>
      </c>
      <c r="C90" s="29">
        <v>7.3</v>
      </c>
      <c r="D90" s="29">
        <v>17.0</v>
      </c>
      <c r="E90" s="30" t="s">
        <v>21</v>
      </c>
      <c r="F90" s="30" t="s">
        <v>22</v>
      </c>
      <c r="G90" s="29">
        <v>8.75</v>
      </c>
    </row>
    <row r="91">
      <c r="B91" s="28">
        <v>44993.0</v>
      </c>
      <c r="C91" s="29">
        <v>7.3</v>
      </c>
      <c r="D91" s="29">
        <v>17.0</v>
      </c>
      <c r="E91" s="30" t="s">
        <v>21</v>
      </c>
      <c r="F91" s="30" t="s">
        <v>22</v>
      </c>
      <c r="G91" s="29">
        <v>8.75</v>
      </c>
    </row>
    <row r="92">
      <c r="B92" s="28">
        <v>44994.0</v>
      </c>
      <c r="C92" s="29">
        <v>7.3</v>
      </c>
      <c r="D92" s="29">
        <v>17.0</v>
      </c>
      <c r="E92" s="30" t="s">
        <v>21</v>
      </c>
      <c r="F92" s="30" t="s">
        <v>22</v>
      </c>
      <c r="G92" s="29">
        <v>8.75</v>
      </c>
    </row>
    <row r="93">
      <c r="B93" s="28">
        <v>44995.0</v>
      </c>
      <c r="C93" s="393" t="s">
        <v>15</v>
      </c>
    </row>
    <row r="94">
      <c r="B94" s="3" t="s">
        <v>7</v>
      </c>
      <c r="C94" s="14"/>
      <c r="D94" s="14"/>
      <c r="E94" s="15"/>
      <c r="F94" s="6"/>
      <c r="G94" s="735">
        <f>G91+G92+G93+G89+G90</f>
        <v>35</v>
      </c>
    </row>
    <row r="95">
      <c r="B95" s="28">
        <v>44998.0</v>
      </c>
      <c r="C95" s="29">
        <v>7.3</v>
      </c>
      <c r="D95" s="29">
        <v>17.0</v>
      </c>
      <c r="E95" s="30" t="s">
        <v>21</v>
      </c>
      <c r="F95" s="30" t="s">
        <v>22</v>
      </c>
      <c r="G95" s="29">
        <v>8.75</v>
      </c>
    </row>
    <row r="96">
      <c r="B96" s="28">
        <v>44999.0</v>
      </c>
      <c r="C96" s="29">
        <v>7.3</v>
      </c>
      <c r="D96" s="29">
        <v>17.0</v>
      </c>
      <c r="E96" s="30" t="s">
        <v>21</v>
      </c>
      <c r="F96" s="42" t="s">
        <v>3507</v>
      </c>
      <c r="G96" s="39">
        <v>6.75</v>
      </c>
      <c r="I96" s="745">
        <v>2.0</v>
      </c>
      <c r="K96" s="51" t="s">
        <v>3508</v>
      </c>
    </row>
    <row r="97">
      <c r="B97" s="28">
        <v>45000.0</v>
      </c>
      <c r="C97" s="29">
        <v>7.3</v>
      </c>
      <c r="D97" s="29">
        <v>17.0</v>
      </c>
      <c r="E97" s="30" t="s">
        <v>21</v>
      </c>
      <c r="F97" s="30" t="s">
        <v>22</v>
      </c>
      <c r="G97" s="29">
        <v>8.75</v>
      </c>
    </row>
    <row r="98">
      <c r="B98" s="28">
        <v>45001.0</v>
      </c>
      <c r="C98" s="29">
        <v>7.3</v>
      </c>
      <c r="D98" s="29">
        <v>17.0</v>
      </c>
      <c r="E98" s="30" t="s">
        <v>21</v>
      </c>
      <c r="F98" s="30" t="s">
        <v>22</v>
      </c>
      <c r="G98" s="29">
        <v>8.75</v>
      </c>
    </row>
    <row r="99">
      <c r="B99" s="28">
        <v>45002.0</v>
      </c>
      <c r="C99" s="393" t="s">
        <v>15</v>
      </c>
    </row>
    <row r="100">
      <c r="B100" s="3" t="s">
        <v>7</v>
      </c>
      <c r="C100" s="14"/>
      <c r="D100" s="14"/>
      <c r="E100" s="15"/>
      <c r="F100" s="6"/>
      <c r="G100" s="735">
        <f>G97+G98+G99+G95+G96</f>
        <v>33</v>
      </c>
    </row>
    <row r="101">
      <c r="B101" s="28">
        <v>45005.0</v>
      </c>
      <c r="C101" s="29">
        <v>7.3</v>
      </c>
      <c r="D101" s="29">
        <v>17.0</v>
      </c>
      <c r="E101" s="30" t="s">
        <v>21</v>
      </c>
      <c r="F101" s="30" t="s">
        <v>22</v>
      </c>
      <c r="G101" s="29">
        <v>8.75</v>
      </c>
    </row>
    <row r="102">
      <c r="B102" s="28">
        <v>45006.0</v>
      </c>
      <c r="C102" s="29">
        <v>7.3</v>
      </c>
      <c r="D102" s="29">
        <v>17.0</v>
      </c>
      <c r="E102" s="30" t="s">
        <v>21</v>
      </c>
      <c r="F102" s="30" t="s">
        <v>22</v>
      </c>
      <c r="G102" s="29">
        <v>8.75</v>
      </c>
    </row>
    <row r="103">
      <c r="B103" s="28">
        <v>45007.0</v>
      </c>
      <c r="C103" s="29">
        <v>7.3</v>
      </c>
      <c r="D103" s="29">
        <v>17.0</v>
      </c>
      <c r="E103" s="30" t="s">
        <v>21</v>
      </c>
      <c r="F103" s="30" t="s">
        <v>22</v>
      </c>
      <c r="G103" s="29">
        <v>8.75</v>
      </c>
    </row>
    <row r="104">
      <c r="B104" s="28">
        <v>45008.0</v>
      </c>
      <c r="C104" s="29">
        <v>7.3</v>
      </c>
      <c r="D104" s="29">
        <v>17.0</v>
      </c>
      <c r="E104" s="30" t="s">
        <v>21</v>
      </c>
      <c r="F104" s="30" t="s">
        <v>22</v>
      </c>
      <c r="G104" s="29">
        <v>8.75</v>
      </c>
    </row>
    <row r="105">
      <c r="B105" s="28">
        <v>45009.0</v>
      </c>
      <c r="C105" s="393" t="s">
        <v>15</v>
      </c>
    </row>
    <row r="106">
      <c r="B106" s="3" t="s">
        <v>7</v>
      </c>
      <c r="C106" s="14"/>
      <c r="D106" s="14"/>
      <c r="E106" s="15"/>
      <c r="F106" s="6"/>
      <c r="G106" s="735">
        <f>G103+G104+G105+G101+G102</f>
        <v>35</v>
      </c>
    </row>
    <row r="107">
      <c r="B107" s="28">
        <v>45012.0</v>
      </c>
      <c r="C107" s="29">
        <v>7.3</v>
      </c>
      <c r="D107" s="29">
        <v>17.0</v>
      </c>
      <c r="E107" s="30" t="s">
        <v>21</v>
      </c>
      <c r="F107" s="30" t="s">
        <v>22</v>
      </c>
      <c r="G107" s="29">
        <v>8.75</v>
      </c>
    </row>
    <row r="108">
      <c r="B108" s="28">
        <v>45013.0</v>
      </c>
      <c r="C108" s="29">
        <v>7.3</v>
      </c>
      <c r="D108" s="29">
        <v>17.0</v>
      </c>
      <c r="E108" s="30" t="s">
        <v>21</v>
      </c>
      <c r="F108" s="30" t="s">
        <v>22</v>
      </c>
      <c r="G108" s="29">
        <v>8.75</v>
      </c>
    </row>
    <row r="109">
      <c r="B109" s="28">
        <v>45014.0</v>
      </c>
      <c r="C109" s="29">
        <v>7.3</v>
      </c>
      <c r="D109" s="29">
        <v>17.0</v>
      </c>
      <c r="E109" s="30" t="s">
        <v>21</v>
      </c>
      <c r="F109" s="30" t="s">
        <v>22</v>
      </c>
      <c r="G109" s="29">
        <v>8.75</v>
      </c>
    </row>
    <row r="110">
      <c r="B110" s="28">
        <v>45015.0</v>
      </c>
      <c r="C110" s="29">
        <v>7.3</v>
      </c>
      <c r="D110" s="29">
        <v>17.0</v>
      </c>
      <c r="E110" s="30" t="s">
        <v>21</v>
      </c>
      <c r="F110" s="30" t="s">
        <v>22</v>
      </c>
      <c r="G110" s="29">
        <v>8.75</v>
      </c>
    </row>
    <row r="111">
      <c r="B111" s="28">
        <v>45016.0</v>
      </c>
      <c r="C111" s="393" t="s">
        <v>15</v>
      </c>
    </row>
    <row r="112">
      <c r="B112" s="3" t="s">
        <v>7</v>
      </c>
      <c r="C112" s="14"/>
      <c r="D112" s="14"/>
      <c r="E112" s="15"/>
      <c r="F112" s="6"/>
      <c r="G112" s="735">
        <f>G111+G110+G107+G108+G109</f>
        <v>35</v>
      </c>
      <c r="K112" s="8"/>
      <c r="N112" s="9" t="s">
        <v>9</v>
      </c>
      <c r="O112" s="10" t="s">
        <v>10</v>
      </c>
      <c r="P112" s="10"/>
      <c r="Q112" s="10" t="s">
        <v>1</v>
      </c>
    </row>
    <row r="113">
      <c r="B113" s="13" t="s">
        <v>2</v>
      </c>
      <c r="C113" s="14"/>
      <c r="D113" s="14"/>
      <c r="E113" s="15"/>
      <c r="F113" s="16"/>
      <c r="G113" s="17">
        <f>G88+G94+G100+G106+G112</f>
        <v>155.5</v>
      </c>
      <c r="H113" s="18"/>
      <c r="I113" s="19">
        <f>I96</f>
        <v>2</v>
      </c>
      <c r="J113" s="20">
        <f>H113-I113</f>
        <v>-2</v>
      </c>
      <c r="K113" s="21" t="s">
        <v>3509</v>
      </c>
      <c r="L113" s="22" t="s">
        <v>3510</v>
      </c>
      <c r="M113" s="23" t="s">
        <v>14</v>
      </c>
      <c r="N113" s="224">
        <v>2011.7</v>
      </c>
      <c r="O113" s="228">
        <v>1388.22</v>
      </c>
      <c r="P113" s="48"/>
      <c r="Q113" s="311">
        <v>1646.99</v>
      </c>
    </row>
    <row r="114">
      <c r="A114" s="728"/>
      <c r="B114" s="728" t="s">
        <v>243</v>
      </c>
      <c r="C114" s="728" t="s">
        <v>3445</v>
      </c>
      <c r="D114" s="728" t="s">
        <v>3446</v>
      </c>
      <c r="E114" s="728" t="s">
        <v>3447</v>
      </c>
      <c r="F114" s="728" t="s">
        <v>3448</v>
      </c>
      <c r="G114" s="729" t="s">
        <v>3449</v>
      </c>
      <c r="H114" s="730" t="s">
        <v>3450</v>
      </c>
      <c r="I114" s="731" t="s">
        <v>3451</v>
      </c>
      <c r="J114" s="732" t="s">
        <v>3452</v>
      </c>
      <c r="K114" s="733" t="s">
        <v>50</v>
      </c>
      <c r="L114" s="734" t="s">
        <v>3453</v>
      </c>
    </row>
    <row r="115">
      <c r="A115" s="28"/>
      <c r="B115" s="28">
        <v>45019.0</v>
      </c>
      <c r="C115" s="29">
        <v>7.3</v>
      </c>
      <c r="D115" s="29">
        <v>17.0</v>
      </c>
      <c r="E115" s="30" t="s">
        <v>21</v>
      </c>
      <c r="F115" s="30" t="s">
        <v>22</v>
      </c>
      <c r="G115" s="29">
        <v>8.75</v>
      </c>
    </row>
    <row r="116">
      <c r="A116" s="28"/>
      <c r="B116" s="28">
        <v>45020.0</v>
      </c>
      <c r="C116" s="29">
        <v>7.3</v>
      </c>
      <c r="D116" s="29">
        <v>17.0</v>
      </c>
      <c r="E116" s="30" t="s">
        <v>21</v>
      </c>
      <c r="F116" s="30" t="s">
        <v>22</v>
      </c>
      <c r="G116" s="29">
        <v>8.75</v>
      </c>
    </row>
    <row r="117">
      <c r="A117" s="28"/>
      <c r="B117" s="28">
        <v>45021.0</v>
      </c>
      <c r="C117" s="29">
        <v>7.3</v>
      </c>
      <c r="D117" s="29">
        <v>17.0</v>
      </c>
      <c r="E117" s="30" t="s">
        <v>21</v>
      </c>
      <c r="F117" s="30" t="s">
        <v>22</v>
      </c>
      <c r="G117" s="29">
        <v>8.75</v>
      </c>
    </row>
    <row r="118">
      <c r="A118" s="28"/>
      <c r="B118" s="28">
        <v>45022.0</v>
      </c>
      <c r="C118" s="29">
        <v>7.3</v>
      </c>
      <c r="D118" s="29">
        <v>17.0</v>
      </c>
      <c r="E118" s="30" t="s">
        <v>21</v>
      </c>
      <c r="F118" s="30" t="s">
        <v>22</v>
      </c>
      <c r="G118" s="29">
        <v>8.75</v>
      </c>
    </row>
    <row r="119">
      <c r="A119" s="28"/>
      <c r="B119" s="28">
        <v>45023.0</v>
      </c>
      <c r="C119" s="47">
        <v>7.3</v>
      </c>
      <c r="D119" s="47">
        <v>11.3</v>
      </c>
      <c r="E119" s="51" t="s">
        <v>5</v>
      </c>
      <c r="F119" s="51" t="s">
        <v>6</v>
      </c>
      <c r="G119" s="47">
        <v>4.0</v>
      </c>
      <c r="H119" s="47">
        <v>4.0</v>
      </c>
    </row>
    <row r="120">
      <c r="A120" s="2"/>
      <c r="B120" s="3" t="s">
        <v>7</v>
      </c>
      <c r="C120" s="14"/>
      <c r="D120" s="14"/>
      <c r="E120" s="15"/>
      <c r="F120" s="6"/>
      <c r="G120" s="735">
        <f>G119+G118+G115+G116+G117</f>
        <v>39</v>
      </c>
    </row>
    <row r="121">
      <c r="A121" s="28"/>
      <c r="B121" s="28">
        <v>45026.0</v>
      </c>
      <c r="C121" s="43" t="s">
        <v>24</v>
      </c>
      <c r="F121" s="44" t="s">
        <v>4</v>
      </c>
      <c r="G121" s="45">
        <v>7.75</v>
      </c>
    </row>
    <row r="122">
      <c r="A122" s="28"/>
      <c r="B122" s="28">
        <v>45027.0</v>
      </c>
      <c r="C122" s="29">
        <v>7.3</v>
      </c>
      <c r="D122" s="29">
        <v>17.0</v>
      </c>
      <c r="E122" s="30" t="s">
        <v>21</v>
      </c>
      <c r="F122" s="30" t="s">
        <v>22</v>
      </c>
      <c r="G122" s="29">
        <v>8.75</v>
      </c>
      <c r="H122" s="47">
        <v>1.0</v>
      </c>
    </row>
    <row r="123">
      <c r="A123" s="28"/>
      <c r="B123" s="28">
        <v>45028.0</v>
      </c>
      <c r="C123" s="29">
        <v>7.3</v>
      </c>
      <c r="D123" s="29">
        <v>17.0</v>
      </c>
      <c r="E123" s="30" t="s">
        <v>21</v>
      </c>
      <c r="F123" s="30" t="s">
        <v>22</v>
      </c>
      <c r="G123" s="29">
        <v>8.75</v>
      </c>
      <c r="H123" s="47">
        <v>1.0</v>
      </c>
    </row>
    <row r="124">
      <c r="A124" s="28"/>
      <c r="B124" s="28">
        <v>45029.0</v>
      </c>
      <c r="C124" s="29">
        <v>7.3</v>
      </c>
      <c r="D124" s="29">
        <v>17.0</v>
      </c>
      <c r="E124" s="30" t="s">
        <v>21</v>
      </c>
      <c r="F124" s="30" t="s">
        <v>22</v>
      </c>
      <c r="G124" s="29">
        <v>8.75</v>
      </c>
      <c r="H124" s="47">
        <v>1.0</v>
      </c>
    </row>
    <row r="125">
      <c r="A125" s="28"/>
      <c r="B125" s="28">
        <v>45030.0</v>
      </c>
      <c r="C125" s="29">
        <v>7.3</v>
      </c>
      <c r="D125" s="51">
        <v>16.15</v>
      </c>
      <c r="E125" s="51" t="s">
        <v>3</v>
      </c>
      <c r="F125" s="51" t="s">
        <v>27</v>
      </c>
      <c r="G125" s="47">
        <v>7.0</v>
      </c>
      <c r="H125" s="47">
        <v>3.0</v>
      </c>
    </row>
    <row r="126">
      <c r="A126" s="2"/>
      <c r="B126" s="3" t="s">
        <v>7</v>
      </c>
      <c r="C126" s="14"/>
      <c r="D126" s="14"/>
      <c r="E126" s="15"/>
      <c r="F126" s="6"/>
      <c r="G126" s="735">
        <f>G125+G124+G121+G122+G123</f>
        <v>41</v>
      </c>
    </row>
    <row r="127">
      <c r="A127" s="28"/>
      <c r="B127" s="28">
        <v>45033.0</v>
      </c>
      <c r="C127" s="29">
        <v>7.3</v>
      </c>
      <c r="D127" s="29">
        <v>17.0</v>
      </c>
      <c r="E127" s="30" t="s">
        <v>21</v>
      </c>
      <c r="F127" s="30" t="s">
        <v>22</v>
      </c>
      <c r="G127" s="29">
        <v>8.75</v>
      </c>
      <c r="H127" s="47">
        <v>1.0</v>
      </c>
    </row>
    <row r="128">
      <c r="A128" s="28"/>
      <c r="B128" s="28">
        <v>45034.0</v>
      </c>
      <c r="C128" s="29">
        <v>7.3</v>
      </c>
      <c r="D128" s="29">
        <v>17.0</v>
      </c>
      <c r="E128" s="30" t="s">
        <v>21</v>
      </c>
      <c r="F128" s="30" t="s">
        <v>22</v>
      </c>
      <c r="G128" s="29">
        <v>8.75</v>
      </c>
      <c r="H128" s="47">
        <v>1.0</v>
      </c>
    </row>
    <row r="129">
      <c r="A129" s="28"/>
      <c r="B129" s="28">
        <v>45035.0</v>
      </c>
      <c r="C129" s="29">
        <v>7.3</v>
      </c>
      <c r="D129" s="29">
        <v>17.0</v>
      </c>
      <c r="E129" s="42" t="s">
        <v>3</v>
      </c>
      <c r="F129" s="42" t="s">
        <v>4</v>
      </c>
      <c r="G129" s="39">
        <v>7.75</v>
      </c>
    </row>
    <row r="130">
      <c r="A130" s="28"/>
      <c r="B130" s="28">
        <v>45036.0</v>
      </c>
      <c r="C130" s="29">
        <v>7.3</v>
      </c>
      <c r="D130" s="29">
        <v>17.0</v>
      </c>
      <c r="E130" s="42" t="s">
        <v>3</v>
      </c>
      <c r="F130" s="42" t="s">
        <v>4</v>
      </c>
      <c r="G130" s="39">
        <v>7.75</v>
      </c>
    </row>
    <row r="131">
      <c r="A131" s="28"/>
      <c r="B131" s="28">
        <v>45037.0</v>
      </c>
      <c r="C131" s="47">
        <v>7.3</v>
      </c>
      <c r="D131" s="47">
        <v>11.3</v>
      </c>
      <c r="E131" s="51" t="s">
        <v>5</v>
      </c>
      <c r="F131" s="51" t="s">
        <v>6</v>
      </c>
      <c r="G131" s="47">
        <v>4.0</v>
      </c>
      <c r="H131" s="47"/>
    </row>
    <row r="132">
      <c r="A132" s="2"/>
      <c r="B132" s="3" t="s">
        <v>7</v>
      </c>
      <c r="C132" s="14"/>
      <c r="D132" s="14"/>
      <c r="E132" s="15"/>
      <c r="F132" s="6"/>
      <c r="G132" s="735">
        <f>G131+G130+G127+G128+G129</f>
        <v>37</v>
      </c>
    </row>
    <row r="133">
      <c r="A133" s="28"/>
      <c r="B133" s="28">
        <v>45040.0</v>
      </c>
      <c r="C133" s="29">
        <v>7.3</v>
      </c>
      <c r="D133" s="29">
        <v>17.0</v>
      </c>
      <c r="E133" s="42" t="s">
        <v>3</v>
      </c>
      <c r="F133" s="42" t="s">
        <v>4</v>
      </c>
      <c r="G133" s="39">
        <v>7.75</v>
      </c>
    </row>
    <row r="134">
      <c r="A134" s="28"/>
      <c r="B134" s="28">
        <v>45041.0</v>
      </c>
      <c r="C134" s="29">
        <v>7.3</v>
      </c>
      <c r="D134" s="29">
        <v>17.0</v>
      </c>
      <c r="E134" s="42" t="s">
        <v>3</v>
      </c>
      <c r="F134" s="42" t="s">
        <v>4</v>
      </c>
      <c r="G134" s="39">
        <v>7.75</v>
      </c>
    </row>
    <row r="135">
      <c r="A135" s="28"/>
      <c r="B135" s="28">
        <v>45042.0</v>
      </c>
      <c r="C135" s="29">
        <v>7.3</v>
      </c>
      <c r="D135" s="29">
        <v>17.0</v>
      </c>
      <c r="E135" s="30" t="s">
        <v>21</v>
      </c>
      <c r="F135" s="30" t="s">
        <v>22</v>
      </c>
      <c r="G135" s="29">
        <v>8.75</v>
      </c>
      <c r="H135" s="47">
        <v>1.0</v>
      </c>
    </row>
    <row r="136">
      <c r="A136" s="28"/>
      <c r="B136" s="28">
        <v>45043.0</v>
      </c>
      <c r="C136" s="29">
        <v>7.3</v>
      </c>
      <c r="D136" s="29">
        <v>17.0</v>
      </c>
      <c r="E136" s="30" t="s">
        <v>21</v>
      </c>
      <c r="F136" s="30" t="s">
        <v>22</v>
      </c>
      <c r="G136" s="29">
        <v>8.75</v>
      </c>
      <c r="H136" s="47">
        <v>1.0</v>
      </c>
    </row>
    <row r="137">
      <c r="A137" s="28"/>
      <c r="B137" s="28">
        <v>45044.0</v>
      </c>
      <c r="C137" s="29">
        <v>7.3</v>
      </c>
      <c r="D137" s="29">
        <v>17.0</v>
      </c>
      <c r="E137" s="42" t="s">
        <v>3</v>
      </c>
      <c r="F137" s="51" t="s">
        <v>3511</v>
      </c>
      <c r="G137" s="51">
        <v>6.25</v>
      </c>
      <c r="H137" s="51">
        <v>2.25</v>
      </c>
      <c r="K137" s="51" t="s">
        <v>3512</v>
      </c>
    </row>
    <row r="138">
      <c r="A138" s="2"/>
      <c r="B138" s="3" t="s">
        <v>7</v>
      </c>
      <c r="C138" s="14"/>
      <c r="D138" s="14"/>
      <c r="E138" s="15"/>
      <c r="F138" s="6"/>
      <c r="G138" s="735">
        <f>SUM(G133:G137)</f>
        <v>39.25</v>
      </c>
      <c r="K138" s="8"/>
      <c r="N138" s="9" t="s">
        <v>9</v>
      </c>
      <c r="O138" s="10" t="s">
        <v>10</v>
      </c>
      <c r="P138" s="10"/>
      <c r="Q138" s="10" t="s">
        <v>1</v>
      </c>
    </row>
    <row r="139">
      <c r="A139" s="12"/>
      <c r="B139" s="13" t="s">
        <v>2</v>
      </c>
      <c r="C139" s="14"/>
      <c r="D139" s="14"/>
      <c r="E139" s="15"/>
      <c r="F139" s="16"/>
      <c r="G139" s="17">
        <f>G120+G126+G132+G138</f>
        <v>156.25</v>
      </c>
      <c r="H139" s="18">
        <f>H119+H122+H123+H124+H125+H127+H128+H131+H135+H136+H137</f>
        <v>16.25</v>
      </c>
      <c r="I139" s="19" t="str">
        <f>I122</f>
        <v/>
      </c>
      <c r="J139" s="20">
        <f>H139-I139</f>
        <v>16.25</v>
      </c>
      <c r="K139" s="21" t="s">
        <v>3513</v>
      </c>
      <c r="L139" s="22" t="s">
        <v>3514</v>
      </c>
      <c r="M139" s="23" t="s">
        <v>14</v>
      </c>
      <c r="N139" s="24">
        <v>1850.48</v>
      </c>
      <c r="O139" s="25">
        <v>1241.61</v>
      </c>
      <c r="P139" s="202"/>
      <c r="Q139" s="27">
        <v>1514.79</v>
      </c>
    </row>
    <row r="140">
      <c r="A140" s="728"/>
      <c r="B140" s="728" t="s">
        <v>243</v>
      </c>
      <c r="C140" s="728" t="s">
        <v>3445</v>
      </c>
      <c r="D140" s="728" t="s">
        <v>3446</v>
      </c>
      <c r="E140" s="728" t="s">
        <v>3447</v>
      </c>
      <c r="F140" s="728" t="s">
        <v>3448</v>
      </c>
      <c r="G140" s="729" t="s">
        <v>3449</v>
      </c>
      <c r="H140" s="730" t="s">
        <v>3450</v>
      </c>
      <c r="I140" s="731" t="s">
        <v>3451</v>
      </c>
      <c r="J140" s="732" t="s">
        <v>3452</v>
      </c>
      <c r="K140" s="733" t="s">
        <v>50</v>
      </c>
      <c r="L140" s="734" t="s">
        <v>3453</v>
      </c>
    </row>
    <row r="141">
      <c r="A141" s="28"/>
      <c r="B141" s="28">
        <v>45047.0</v>
      </c>
      <c r="C141" s="43" t="s">
        <v>24</v>
      </c>
      <c r="F141" s="44" t="s">
        <v>4</v>
      </c>
      <c r="G141" s="45">
        <v>7.75</v>
      </c>
    </row>
    <row r="142">
      <c r="A142" s="28"/>
      <c r="B142" s="28">
        <v>45048.0</v>
      </c>
      <c r="C142" s="29">
        <v>7.3</v>
      </c>
      <c r="D142" s="29">
        <v>17.0</v>
      </c>
      <c r="E142" s="30" t="s">
        <v>21</v>
      </c>
      <c r="F142" s="30" t="s">
        <v>22</v>
      </c>
      <c r="G142" s="29">
        <v>8.75</v>
      </c>
      <c r="H142" s="47">
        <v>1.0</v>
      </c>
    </row>
    <row r="143">
      <c r="A143" s="28"/>
      <c r="B143" s="28">
        <v>45049.0</v>
      </c>
      <c r="C143" s="29">
        <v>7.3</v>
      </c>
      <c r="D143" s="29">
        <v>17.0</v>
      </c>
      <c r="E143" s="30" t="s">
        <v>21</v>
      </c>
      <c r="F143" s="30" t="s">
        <v>22</v>
      </c>
      <c r="G143" s="29">
        <v>8.75</v>
      </c>
      <c r="H143" s="47">
        <v>1.0</v>
      </c>
    </row>
    <row r="144">
      <c r="A144" s="28"/>
      <c r="B144" s="28">
        <v>45050.0</v>
      </c>
      <c r="C144" s="29">
        <v>7.3</v>
      </c>
      <c r="D144" s="29">
        <v>17.0</v>
      </c>
      <c r="E144" s="30" t="s">
        <v>21</v>
      </c>
      <c r="F144" s="30" t="s">
        <v>22</v>
      </c>
      <c r="G144" s="29">
        <v>8.75</v>
      </c>
      <c r="H144" s="47">
        <v>1.0</v>
      </c>
    </row>
    <row r="145">
      <c r="A145" s="28"/>
      <c r="B145" s="28">
        <v>45051.0</v>
      </c>
      <c r="C145" s="29">
        <v>7.3</v>
      </c>
      <c r="D145" s="29">
        <v>17.0</v>
      </c>
      <c r="E145" s="30" t="s">
        <v>21</v>
      </c>
      <c r="F145" s="30" t="s">
        <v>22</v>
      </c>
      <c r="G145" s="29">
        <v>8.75</v>
      </c>
      <c r="H145" s="47">
        <v>4.75</v>
      </c>
    </row>
    <row r="146">
      <c r="A146" s="2"/>
      <c r="B146" s="3" t="s">
        <v>7</v>
      </c>
      <c r="C146" s="14"/>
      <c r="D146" s="14"/>
      <c r="E146" s="15"/>
      <c r="F146" s="6"/>
      <c r="G146" s="735">
        <f>G145+G144+G141+G142+G143</f>
        <v>42.75</v>
      </c>
    </row>
    <row r="147">
      <c r="A147" s="28"/>
      <c r="B147" s="28">
        <v>45054.0</v>
      </c>
      <c r="C147" s="43" t="s">
        <v>24</v>
      </c>
      <c r="F147" s="44" t="s">
        <v>4</v>
      </c>
      <c r="G147" s="45">
        <v>7.75</v>
      </c>
    </row>
    <row r="148">
      <c r="A148" s="28"/>
      <c r="B148" s="28">
        <v>45055.0</v>
      </c>
      <c r="C148" s="29">
        <v>7.3</v>
      </c>
      <c r="D148" s="29">
        <v>17.0</v>
      </c>
      <c r="E148" s="30" t="s">
        <v>21</v>
      </c>
      <c r="F148" s="30" t="s">
        <v>22</v>
      </c>
      <c r="G148" s="29">
        <v>8.75</v>
      </c>
      <c r="H148" s="47">
        <v>1.0</v>
      </c>
    </row>
    <row r="149">
      <c r="A149" s="28"/>
      <c r="B149" s="28">
        <v>45056.0</v>
      </c>
      <c r="C149" s="29">
        <v>7.3</v>
      </c>
      <c r="D149" s="29">
        <v>17.0</v>
      </c>
      <c r="E149" s="30" t="s">
        <v>21</v>
      </c>
      <c r="F149" s="30" t="s">
        <v>22</v>
      </c>
      <c r="G149" s="29">
        <v>8.75</v>
      </c>
      <c r="H149" s="47">
        <v>1.0</v>
      </c>
    </row>
    <row r="150">
      <c r="A150" s="28"/>
      <c r="B150" s="28">
        <v>45057.0</v>
      </c>
      <c r="C150" s="29">
        <v>7.3</v>
      </c>
      <c r="D150" s="29">
        <v>17.0</v>
      </c>
      <c r="E150" s="30" t="s">
        <v>21</v>
      </c>
      <c r="F150" s="30" t="s">
        <v>22</v>
      </c>
      <c r="G150" s="29">
        <v>8.75</v>
      </c>
      <c r="H150" s="47">
        <v>1.0</v>
      </c>
    </row>
    <row r="151">
      <c r="A151" s="28"/>
      <c r="B151" s="28">
        <v>45058.0</v>
      </c>
      <c r="C151" s="29">
        <v>7.3</v>
      </c>
      <c r="D151" s="29">
        <v>17.0</v>
      </c>
      <c r="E151" s="30" t="s">
        <v>21</v>
      </c>
      <c r="F151" s="30" t="s">
        <v>22</v>
      </c>
      <c r="G151" s="29">
        <v>8.75</v>
      </c>
      <c r="H151" s="47">
        <v>4.75</v>
      </c>
    </row>
    <row r="152">
      <c r="A152" s="2"/>
      <c r="B152" s="3" t="s">
        <v>7</v>
      </c>
      <c r="C152" s="14"/>
      <c r="D152" s="14"/>
      <c r="E152" s="15"/>
      <c r="F152" s="6"/>
      <c r="G152" s="735">
        <f>G151+G150+G147+G148+G149</f>
        <v>42.75</v>
      </c>
    </row>
    <row r="153">
      <c r="A153" s="28"/>
      <c r="B153" s="28">
        <v>45061.0</v>
      </c>
      <c r="C153" s="29">
        <v>7.3</v>
      </c>
      <c r="D153" s="29">
        <v>17.0</v>
      </c>
      <c r="E153" s="30" t="s">
        <v>21</v>
      </c>
      <c r="F153" s="30" t="s">
        <v>22</v>
      </c>
      <c r="G153" s="29">
        <v>8.75</v>
      </c>
      <c r="H153" s="47">
        <v>1.0</v>
      </c>
    </row>
    <row r="154">
      <c r="A154" s="28"/>
      <c r="B154" s="28">
        <v>45062.0</v>
      </c>
      <c r="C154" s="29">
        <v>7.3</v>
      </c>
      <c r="D154" s="29">
        <v>17.0</v>
      </c>
      <c r="E154" s="30" t="s">
        <v>21</v>
      </c>
      <c r="F154" s="30" t="s">
        <v>22</v>
      </c>
      <c r="G154" s="29">
        <v>8.75</v>
      </c>
      <c r="H154" s="47">
        <v>1.0</v>
      </c>
    </row>
    <row r="155">
      <c r="A155" s="28"/>
      <c r="B155" s="28">
        <v>45063.0</v>
      </c>
      <c r="C155" s="29">
        <v>7.3</v>
      </c>
      <c r="D155" s="29">
        <v>17.0</v>
      </c>
      <c r="E155" s="30" t="s">
        <v>21</v>
      </c>
      <c r="F155" s="30" t="s">
        <v>22</v>
      </c>
      <c r="G155" s="29">
        <v>8.75</v>
      </c>
      <c r="H155" s="47">
        <v>1.0</v>
      </c>
    </row>
    <row r="156">
      <c r="A156" s="28"/>
      <c r="B156" s="28">
        <v>45064.0</v>
      </c>
      <c r="C156" s="43" t="s">
        <v>24</v>
      </c>
      <c r="F156" s="44" t="s">
        <v>4</v>
      </c>
      <c r="G156" s="45">
        <v>7.75</v>
      </c>
    </row>
    <row r="157">
      <c r="A157" s="28"/>
      <c r="B157" s="28">
        <v>45065.0</v>
      </c>
      <c r="C157" s="29">
        <v>7.3</v>
      </c>
      <c r="D157" s="29">
        <v>17.0</v>
      </c>
      <c r="E157" s="30" t="s">
        <v>21</v>
      </c>
      <c r="F157" s="30" t="s">
        <v>22</v>
      </c>
      <c r="G157" s="29">
        <v>8.75</v>
      </c>
      <c r="H157" s="47">
        <v>4.75</v>
      </c>
    </row>
    <row r="158">
      <c r="A158" s="2"/>
      <c r="B158" s="3" t="s">
        <v>7</v>
      </c>
      <c r="C158" s="14"/>
      <c r="D158" s="14"/>
      <c r="E158" s="15"/>
      <c r="F158" s="6"/>
      <c r="G158" s="735">
        <f>G157+G156+G153+G154+G155</f>
        <v>42.75</v>
      </c>
    </row>
    <row r="159">
      <c r="A159" s="28"/>
      <c r="B159" s="28">
        <v>45068.0</v>
      </c>
      <c r="C159" s="29">
        <v>7.3</v>
      </c>
      <c r="D159" s="29">
        <v>17.0</v>
      </c>
      <c r="E159" s="30" t="s">
        <v>21</v>
      </c>
      <c r="F159" s="30" t="s">
        <v>22</v>
      </c>
      <c r="G159" s="29">
        <v>8.75</v>
      </c>
      <c r="H159" s="47">
        <v>1.0</v>
      </c>
    </row>
    <row r="160">
      <c r="A160" s="28"/>
      <c r="B160" s="28">
        <v>45069.0</v>
      </c>
      <c r="C160" s="29">
        <v>7.3</v>
      </c>
      <c r="D160" s="39">
        <v>16.3</v>
      </c>
      <c r="E160" s="30" t="s">
        <v>21</v>
      </c>
      <c r="F160" s="42" t="s">
        <v>3465</v>
      </c>
      <c r="G160" s="39">
        <v>8.25</v>
      </c>
      <c r="H160" s="47">
        <v>0.5</v>
      </c>
    </row>
    <row r="161">
      <c r="A161" s="28"/>
      <c r="B161" s="28">
        <v>45070.0</v>
      </c>
      <c r="C161" s="29">
        <v>7.3</v>
      </c>
      <c r="D161" s="29">
        <v>17.0</v>
      </c>
      <c r="E161" s="30" t="s">
        <v>21</v>
      </c>
      <c r="F161" s="30" t="s">
        <v>22</v>
      </c>
      <c r="G161" s="29">
        <v>8.75</v>
      </c>
      <c r="H161" s="47">
        <v>1.0</v>
      </c>
    </row>
    <row r="162">
      <c r="A162" s="28"/>
      <c r="B162" s="28">
        <v>45071.0</v>
      </c>
      <c r="C162" s="29">
        <v>7.3</v>
      </c>
      <c r="D162" s="29">
        <v>17.0</v>
      </c>
      <c r="E162" s="30" t="s">
        <v>21</v>
      </c>
      <c r="F162" s="30" t="s">
        <v>22</v>
      </c>
      <c r="G162" s="29">
        <v>8.75</v>
      </c>
      <c r="H162" s="47">
        <v>1.0</v>
      </c>
    </row>
    <row r="163">
      <c r="A163" s="28"/>
      <c r="B163" s="28">
        <v>45072.0</v>
      </c>
      <c r="C163" s="29">
        <v>7.3</v>
      </c>
      <c r="D163" s="39">
        <v>16.0</v>
      </c>
      <c r="E163" s="30" t="s">
        <v>21</v>
      </c>
      <c r="F163" s="42" t="s">
        <v>4</v>
      </c>
      <c r="G163" s="39">
        <v>7.75</v>
      </c>
      <c r="H163" s="47">
        <v>3.75</v>
      </c>
    </row>
    <row r="164">
      <c r="A164" s="2"/>
      <c r="B164" s="3" t="s">
        <v>7</v>
      </c>
      <c r="C164" s="14"/>
      <c r="D164" s="14"/>
      <c r="E164" s="15"/>
      <c r="F164" s="6"/>
      <c r="G164" s="735">
        <f>G163+G162+G159+G160+G161</f>
        <v>42.25</v>
      </c>
    </row>
    <row r="165">
      <c r="A165" s="28"/>
      <c r="B165" s="28">
        <v>45075.0</v>
      </c>
      <c r="C165" s="47">
        <v>7.3</v>
      </c>
      <c r="D165" s="47">
        <v>16.15</v>
      </c>
      <c r="E165" s="51" t="s">
        <v>3</v>
      </c>
      <c r="F165" s="51" t="s">
        <v>3515</v>
      </c>
      <c r="G165" s="47">
        <v>7.0</v>
      </c>
      <c r="H165" s="47"/>
      <c r="J165" s="738" t="s">
        <v>3470</v>
      </c>
    </row>
    <row r="166">
      <c r="A166" s="28"/>
      <c r="B166" s="28">
        <v>45076.0</v>
      </c>
      <c r="C166" s="29">
        <v>7.3</v>
      </c>
      <c r="D166" s="29">
        <v>17.0</v>
      </c>
      <c r="E166" s="30" t="s">
        <v>21</v>
      </c>
      <c r="F166" s="30" t="s">
        <v>22</v>
      </c>
      <c r="G166" s="29">
        <v>8.75</v>
      </c>
      <c r="H166" s="47">
        <v>1.0</v>
      </c>
    </row>
    <row r="167">
      <c r="A167" s="28"/>
      <c r="B167" s="28">
        <v>45077.0</v>
      </c>
      <c r="C167" s="29">
        <v>7.3</v>
      </c>
      <c r="D167" s="29">
        <v>17.0</v>
      </c>
      <c r="E167" s="30" t="s">
        <v>21</v>
      </c>
      <c r="F167" s="30" t="s">
        <v>22</v>
      </c>
      <c r="G167" s="29">
        <v>8.75</v>
      </c>
      <c r="H167" s="47">
        <v>1.0</v>
      </c>
    </row>
    <row r="168">
      <c r="A168" s="2"/>
      <c r="B168" s="3" t="s">
        <v>7</v>
      </c>
      <c r="C168" s="14"/>
      <c r="D168" s="14"/>
      <c r="E168" s="15"/>
      <c r="F168" s="6"/>
      <c r="G168" s="735">
        <f>G167+G166+G165</f>
        <v>24.5</v>
      </c>
      <c r="K168" s="8"/>
      <c r="N168" s="9" t="s">
        <v>9</v>
      </c>
      <c r="O168" s="10" t="s">
        <v>10</v>
      </c>
      <c r="P168" s="10"/>
      <c r="Q168" s="10" t="s">
        <v>1</v>
      </c>
    </row>
    <row r="169">
      <c r="A169" s="12"/>
      <c r="B169" s="13" t="s">
        <v>2</v>
      </c>
      <c r="C169" s="14"/>
      <c r="D169" s="14"/>
      <c r="E169" s="15"/>
      <c r="F169" s="16"/>
      <c r="G169" s="17">
        <f>G146+G152+G158+G164+G168</f>
        <v>195</v>
      </c>
      <c r="H169" s="18">
        <f>H142+H143+H144+H145+H148+H149+H150+H151+H153+H154+H155+H157+H159+H160+H161+H162+H163+H165+H166+H167</f>
        <v>32.5</v>
      </c>
      <c r="I169" s="19" t="str">
        <f>I152</f>
        <v/>
      </c>
      <c r="J169" s="20">
        <f>H169-I169</f>
        <v>32.5</v>
      </c>
      <c r="K169" s="21" t="s">
        <v>3516</v>
      </c>
      <c r="L169" s="23" t="s">
        <v>3517</v>
      </c>
      <c r="M169" s="23" t="s">
        <v>14</v>
      </c>
      <c r="N169" s="24">
        <v>2043.24</v>
      </c>
      <c r="O169" s="25">
        <v>1409.73</v>
      </c>
      <c r="P169" s="202"/>
      <c r="Q169" s="27">
        <v>1594.7</v>
      </c>
    </row>
    <row r="170">
      <c r="A170" s="728"/>
      <c r="B170" s="728" t="s">
        <v>243</v>
      </c>
      <c r="C170" s="728" t="s">
        <v>3445</v>
      </c>
      <c r="D170" s="728" t="s">
        <v>3446</v>
      </c>
      <c r="E170" s="728" t="s">
        <v>3447</v>
      </c>
      <c r="F170" s="728" t="s">
        <v>3448</v>
      </c>
      <c r="G170" s="729" t="s">
        <v>3449</v>
      </c>
      <c r="H170" s="730" t="s">
        <v>3450</v>
      </c>
      <c r="I170" s="731" t="s">
        <v>3451</v>
      </c>
      <c r="J170" s="732" t="s">
        <v>3452</v>
      </c>
      <c r="K170" s="733" t="s">
        <v>50</v>
      </c>
      <c r="L170" s="734" t="s">
        <v>3453</v>
      </c>
    </row>
    <row r="171">
      <c r="A171" s="28"/>
      <c r="B171" s="28">
        <v>45078.0</v>
      </c>
      <c r="C171" s="29">
        <v>7.3</v>
      </c>
      <c r="D171" s="29">
        <v>17.0</v>
      </c>
      <c r="E171" s="30" t="s">
        <v>21</v>
      </c>
      <c r="F171" s="30" t="s">
        <v>22</v>
      </c>
      <c r="G171" s="29">
        <v>8.75</v>
      </c>
      <c r="H171" s="47">
        <v>1.0</v>
      </c>
    </row>
    <row r="172">
      <c r="A172" s="28"/>
      <c r="B172" s="28">
        <v>45079.0</v>
      </c>
      <c r="C172" s="29">
        <v>7.3</v>
      </c>
      <c r="D172" s="39">
        <v>11.3</v>
      </c>
      <c r="E172" s="42" t="s">
        <v>5</v>
      </c>
      <c r="F172" s="42" t="s">
        <v>6</v>
      </c>
      <c r="G172" s="39">
        <v>4.0</v>
      </c>
      <c r="H172" s="47"/>
    </row>
    <row r="173">
      <c r="A173" s="2"/>
      <c r="B173" s="3" t="s">
        <v>7</v>
      </c>
      <c r="C173" s="14"/>
      <c r="D173" s="14"/>
      <c r="E173" s="15"/>
      <c r="F173" s="6"/>
      <c r="G173" s="735">
        <f>G171+G172</f>
        <v>12.75</v>
      </c>
    </row>
    <row r="174">
      <c r="A174" s="28"/>
      <c r="B174" s="28">
        <v>45082.0</v>
      </c>
      <c r="C174" s="29">
        <v>7.3</v>
      </c>
      <c r="D174" s="29">
        <v>17.0</v>
      </c>
      <c r="E174" s="30" t="s">
        <v>21</v>
      </c>
      <c r="F174" s="30" t="s">
        <v>22</v>
      </c>
      <c r="G174" s="29">
        <v>8.75</v>
      </c>
      <c r="H174" s="47">
        <v>1.0</v>
      </c>
    </row>
    <row r="175">
      <c r="A175" s="28"/>
      <c r="B175" s="28">
        <v>45083.0</v>
      </c>
      <c r="C175" s="29">
        <v>7.3</v>
      </c>
      <c r="D175" s="29">
        <v>17.0</v>
      </c>
      <c r="E175" s="30" t="s">
        <v>21</v>
      </c>
      <c r="F175" s="30" t="s">
        <v>22</v>
      </c>
      <c r="G175" s="29">
        <v>8.75</v>
      </c>
      <c r="H175" s="47">
        <v>1.0</v>
      </c>
    </row>
    <row r="176">
      <c r="A176" s="28"/>
      <c r="B176" s="28">
        <v>45084.0</v>
      </c>
      <c r="C176" s="29">
        <v>7.3</v>
      </c>
      <c r="D176" s="29">
        <v>17.0</v>
      </c>
      <c r="E176" s="30" t="s">
        <v>21</v>
      </c>
      <c r="F176" s="30" t="s">
        <v>22</v>
      </c>
      <c r="G176" s="29">
        <v>8.75</v>
      </c>
      <c r="H176" s="47">
        <v>1.0</v>
      </c>
    </row>
    <row r="177">
      <c r="A177" s="28"/>
      <c r="B177" s="28">
        <v>45085.0</v>
      </c>
      <c r="C177" s="29">
        <v>7.3</v>
      </c>
      <c r="D177" s="29">
        <v>17.0</v>
      </c>
      <c r="E177" s="30" t="s">
        <v>21</v>
      </c>
      <c r="F177" s="30" t="s">
        <v>22</v>
      </c>
      <c r="G177" s="29">
        <v>8.75</v>
      </c>
      <c r="H177" s="47">
        <v>1.0</v>
      </c>
    </row>
    <row r="178">
      <c r="A178" s="28"/>
      <c r="B178" s="28">
        <v>45086.0</v>
      </c>
      <c r="C178" s="29">
        <v>7.3</v>
      </c>
      <c r="D178" s="39">
        <v>11.3</v>
      </c>
      <c r="E178" s="42" t="s">
        <v>5</v>
      </c>
      <c r="F178" s="42" t="s">
        <v>6</v>
      </c>
      <c r="G178" s="39">
        <v>4.0</v>
      </c>
      <c r="H178" s="47"/>
    </row>
    <row r="179">
      <c r="A179" s="2"/>
      <c r="B179" s="3" t="s">
        <v>7</v>
      </c>
      <c r="C179" s="14"/>
      <c r="D179" s="14"/>
      <c r="E179" s="15"/>
      <c r="F179" s="6"/>
      <c r="G179" s="735">
        <f>G178+G177+G174+G175+G176</f>
        <v>39</v>
      </c>
    </row>
    <row r="180">
      <c r="A180" s="28"/>
      <c r="B180" s="28">
        <v>45089.0</v>
      </c>
      <c r="C180" s="29">
        <v>7.3</v>
      </c>
      <c r="D180" s="29">
        <v>17.0</v>
      </c>
      <c r="E180" s="42" t="s">
        <v>3</v>
      </c>
      <c r="F180" s="42" t="s">
        <v>4</v>
      </c>
      <c r="G180" s="39">
        <v>7.75</v>
      </c>
    </row>
    <row r="181">
      <c r="A181" s="28"/>
      <c r="B181" s="28">
        <v>45090.0</v>
      </c>
      <c r="C181" s="29">
        <v>7.3</v>
      </c>
      <c r="D181" s="29">
        <v>17.0</v>
      </c>
      <c r="E181" s="42" t="s">
        <v>3</v>
      </c>
      <c r="F181" s="42" t="s">
        <v>4</v>
      </c>
      <c r="G181" s="39">
        <v>7.75</v>
      </c>
    </row>
    <row r="182">
      <c r="A182" s="28"/>
      <c r="B182" s="28">
        <v>45091.0</v>
      </c>
      <c r="C182" s="29">
        <v>7.3</v>
      </c>
      <c r="D182" s="29">
        <v>17.0</v>
      </c>
      <c r="E182" s="42" t="s">
        <v>3</v>
      </c>
      <c r="F182" s="42" t="s">
        <v>4</v>
      </c>
      <c r="G182" s="39">
        <v>7.75</v>
      </c>
    </row>
    <row r="183">
      <c r="A183" s="28"/>
      <c r="B183" s="28">
        <v>45092.0</v>
      </c>
      <c r="C183" s="29">
        <v>7.3</v>
      </c>
      <c r="D183" s="29">
        <v>17.0</v>
      </c>
      <c r="E183" s="42" t="s">
        <v>3</v>
      </c>
      <c r="F183" s="42" t="s">
        <v>4</v>
      </c>
      <c r="G183" s="39">
        <v>7.75</v>
      </c>
    </row>
    <row r="184">
      <c r="A184" s="28"/>
      <c r="B184" s="28">
        <v>45093.0</v>
      </c>
      <c r="C184" s="47">
        <v>7.3</v>
      </c>
      <c r="D184" s="47">
        <v>11.3</v>
      </c>
      <c r="E184" s="51" t="s">
        <v>5</v>
      </c>
      <c r="F184" s="51" t="s">
        <v>6</v>
      </c>
      <c r="G184" s="47">
        <v>4.0</v>
      </c>
      <c r="H184" s="47"/>
    </row>
    <row r="185">
      <c r="A185" s="2"/>
      <c r="B185" s="3" t="s">
        <v>7</v>
      </c>
      <c r="C185" s="14"/>
      <c r="D185" s="14"/>
      <c r="E185" s="15"/>
      <c r="F185" s="6"/>
      <c r="G185" s="735">
        <f>G184+G183+G180+G181+G182</f>
        <v>35</v>
      </c>
    </row>
    <row r="186">
      <c r="A186" s="28"/>
      <c r="B186" s="28">
        <v>45096.0</v>
      </c>
      <c r="C186" s="29">
        <v>7.3</v>
      </c>
      <c r="D186" s="29">
        <v>17.0</v>
      </c>
      <c r="E186" s="42" t="s">
        <v>3</v>
      </c>
      <c r="F186" s="42" t="s">
        <v>4</v>
      </c>
      <c r="G186" s="39">
        <v>7.75</v>
      </c>
    </row>
    <row r="187">
      <c r="A187" s="28"/>
      <c r="B187" s="28">
        <v>45097.0</v>
      </c>
      <c r="C187" s="29">
        <v>7.3</v>
      </c>
      <c r="D187" s="29">
        <v>17.0</v>
      </c>
      <c r="E187" s="42" t="s">
        <v>3</v>
      </c>
      <c r="F187" s="42" t="s">
        <v>4</v>
      </c>
      <c r="G187" s="39">
        <v>7.75</v>
      </c>
    </row>
    <row r="188">
      <c r="A188" s="28"/>
      <c r="B188" s="28">
        <v>45098.0</v>
      </c>
      <c r="C188" s="29">
        <v>7.3</v>
      </c>
      <c r="D188" s="29">
        <v>17.0</v>
      </c>
      <c r="E188" s="42" t="s">
        <v>3</v>
      </c>
      <c r="F188" s="42" t="s">
        <v>4</v>
      </c>
      <c r="G188" s="39">
        <v>7.75</v>
      </c>
    </row>
    <row r="189">
      <c r="A189" s="28"/>
      <c r="B189" s="28">
        <v>45099.0</v>
      </c>
      <c r="C189" s="29">
        <v>7.3</v>
      </c>
      <c r="D189" s="29">
        <v>17.0</v>
      </c>
      <c r="E189" s="42" t="s">
        <v>3</v>
      </c>
      <c r="F189" s="42" t="s">
        <v>4</v>
      </c>
      <c r="G189" s="39">
        <v>7.75</v>
      </c>
    </row>
    <row r="190">
      <c r="A190" s="28"/>
      <c r="B190" s="28">
        <v>45100.0</v>
      </c>
      <c r="C190" s="47">
        <v>7.3</v>
      </c>
      <c r="D190" s="47">
        <v>11.3</v>
      </c>
      <c r="E190" s="51" t="s">
        <v>5</v>
      </c>
      <c r="F190" s="51" t="s">
        <v>6</v>
      </c>
      <c r="G190" s="47">
        <v>4.0</v>
      </c>
    </row>
    <row r="191">
      <c r="A191" s="2"/>
      <c r="B191" s="3" t="s">
        <v>7</v>
      </c>
      <c r="C191" s="14"/>
      <c r="D191" s="14"/>
      <c r="E191" s="15"/>
      <c r="F191" s="6"/>
      <c r="G191" s="735">
        <f>G190+G189+G186+G187+G188</f>
        <v>35</v>
      </c>
    </row>
    <row r="192">
      <c r="A192" s="28"/>
      <c r="B192" s="28">
        <v>45103.0</v>
      </c>
      <c r="C192" s="29">
        <v>7.3</v>
      </c>
      <c r="D192" s="29">
        <v>17.0</v>
      </c>
      <c r="E192" s="30" t="s">
        <v>3</v>
      </c>
      <c r="F192" s="30" t="s">
        <v>4</v>
      </c>
      <c r="G192" s="29">
        <v>7.75</v>
      </c>
    </row>
    <row r="193">
      <c r="A193" s="28"/>
      <c r="B193" s="28">
        <v>45104.0</v>
      </c>
      <c r="C193" s="29">
        <v>7.3</v>
      </c>
      <c r="D193" s="29">
        <v>17.0</v>
      </c>
      <c r="E193" s="30" t="s">
        <v>3</v>
      </c>
      <c r="F193" s="30" t="s">
        <v>4</v>
      </c>
      <c r="G193" s="29">
        <v>7.75</v>
      </c>
    </row>
    <row r="194">
      <c r="A194" s="28"/>
      <c r="B194" s="28">
        <v>45105.0</v>
      </c>
      <c r="C194" s="29">
        <v>7.3</v>
      </c>
      <c r="D194" s="29">
        <v>17.0</v>
      </c>
      <c r="E194" s="30" t="s">
        <v>3</v>
      </c>
      <c r="F194" s="30" t="s">
        <v>4</v>
      </c>
      <c r="G194" s="29">
        <v>7.75</v>
      </c>
    </row>
    <row r="195">
      <c r="A195" s="28"/>
      <c r="B195" s="28">
        <v>45106.0</v>
      </c>
      <c r="C195" s="29">
        <v>7.3</v>
      </c>
      <c r="D195" s="29">
        <v>17.0</v>
      </c>
      <c r="E195" s="30" t="s">
        <v>3</v>
      </c>
      <c r="F195" s="30" t="s">
        <v>4</v>
      </c>
      <c r="G195" s="29">
        <v>7.75</v>
      </c>
    </row>
    <row r="196">
      <c r="A196" s="28"/>
      <c r="B196" s="28">
        <v>45107.0</v>
      </c>
      <c r="C196" s="29">
        <v>7.3</v>
      </c>
      <c r="D196" s="29">
        <v>11.3</v>
      </c>
      <c r="E196" s="32" t="s">
        <v>5</v>
      </c>
      <c r="F196" s="32" t="s">
        <v>6</v>
      </c>
      <c r="G196" s="29">
        <v>4.0</v>
      </c>
    </row>
    <row r="197">
      <c r="A197" s="2"/>
      <c r="B197" s="3" t="s">
        <v>7</v>
      </c>
      <c r="C197" s="14"/>
      <c r="D197" s="14"/>
      <c r="E197" s="15"/>
      <c r="F197" s="6"/>
      <c r="G197" s="735">
        <f>G196+G195+G194+G192+G193</f>
        <v>35</v>
      </c>
      <c r="K197" s="8"/>
      <c r="N197" s="9" t="s">
        <v>9</v>
      </c>
      <c r="O197" s="10" t="s">
        <v>10</v>
      </c>
      <c r="P197" s="10"/>
      <c r="Q197" s="10" t="s">
        <v>1</v>
      </c>
    </row>
    <row r="198">
      <c r="A198" s="12"/>
      <c r="B198" s="13" t="s">
        <v>2</v>
      </c>
      <c r="C198" s="14"/>
      <c r="D198" s="14"/>
      <c r="E198" s="15"/>
      <c r="F198" s="16"/>
      <c r="G198" s="17">
        <f>G173+G179+G185+G191+G197</f>
        <v>156.75</v>
      </c>
      <c r="H198" s="18">
        <f>H171+H172+H174+H175+H176+H177+H178</f>
        <v>5</v>
      </c>
      <c r="I198" s="19" t="str">
        <f>I181</f>
        <v/>
      </c>
      <c r="J198" s="20">
        <f>H198-I198</f>
        <v>5</v>
      </c>
      <c r="K198" s="21" t="s">
        <v>3518</v>
      </c>
      <c r="L198" s="23" t="s">
        <v>3519</v>
      </c>
      <c r="M198" s="23" t="s">
        <v>14</v>
      </c>
      <c r="N198" s="24">
        <v>2275.22</v>
      </c>
      <c r="O198" s="25">
        <v>1584.28</v>
      </c>
      <c r="P198" s="202"/>
      <c r="Q198" s="27">
        <v>1747.41</v>
      </c>
    </row>
    <row r="199">
      <c r="A199" s="728"/>
      <c r="B199" s="728" t="s">
        <v>243</v>
      </c>
      <c r="C199" s="728" t="s">
        <v>3445</v>
      </c>
      <c r="D199" s="728" t="s">
        <v>3446</v>
      </c>
      <c r="E199" s="728" t="s">
        <v>3447</v>
      </c>
      <c r="F199" s="728" t="s">
        <v>3448</v>
      </c>
      <c r="G199" s="729" t="s">
        <v>3449</v>
      </c>
      <c r="H199" s="730" t="s">
        <v>3450</v>
      </c>
      <c r="I199" s="731" t="s">
        <v>3451</v>
      </c>
      <c r="J199" s="732" t="s">
        <v>3452</v>
      </c>
      <c r="K199" s="733" t="s">
        <v>50</v>
      </c>
      <c r="L199" s="734" t="s">
        <v>3453</v>
      </c>
    </row>
    <row r="200">
      <c r="B200" s="28">
        <v>45110.0</v>
      </c>
      <c r="C200" s="29">
        <v>7.3</v>
      </c>
      <c r="D200" s="29">
        <v>17.0</v>
      </c>
      <c r="E200" s="30" t="s">
        <v>3</v>
      </c>
      <c r="F200" s="30" t="s">
        <v>4</v>
      </c>
      <c r="G200" s="29">
        <v>7.75</v>
      </c>
    </row>
    <row r="201">
      <c r="B201" s="28">
        <v>45111.0</v>
      </c>
      <c r="C201" s="29">
        <v>7.3</v>
      </c>
      <c r="D201" s="29">
        <v>17.0</v>
      </c>
      <c r="E201" s="30" t="s">
        <v>3</v>
      </c>
      <c r="F201" s="30" t="s">
        <v>4</v>
      </c>
      <c r="G201" s="29">
        <v>7.75</v>
      </c>
    </row>
    <row r="202">
      <c r="B202" s="28">
        <v>45112.0</v>
      </c>
      <c r="C202" s="29">
        <v>7.3</v>
      </c>
      <c r="D202" s="29">
        <v>17.0</v>
      </c>
      <c r="E202" s="30" t="s">
        <v>3</v>
      </c>
      <c r="F202" s="30" t="s">
        <v>4</v>
      </c>
      <c r="G202" s="29">
        <v>7.75</v>
      </c>
    </row>
    <row r="203">
      <c r="B203" s="28">
        <v>45113.0</v>
      </c>
      <c r="C203" s="29">
        <v>7.3</v>
      </c>
      <c r="D203" s="29">
        <v>17.0</v>
      </c>
      <c r="E203" s="30" t="s">
        <v>3</v>
      </c>
      <c r="F203" s="30" t="s">
        <v>4</v>
      </c>
      <c r="G203" s="29">
        <v>7.75</v>
      </c>
    </row>
    <row r="204">
      <c r="B204" s="28">
        <v>45114.0</v>
      </c>
      <c r="C204" s="29">
        <v>7.3</v>
      </c>
      <c r="D204" s="29">
        <v>11.3</v>
      </c>
      <c r="E204" s="32" t="s">
        <v>5</v>
      </c>
      <c r="F204" s="32" t="s">
        <v>6</v>
      </c>
      <c r="G204" s="29">
        <v>4.0</v>
      </c>
    </row>
    <row r="205">
      <c r="A205" s="2"/>
      <c r="B205" s="3" t="s">
        <v>7</v>
      </c>
      <c r="C205" s="14"/>
      <c r="D205" s="14"/>
      <c r="E205" s="15"/>
      <c r="F205" s="6"/>
      <c r="G205" s="735">
        <f>G204+G203+G202</f>
        <v>19.5</v>
      </c>
    </row>
    <row r="206">
      <c r="B206" s="28">
        <v>45117.0</v>
      </c>
      <c r="C206" s="29">
        <v>7.3</v>
      </c>
      <c r="D206" s="29">
        <v>17.0</v>
      </c>
      <c r="E206" s="30" t="s">
        <v>3</v>
      </c>
      <c r="F206" s="30" t="s">
        <v>4</v>
      </c>
      <c r="G206" s="29">
        <v>7.75</v>
      </c>
    </row>
    <row r="207">
      <c r="B207" s="28">
        <v>45118.0</v>
      </c>
      <c r="C207" s="29">
        <v>7.3</v>
      </c>
      <c r="D207" s="29">
        <v>17.0</v>
      </c>
      <c r="E207" s="30" t="s">
        <v>3</v>
      </c>
      <c r="F207" s="30" t="s">
        <v>4</v>
      </c>
      <c r="G207" s="29">
        <v>7.75</v>
      </c>
    </row>
    <row r="208">
      <c r="B208" s="28">
        <v>45119.0</v>
      </c>
      <c r="C208" s="29">
        <v>7.3</v>
      </c>
      <c r="D208" s="29">
        <v>17.0</v>
      </c>
      <c r="E208" s="30" t="s">
        <v>3</v>
      </c>
      <c r="F208" s="30" t="s">
        <v>4</v>
      </c>
      <c r="G208" s="29">
        <v>7.75</v>
      </c>
    </row>
    <row r="209">
      <c r="B209" s="28">
        <v>45120.0</v>
      </c>
      <c r="C209" s="29">
        <v>7.3</v>
      </c>
      <c r="D209" s="29">
        <v>17.0</v>
      </c>
      <c r="E209" s="30" t="s">
        <v>3</v>
      </c>
      <c r="F209" s="30" t="s">
        <v>4</v>
      </c>
      <c r="G209" s="29">
        <v>7.75</v>
      </c>
    </row>
    <row r="210">
      <c r="B210" s="28">
        <v>45121.0</v>
      </c>
      <c r="C210" s="43" t="s">
        <v>24</v>
      </c>
      <c r="F210" s="44" t="s">
        <v>6</v>
      </c>
      <c r="G210" s="45">
        <v>4.0</v>
      </c>
    </row>
    <row r="211">
      <c r="A211" s="2"/>
      <c r="B211" s="3" t="s">
        <v>7</v>
      </c>
      <c r="C211" s="14"/>
      <c r="D211" s="14"/>
      <c r="E211" s="15"/>
      <c r="F211" s="6"/>
      <c r="G211" s="735">
        <f>G210+G209+G208</f>
        <v>19.5</v>
      </c>
    </row>
    <row r="212">
      <c r="B212" s="28">
        <v>45124.0</v>
      </c>
      <c r="C212" s="29">
        <v>7.3</v>
      </c>
      <c r="D212" s="29">
        <v>17.0</v>
      </c>
      <c r="E212" s="30" t="s">
        <v>3</v>
      </c>
      <c r="F212" s="30" t="s">
        <v>4</v>
      </c>
      <c r="G212" s="29">
        <v>7.75</v>
      </c>
    </row>
    <row r="213">
      <c r="B213" s="28">
        <v>45125.0</v>
      </c>
      <c r="C213" s="29">
        <v>7.3</v>
      </c>
      <c r="D213" s="29">
        <v>17.0</v>
      </c>
      <c r="E213" s="30" t="s">
        <v>3</v>
      </c>
      <c r="F213" s="30" t="s">
        <v>4</v>
      </c>
      <c r="G213" s="29">
        <v>7.75</v>
      </c>
    </row>
    <row r="214">
      <c r="B214" s="28">
        <v>45126.0</v>
      </c>
      <c r="C214" s="29">
        <v>7.3</v>
      </c>
      <c r="D214" s="29">
        <v>17.0</v>
      </c>
      <c r="E214" s="30" t="s">
        <v>3</v>
      </c>
      <c r="F214" s="30" t="s">
        <v>4</v>
      </c>
      <c r="G214" s="29">
        <v>7.75</v>
      </c>
    </row>
    <row r="215">
      <c r="B215" s="28">
        <v>45127.0</v>
      </c>
      <c r="C215" s="29">
        <v>7.3</v>
      </c>
      <c r="D215" s="39">
        <v>15.45</v>
      </c>
      <c r="E215" s="30" t="s">
        <v>3</v>
      </c>
      <c r="F215" s="42" t="s">
        <v>3520</v>
      </c>
      <c r="G215" s="39">
        <v>6.5</v>
      </c>
      <c r="I215" s="745">
        <v>1.25</v>
      </c>
    </row>
    <row r="216">
      <c r="B216" s="28">
        <v>45128.0</v>
      </c>
      <c r="C216" s="29">
        <v>7.3</v>
      </c>
      <c r="D216" s="29">
        <v>11.3</v>
      </c>
      <c r="E216" s="32" t="s">
        <v>5</v>
      </c>
      <c r="F216" s="32" t="s">
        <v>6</v>
      </c>
      <c r="G216" s="29">
        <v>4.0</v>
      </c>
    </row>
    <row r="217">
      <c r="A217" s="2"/>
      <c r="B217" s="3" t="s">
        <v>7</v>
      </c>
      <c r="C217" s="14"/>
      <c r="D217" s="14"/>
      <c r="E217" s="15"/>
      <c r="F217" s="6"/>
      <c r="G217" s="735">
        <f>G216+G215+G214</f>
        <v>18.25</v>
      </c>
    </row>
    <row r="218">
      <c r="B218" s="28">
        <v>45131.0</v>
      </c>
      <c r="C218" s="29">
        <v>7.3</v>
      </c>
      <c r="D218" s="29">
        <v>17.0</v>
      </c>
      <c r="E218" s="30" t="s">
        <v>3</v>
      </c>
      <c r="F218" s="30" t="s">
        <v>4</v>
      </c>
      <c r="G218" s="29">
        <v>7.75</v>
      </c>
    </row>
    <row r="219">
      <c r="B219" s="28">
        <v>45132.0</v>
      </c>
      <c r="C219" s="29">
        <v>7.3</v>
      </c>
      <c r="D219" s="29">
        <v>17.0</v>
      </c>
      <c r="E219" s="30" t="s">
        <v>3</v>
      </c>
      <c r="F219" s="30" t="s">
        <v>4</v>
      </c>
      <c r="G219" s="29">
        <v>7.75</v>
      </c>
    </row>
    <row r="220">
      <c r="B220" s="28">
        <v>45133.0</v>
      </c>
      <c r="C220" s="29">
        <v>7.3</v>
      </c>
      <c r="D220" s="29">
        <v>17.0</v>
      </c>
      <c r="E220" s="30" t="s">
        <v>3</v>
      </c>
      <c r="F220" s="30" t="s">
        <v>4</v>
      </c>
      <c r="G220" s="29">
        <v>7.75</v>
      </c>
    </row>
    <row r="221">
      <c r="B221" s="28">
        <v>45134.0</v>
      </c>
      <c r="C221" s="29">
        <v>7.3</v>
      </c>
      <c r="D221" s="29">
        <v>17.0</v>
      </c>
      <c r="E221" s="42" t="s">
        <v>31</v>
      </c>
      <c r="F221" s="42" t="s">
        <v>22</v>
      </c>
      <c r="G221" s="39">
        <v>8.75</v>
      </c>
      <c r="H221" s="47">
        <v>1.0</v>
      </c>
    </row>
    <row r="222">
      <c r="B222" s="28">
        <v>45135.0</v>
      </c>
      <c r="C222" s="29">
        <v>7.3</v>
      </c>
      <c r="D222" s="29">
        <v>11.3</v>
      </c>
      <c r="E222" s="32" t="s">
        <v>5</v>
      </c>
      <c r="F222" s="32" t="s">
        <v>6</v>
      </c>
      <c r="G222" s="29">
        <v>4.0</v>
      </c>
    </row>
    <row r="223">
      <c r="A223" s="2"/>
      <c r="B223" s="3" t="s">
        <v>7</v>
      </c>
      <c r="C223" s="14"/>
      <c r="D223" s="14"/>
      <c r="E223" s="15"/>
      <c r="F223" s="6"/>
      <c r="G223" s="735">
        <f>G222+G221+G220</f>
        <v>20.5</v>
      </c>
    </row>
    <row r="224">
      <c r="B224" s="28">
        <v>45138.0</v>
      </c>
      <c r="C224" s="29">
        <v>7.3</v>
      </c>
      <c r="D224" s="29">
        <v>17.0</v>
      </c>
      <c r="E224" s="42" t="s">
        <v>31</v>
      </c>
      <c r="F224" s="42" t="s">
        <v>22</v>
      </c>
      <c r="G224" s="39">
        <v>8.75</v>
      </c>
      <c r="H224" s="47">
        <v>1.0</v>
      </c>
    </row>
    <row r="225">
      <c r="A225" s="2"/>
      <c r="B225" s="3" t="s">
        <v>7</v>
      </c>
      <c r="C225" s="14"/>
      <c r="D225" s="14"/>
      <c r="E225" s="15"/>
      <c r="F225" s="6"/>
      <c r="G225" s="735">
        <f>G224+G223+G222</f>
        <v>33.25</v>
      </c>
      <c r="K225" s="8"/>
      <c r="N225" s="9" t="s">
        <v>9</v>
      </c>
      <c r="O225" s="10" t="s">
        <v>10</v>
      </c>
      <c r="P225" s="11" t="s">
        <v>11</v>
      </c>
      <c r="Q225" s="10" t="s">
        <v>1</v>
      </c>
    </row>
    <row r="226">
      <c r="A226" s="12"/>
      <c r="B226" s="13" t="s">
        <v>2</v>
      </c>
      <c r="C226" s="14"/>
      <c r="D226" s="14"/>
      <c r="E226" s="15"/>
      <c r="F226" s="16"/>
      <c r="G226" s="17">
        <f>G203+G209+G215+G221+G225</f>
        <v>64</v>
      </c>
      <c r="H226" s="18">
        <f>H221+H224</f>
        <v>2</v>
      </c>
      <c r="I226" s="19">
        <f>I215</f>
        <v>1.25</v>
      </c>
      <c r="J226" s="20">
        <f>H226-I226</f>
        <v>0.75</v>
      </c>
      <c r="K226" s="21" t="s">
        <v>3521</v>
      </c>
      <c r="L226" s="22" t="s">
        <v>3522</v>
      </c>
      <c r="M226" s="23" t="s">
        <v>14</v>
      </c>
      <c r="N226" s="24">
        <v>1903.86</v>
      </c>
      <c r="O226" s="25">
        <v>1294.64</v>
      </c>
      <c r="P226" s="26">
        <v>1468.27</v>
      </c>
      <c r="Q226" s="27">
        <v>1514.78</v>
      </c>
    </row>
    <row r="227">
      <c r="A227" s="728"/>
      <c r="B227" s="728" t="s">
        <v>243</v>
      </c>
      <c r="C227" s="728" t="s">
        <v>3445</v>
      </c>
      <c r="D227" s="728" t="s">
        <v>3446</v>
      </c>
      <c r="E227" s="728" t="s">
        <v>3447</v>
      </c>
      <c r="F227" s="728" t="s">
        <v>3448</v>
      </c>
      <c r="G227" s="729" t="s">
        <v>3449</v>
      </c>
      <c r="H227" s="730" t="s">
        <v>3450</v>
      </c>
      <c r="I227" s="731" t="s">
        <v>3451</v>
      </c>
      <c r="J227" s="732" t="s">
        <v>3452</v>
      </c>
      <c r="K227" s="733" t="s">
        <v>50</v>
      </c>
      <c r="L227" s="734" t="s">
        <v>3453</v>
      </c>
      <c r="O227" s="31" t="s">
        <v>3523</v>
      </c>
    </row>
    <row r="228">
      <c r="B228" s="28">
        <v>45139.0</v>
      </c>
      <c r="C228" s="29">
        <v>7.3</v>
      </c>
      <c r="D228" s="29">
        <v>17.0</v>
      </c>
      <c r="E228" s="42" t="s">
        <v>31</v>
      </c>
      <c r="F228" s="42" t="s">
        <v>22</v>
      </c>
      <c r="G228" s="39">
        <v>8.75</v>
      </c>
      <c r="H228" s="47">
        <v>1.0</v>
      </c>
    </row>
    <row r="229">
      <c r="B229" s="28">
        <v>45140.0</v>
      </c>
      <c r="C229" s="29">
        <v>7.3</v>
      </c>
      <c r="D229" s="29">
        <v>17.0</v>
      </c>
      <c r="E229" s="42" t="s">
        <v>31</v>
      </c>
      <c r="F229" s="42" t="s">
        <v>22</v>
      </c>
      <c r="G229" s="39">
        <v>8.75</v>
      </c>
      <c r="H229" s="47">
        <v>1.0</v>
      </c>
    </row>
    <row r="230">
      <c r="B230" s="28">
        <v>45141.0</v>
      </c>
      <c r="C230" s="29">
        <v>7.3</v>
      </c>
      <c r="D230" s="29">
        <v>17.0</v>
      </c>
      <c r="E230" s="30" t="s">
        <v>3</v>
      </c>
      <c r="F230" s="30" t="s">
        <v>4</v>
      </c>
      <c r="G230" s="29">
        <v>7.75</v>
      </c>
    </row>
    <row r="231">
      <c r="B231" s="28">
        <v>45142.0</v>
      </c>
      <c r="C231" s="34" t="s">
        <v>15</v>
      </c>
      <c r="I231" s="745">
        <v>4.0</v>
      </c>
    </row>
    <row r="232">
      <c r="A232" s="2"/>
      <c r="B232" s="3" t="s">
        <v>7</v>
      </c>
      <c r="C232" s="14"/>
      <c r="D232" s="14"/>
      <c r="E232" s="15"/>
      <c r="F232" s="6"/>
      <c r="G232" s="735">
        <f>G230+G229+G228</f>
        <v>25.25</v>
      </c>
    </row>
    <row r="233">
      <c r="B233" s="33" t="s">
        <v>3524</v>
      </c>
    </row>
    <row r="235">
      <c r="B235" s="28">
        <v>45166.0</v>
      </c>
      <c r="C235" s="29">
        <v>7.3</v>
      </c>
      <c r="D235" s="29">
        <v>17.0</v>
      </c>
      <c r="E235" s="30" t="s">
        <v>3</v>
      </c>
      <c r="F235" s="30" t="s">
        <v>4</v>
      </c>
      <c r="G235" s="29">
        <v>7.75</v>
      </c>
    </row>
    <row r="236">
      <c r="B236" s="28">
        <v>45167.0</v>
      </c>
      <c r="C236" s="29">
        <v>7.3</v>
      </c>
      <c r="D236" s="29">
        <v>17.0</v>
      </c>
      <c r="E236" s="30" t="s">
        <v>3</v>
      </c>
      <c r="F236" s="30" t="s">
        <v>4</v>
      </c>
      <c r="G236" s="29">
        <v>7.75</v>
      </c>
    </row>
    <row r="237">
      <c r="B237" s="28">
        <v>45168.0</v>
      </c>
      <c r="C237" s="29">
        <v>7.3</v>
      </c>
      <c r="D237" s="29">
        <v>17.0</v>
      </c>
      <c r="E237" s="30" t="s">
        <v>3</v>
      </c>
      <c r="F237" s="30" t="s">
        <v>4</v>
      </c>
      <c r="G237" s="29">
        <v>7.75</v>
      </c>
    </row>
    <row r="238">
      <c r="B238" s="28">
        <v>45169.0</v>
      </c>
      <c r="C238" s="29">
        <v>7.3</v>
      </c>
      <c r="D238" s="29">
        <v>17.0</v>
      </c>
      <c r="E238" s="30" t="s">
        <v>3</v>
      </c>
      <c r="F238" s="30" t="s">
        <v>4</v>
      </c>
      <c r="G238" s="29">
        <v>7.75</v>
      </c>
      <c r="L238" s="51" t="s">
        <v>3525</v>
      </c>
      <c r="O238" s="648"/>
      <c r="P238" s="648"/>
    </row>
    <row r="239">
      <c r="A239" s="2"/>
      <c r="B239" s="3" t="s">
        <v>7</v>
      </c>
      <c r="C239" s="14"/>
      <c r="D239" s="14"/>
      <c r="E239" s="15"/>
      <c r="F239" s="6"/>
      <c r="G239" s="735">
        <f>G238+G237+G236</f>
        <v>23.25</v>
      </c>
      <c r="K239" s="8"/>
      <c r="N239" s="9" t="s">
        <v>9</v>
      </c>
      <c r="O239" s="10" t="s">
        <v>10</v>
      </c>
      <c r="P239" s="11" t="s">
        <v>11</v>
      </c>
      <c r="Q239" s="10" t="s">
        <v>1</v>
      </c>
    </row>
    <row r="240">
      <c r="A240" s="12"/>
      <c r="B240" s="13" t="s">
        <v>2</v>
      </c>
      <c r="C240" s="14"/>
      <c r="D240" s="14"/>
      <c r="E240" s="15"/>
      <c r="F240" s="16"/>
      <c r="G240" s="17">
        <f>G216+G222+G228+G235+G239</f>
        <v>47.75</v>
      </c>
      <c r="H240" s="18">
        <f>H228+H229</f>
        <v>2</v>
      </c>
      <c r="I240" s="19">
        <f>I231</f>
        <v>4</v>
      </c>
      <c r="J240" s="20">
        <f>H240-I240</f>
        <v>-2</v>
      </c>
      <c r="K240" s="21" t="s">
        <v>3526</v>
      </c>
      <c r="L240" s="22" t="s">
        <v>3527</v>
      </c>
      <c r="M240" s="23" t="s">
        <v>14</v>
      </c>
      <c r="N240" s="24">
        <v>1863.58</v>
      </c>
      <c r="O240" s="25">
        <v>1256.72</v>
      </c>
      <c r="P240" s="26">
        <v>1430.35</v>
      </c>
      <c r="Q240" s="27">
        <v>1525.52</v>
      </c>
    </row>
    <row r="241">
      <c r="A241" s="728"/>
      <c r="B241" s="728" t="s">
        <v>243</v>
      </c>
      <c r="C241" s="728" t="s">
        <v>3445</v>
      </c>
      <c r="D241" s="728" t="s">
        <v>3446</v>
      </c>
      <c r="E241" s="728" t="s">
        <v>3447</v>
      </c>
      <c r="F241" s="728" t="s">
        <v>3448</v>
      </c>
      <c r="G241" s="729" t="s">
        <v>3449</v>
      </c>
      <c r="H241" s="730" t="s">
        <v>3450</v>
      </c>
      <c r="I241" s="731" t="s">
        <v>3451</v>
      </c>
      <c r="J241" s="732" t="s">
        <v>3452</v>
      </c>
      <c r="K241" s="733" t="s">
        <v>50</v>
      </c>
      <c r="L241" s="734" t="s">
        <v>3453</v>
      </c>
      <c r="O241" s="31" t="s">
        <v>3523</v>
      </c>
    </row>
    <row r="242">
      <c r="B242" s="28">
        <v>45170.0</v>
      </c>
      <c r="C242" s="29">
        <v>7.3</v>
      </c>
      <c r="D242" s="29">
        <v>11.3</v>
      </c>
      <c r="E242" s="32" t="s">
        <v>5</v>
      </c>
      <c r="F242" s="32" t="s">
        <v>6</v>
      </c>
      <c r="G242" s="29">
        <v>4.0</v>
      </c>
    </row>
    <row r="243">
      <c r="A243" s="2"/>
      <c r="B243" s="3" t="s">
        <v>7</v>
      </c>
      <c r="C243" s="14"/>
      <c r="D243" s="14"/>
      <c r="E243" s="15"/>
      <c r="F243" s="6"/>
      <c r="G243" s="735"/>
    </row>
    <row r="244">
      <c r="B244" s="28">
        <v>45173.0</v>
      </c>
      <c r="C244" s="29">
        <v>7.3</v>
      </c>
      <c r="D244" s="29">
        <v>17.0</v>
      </c>
      <c r="E244" s="30" t="s">
        <v>3</v>
      </c>
      <c r="F244" s="30" t="s">
        <v>4</v>
      </c>
      <c r="G244" s="29">
        <v>7.75</v>
      </c>
    </row>
    <row r="245">
      <c r="B245" s="28">
        <v>45174.0</v>
      </c>
      <c r="C245" s="29">
        <v>7.3</v>
      </c>
      <c r="D245" s="29">
        <v>17.0</v>
      </c>
      <c r="E245" s="30" t="s">
        <v>3</v>
      </c>
      <c r="F245" s="30" t="s">
        <v>4</v>
      </c>
      <c r="G245" s="29">
        <v>7.75</v>
      </c>
    </row>
    <row r="246">
      <c r="B246" s="28">
        <v>45175.0</v>
      </c>
      <c r="C246" s="29">
        <v>7.3</v>
      </c>
      <c r="D246" s="29">
        <v>17.0</v>
      </c>
      <c r="E246" s="30" t="s">
        <v>3</v>
      </c>
      <c r="F246" s="30" t="s">
        <v>4</v>
      </c>
      <c r="G246" s="29">
        <v>7.75</v>
      </c>
    </row>
    <row r="247">
      <c r="B247" s="28">
        <v>45176.0</v>
      </c>
      <c r="C247" s="29">
        <v>7.3</v>
      </c>
      <c r="D247" s="29">
        <v>17.0</v>
      </c>
      <c r="E247" s="30" t="s">
        <v>3</v>
      </c>
      <c r="F247" s="30" t="s">
        <v>4</v>
      </c>
      <c r="G247" s="29">
        <v>7.75</v>
      </c>
    </row>
    <row r="248">
      <c r="B248" s="28">
        <v>45177.0</v>
      </c>
      <c r="C248" s="29">
        <v>7.3</v>
      </c>
      <c r="D248" s="29">
        <v>11.3</v>
      </c>
      <c r="E248" s="32" t="s">
        <v>5</v>
      </c>
      <c r="F248" s="32" t="s">
        <v>6</v>
      </c>
      <c r="G248" s="29">
        <v>4.0</v>
      </c>
    </row>
    <row r="249">
      <c r="A249" s="2"/>
      <c r="B249" s="3" t="s">
        <v>7</v>
      </c>
      <c r="C249" s="14"/>
      <c r="D249" s="14"/>
      <c r="E249" s="15"/>
      <c r="F249" s="6"/>
      <c r="G249" s="735"/>
    </row>
    <row r="250">
      <c r="B250" s="28">
        <v>45180.0</v>
      </c>
      <c r="C250" s="29">
        <v>7.3</v>
      </c>
      <c r="D250" s="29">
        <v>17.0</v>
      </c>
      <c r="E250" s="30" t="s">
        <v>3</v>
      </c>
      <c r="F250" s="30" t="s">
        <v>4</v>
      </c>
      <c r="G250" s="29">
        <v>7.75</v>
      </c>
    </row>
    <row r="251">
      <c r="B251" s="28">
        <v>45181.0</v>
      </c>
      <c r="C251" s="29">
        <v>7.3</v>
      </c>
      <c r="D251" s="29">
        <v>17.0</v>
      </c>
      <c r="E251" s="30" t="s">
        <v>3</v>
      </c>
      <c r="F251" s="30" t="s">
        <v>4</v>
      </c>
      <c r="G251" s="29">
        <v>7.75</v>
      </c>
    </row>
    <row r="252">
      <c r="B252" s="28">
        <v>45182.0</v>
      </c>
      <c r="C252" s="29">
        <v>7.3</v>
      </c>
      <c r="D252" s="29">
        <v>17.0</v>
      </c>
      <c r="E252" s="30" t="s">
        <v>3</v>
      </c>
      <c r="F252" s="30" t="s">
        <v>4</v>
      </c>
      <c r="G252" s="29">
        <v>7.75</v>
      </c>
    </row>
    <row r="253">
      <c r="B253" s="28">
        <v>45183.0</v>
      </c>
      <c r="C253" s="29">
        <v>7.3</v>
      </c>
      <c r="D253" s="29">
        <v>17.0</v>
      </c>
      <c r="E253" s="30" t="s">
        <v>3</v>
      </c>
      <c r="F253" s="30" t="s">
        <v>4</v>
      </c>
      <c r="G253" s="29">
        <v>7.75</v>
      </c>
    </row>
    <row r="254">
      <c r="B254" s="28">
        <v>45184.0</v>
      </c>
      <c r="C254" s="29">
        <v>7.3</v>
      </c>
      <c r="D254" s="29">
        <v>11.3</v>
      </c>
      <c r="E254" s="32" t="s">
        <v>5</v>
      </c>
      <c r="F254" s="32" t="s">
        <v>6</v>
      </c>
      <c r="G254" s="29">
        <v>4.0</v>
      </c>
    </row>
    <row r="255">
      <c r="A255" s="2"/>
      <c r="B255" s="3" t="s">
        <v>7</v>
      </c>
      <c r="C255" s="14"/>
      <c r="D255" s="14"/>
      <c r="E255" s="15"/>
      <c r="F255" s="6"/>
      <c r="G255" s="735"/>
    </row>
    <row r="256">
      <c r="B256" s="28">
        <v>45187.0</v>
      </c>
      <c r="C256" s="29">
        <v>7.3</v>
      </c>
      <c r="D256" s="29">
        <v>17.0</v>
      </c>
      <c r="E256" s="30" t="s">
        <v>3</v>
      </c>
      <c r="F256" s="30" t="s">
        <v>4</v>
      </c>
      <c r="G256" s="29">
        <v>7.75</v>
      </c>
    </row>
    <row r="257">
      <c r="B257" s="28">
        <v>45188.0</v>
      </c>
      <c r="C257" s="29">
        <v>7.3</v>
      </c>
      <c r="D257" s="29">
        <v>17.0</v>
      </c>
      <c r="E257" s="30" t="s">
        <v>3</v>
      </c>
      <c r="F257" s="30" t="s">
        <v>4</v>
      </c>
      <c r="G257" s="29">
        <v>7.75</v>
      </c>
    </row>
    <row r="258">
      <c r="B258" s="28">
        <v>45189.0</v>
      </c>
      <c r="C258" s="29">
        <v>7.3</v>
      </c>
      <c r="D258" s="29">
        <v>17.0</v>
      </c>
      <c r="E258" s="30" t="s">
        <v>3</v>
      </c>
      <c r="F258" s="30" t="s">
        <v>4</v>
      </c>
      <c r="G258" s="29">
        <v>7.75</v>
      </c>
    </row>
    <row r="259">
      <c r="B259" s="28">
        <v>45190.0</v>
      </c>
      <c r="C259" s="29">
        <v>7.3</v>
      </c>
      <c r="D259" s="29">
        <v>17.0</v>
      </c>
      <c r="E259" s="30" t="s">
        <v>3</v>
      </c>
      <c r="F259" s="30" t="s">
        <v>4</v>
      </c>
      <c r="G259" s="29">
        <v>7.75</v>
      </c>
    </row>
    <row r="260">
      <c r="B260" s="28">
        <v>45191.0</v>
      </c>
      <c r="C260" s="29">
        <v>7.3</v>
      </c>
      <c r="D260" s="29">
        <v>11.3</v>
      </c>
      <c r="E260" s="32" t="s">
        <v>5</v>
      </c>
      <c r="F260" s="32" t="s">
        <v>6</v>
      </c>
      <c r="G260" s="29">
        <v>4.0</v>
      </c>
    </row>
    <row r="261">
      <c r="A261" s="2"/>
      <c r="B261" s="3" t="s">
        <v>7</v>
      </c>
      <c r="C261" s="14"/>
      <c r="D261" s="14"/>
      <c r="E261" s="15"/>
      <c r="F261" s="6"/>
      <c r="G261" s="735"/>
    </row>
    <row r="262">
      <c r="B262" s="28">
        <v>45194.0</v>
      </c>
      <c r="C262" s="29">
        <v>7.3</v>
      </c>
      <c r="D262" s="29">
        <v>17.0</v>
      </c>
      <c r="E262" s="30" t="s">
        <v>3</v>
      </c>
      <c r="F262" s="30" t="s">
        <v>4</v>
      </c>
      <c r="G262" s="29">
        <v>7.75</v>
      </c>
    </row>
    <row r="263">
      <c r="B263" s="28">
        <v>45195.0</v>
      </c>
      <c r="C263" s="29">
        <v>7.3</v>
      </c>
      <c r="D263" s="29">
        <v>17.0</v>
      </c>
      <c r="E263" s="30" t="s">
        <v>3</v>
      </c>
      <c r="F263" s="30" t="s">
        <v>4</v>
      </c>
      <c r="G263" s="29">
        <v>7.75</v>
      </c>
    </row>
    <row r="264">
      <c r="B264" s="28">
        <v>45196.0</v>
      </c>
      <c r="C264" s="29">
        <v>7.3</v>
      </c>
      <c r="D264" s="39">
        <v>16.5</v>
      </c>
      <c r="E264" s="30" t="s">
        <v>3</v>
      </c>
      <c r="F264" s="748" t="s">
        <v>3528</v>
      </c>
      <c r="G264" s="39">
        <v>7.25</v>
      </c>
      <c r="I264" s="745">
        <v>0.5</v>
      </c>
    </row>
    <row r="265">
      <c r="B265" s="28">
        <v>45197.0</v>
      </c>
      <c r="C265" s="29">
        <v>7.3</v>
      </c>
      <c r="D265" s="29">
        <v>17.0</v>
      </c>
      <c r="E265" s="30" t="s">
        <v>3</v>
      </c>
      <c r="F265" s="30" t="s">
        <v>4</v>
      </c>
      <c r="G265" s="29">
        <v>7.75</v>
      </c>
    </row>
    <row r="266">
      <c r="B266" s="28">
        <v>45198.0</v>
      </c>
      <c r="C266" s="29">
        <v>7.3</v>
      </c>
      <c r="D266" s="29">
        <v>11.3</v>
      </c>
      <c r="E266" s="32" t="s">
        <v>5</v>
      </c>
      <c r="F266" s="32" t="s">
        <v>6</v>
      </c>
      <c r="G266" s="29">
        <v>4.0</v>
      </c>
    </row>
    <row r="267">
      <c r="A267" s="2"/>
      <c r="B267" s="3" t="s">
        <v>7</v>
      </c>
      <c r="C267" s="14"/>
      <c r="D267" s="14"/>
      <c r="E267" s="15"/>
      <c r="F267" s="6"/>
      <c r="G267" s="735">
        <f>G266+G265+G264</f>
        <v>19</v>
      </c>
      <c r="K267" s="8"/>
      <c r="N267" s="9" t="s">
        <v>9</v>
      </c>
      <c r="O267" s="10" t="s">
        <v>10</v>
      </c>
      <c r="P267" s="11" t="s">
        <v>11</v>
      </c>
      <c r="Q267" s="10" t="s">
        <v>1</v>
      </c>
    </row>
    <row r="268">
      <c r="A268" s="12"/>
      <c r="B268" s="13" t="s">
        <v>2</v>
      </c>
      <c r="C268" s="14"/>
      <c r="D268" s="14"/>
      <c r="E268" s="15"/>
      <c r="F268" s="16"/>
      <c r="G268" s="17">
        <f>G245+G251+G257+G263+G267</f>
        <v>50</v>
      </c>
      <c r="H268" s="18">
        <f>H257+H258</f>
        <v>0</v>
      </c>
      <c r="I268" s="19">
        <v>0.5</v>
      </c>
      <c r="J268" s="20">
        <f>H268-I268</f>
        <v>-0.5</v>
      </c>
      <c r="K268" s="21" t="s">
        <v>3529</v>
      </c>
      <c r="L268" s="22" t="s">
        <v>3530</v>
      </c>
      <c r="M268" s="23" t="s">
        <v>14</v>
      </c>
      <c r="N268" s="24">
        <v>1850.48</v>
      </c>
      <c r="O268" s="25">
        <v>1298.61</v>
      </c>
      <c r="P268" s="26">
        <v>1419.99</v>
      </c>
      <c r="Q268" s="27">
        <v>1514.79</v>
      </c>
    </row>
    <row r="269">
      <c r="A269" s="728"/>
      <c r="B269" s="728" t="s">
        <v>243</v>
      </c>
      <c r="C269" s="728" t="s">
        <v>3445</v>
      </c>
      <c r="D269" s="728" t="s">
        <v>3446</v>
      </c>
      <c r="E269" s="728" t="s">
        <v>3447</v>
      </c>
      <c r="F269" s="728" t="s">
        <v>3448</v>
      </c>
      <c r="G269" s="729" t="s">
        <v>3449</v>
      </c>
      <c r="H269" s="730" t="s">
        <v>3450</v>
      </c>
      <c r="I269" s="731" t="s">
        <v>3451</v>
      </c>
      <c r="J269" s="732" t="s">
        <v>3452</v>
      </c>
      <c r="K269" s="733" t="s">
        <v>50</v>
      </c>
      <c r="L269" s="734" t="s">
        <v>3453</v>
      </c>
      <c r="O269" s="31">
        <v>121.38</v>
      </c>
    </row>
    <row r="270">
      <c r="B270" s="28">
        <v>45201.0</v>
      </c>
      <c r="C270" s="29">
        <v>7.3</v>
      </c>
      <c r="D270" s="29">
        <v>17.0</v>
      </c>
      <c r="E270" s="30" t="s">
        <v>3</v>
      </c>
      <c r="F270" s="30" t="s">
        <v>4</v>
      </c>
      <c r="G270" s="29">
        <v>7.75</v>
      </c>
    </row>
    <row r="271">
      <c r="B271" s="28">
        <v>45202.0</v>
      </c>
      <c r="C271" s="29">
        <v>7.3</v>
      </c>
      <c r="D271" s="29">
        <v>17.0</v>
      </c>
      <c r="E271" s="30" t="s">
        <v>3</v>
      </c>
      <c r="F271" s="30" t="s">
        <v>4</v>
      </c>
      <c r="G271" s="29">
        <v>7.75</v>
      </c>
    </row>
    <row r="272">
      <c r="B272" s="28">
        <v>45203.0</v>
      </c>
      <c r="C272" s="29">
        <v>7.3</v>
      </c>
      <c r="D272" s="29">
        <v>17.0</v>
      </c>
      <c r="E272" s="30" t="s">
        <v>3</v>
      </c>
      <c r="F272" s="30" t="s">
        <v>4</v>
      </c>
      <c r="G272" s="29">
        <v>7.75</v>
      </c>
    </row>
    <row r="273">
      <c r="B273" s="28">
        <v>45204.0</v>
      </c>
      <c r="C273" s="29">
        <v>7.3</v>
      </c>
      <c r="D273" s="29">
        <v>17.0</v>
      </c>
      <c r="E273" s="30" t="s">
        <v>3</v>
      </c>
      <c r="F273" s="30" t="s">
        <v>4</v>
      </c>
      <c r="G273" s="29">
        <v>7.75</v>
      </c>
    </row>
    <row r="274">
      <c r="B274" s="28">
        <v>45205.0</v>
      </c>
      <c r="C274" s="29">
        <v>7.3</v>
      </c>
      <c r="D274" s="29">
        <v>11.3</v>
      </c>
      <c r="E274" s="32" t="s">
        <v>5</v>
      </c>
      <c r="F274" s="32" t="s">
        <v>6</v>
      </c>
      <c r="G274" s="29">
        <v>4.0</v>
      </c>
    </row>
    <row r="275">
      <c r="A275" s="2"/>
      <c r="B275" s="3" t="s">
        <v>7</v>
      </c>
      <c r="C275" s="14"/>
      <c r="D275" s="14"/>
      <c r="E275" s="15"/>
      <c r="F275" s="6"/>
      <c r="G275" s="735"/>
    </row>
    <row r="276">
      <c r="B276" s="28">
        <v>45208.0</v>
      </c>
      <c r="C276" s="29">
        <v>7.3</v>
      </c>
      <c r="D276" s="29">
        <v>17.0</v>
      </c>
      <c r="E276" s="30" t="s">
        <v>3</v>
      </c>
      <c r="F276" s="30" t="s">
        <v>4</v>
      </c>
      <c r="G276" s="29">
        <v>7.75</v>
      </c>
    </row>
    <row r="277">
      <c r="B277" s="28">
        <v>45209.0</v>
      </c>
      <c r="C277" s="29">
        <v>7.3</v>
      </c>
      <c r="D277" s="29">
        <v>17.0</v>
      </c>
      <c r="E277" s="30" t="s">
        <v>3</v>
      </c>
      <c r="F277" s="30" t="s">
        <v>4</v>
      </c>
      <c r="G277" s="29">
        <v>7.75</v>
      </c>
    </row>
    <row r="278">
      <c r="B278" s="28">
        <v>45210.0</v>
      </c>
      <c r="C278" s="29">
        <v>7.3</v>
      </c>
      <c r="D278" s="29">
        <v>17.0</v>
      </c>
      <c r="E278" s="30" t="s">
        <v>3</v>
      </c>
      <c r="F278" s="30" t="s">
        <v>4</v>
      </c>
      <c r="G278" s="29">
        <v>7.75</v>
      </c>
    </row>
    <row r="279">
      <c r="B279" s="28">
        <v>45211.0</v>
      </c>
      <c r="C279" s="29">
        <v>7.3</v>
      </c>
      <c r="D279" s="29">
        <v>17.0</v>
      </c>
      <c r="E279" s="30" t="s">
        <v>3</v>
      </c>
      <c r="F279" s="30" t="s">
        <v>4</v>
      </c>
      <c r="G279" s="29">
        <v>7.75</v>
      </c>
    </row>
    <row r="280">
      <c r="B280" s="28">
        <v>45212.0</v>
      </c>
      <c r="C280" s="29">
        <v>7.3</v>
      </c>
      <c r="D280" s="29">
        <v>11.3</v>
      </c>
      <c r="E280" s="32" t="s">
        <v>5</v>
      </c>
      <c r="F280" s="32" t="s">
        <v>6</v>
      </c>
      <c r="G280" s="29">
        <v>4.0</v>
      </c>
    </row>
    <row r="281">
      <c r="A281" s="2"/>
      <c r="B281" s="3" t="s">
        <v>7</v>
      </c>
      <c r="C281" s="14"/>
      <c r="D281" s="14"/>
      <c r="E281" s="15"/>
      <c r="F281" s="6"/>
      <c r="G281" s="735"/>
    </row>
    <row r="282">
      <c r="B282" s="28">
        <v>45215.0</v>
      </c>
      <c r="C282" s="29">
        <v>7.3</v>
      </c>
      <c r="D282" s="29">
        <v>17.0</v>
      </c>
      <c r="E282" s="30" t="s">
        <v>3</v>
      </c>
      <c r="F282" s="30" t="s">
        <v>4</v>
      </c>
      <c r="G282" s="29">
        <v>7.75</v>
      </c>
    </row>
    <row r="283">
      <c r="B283" s="28">
        <v>45216.0</v>
      </c>
      <c r="C283" s="29">
        <v>7.3</v>
      </c>
      <c r="D283" s="29">
        <v>17.0</v>
      </c>
      <c r="E283" s="30" t="s">
        <v>3</v>
      </c>
      <c r="F283" s="30" t="s">
        <v>4</v>
      </c>
      <c r="G283" s="29">
        <v>7.75</v>
      </c>
    </row>
    <row r="284">
      <c r="B284" s="28">
        <v>45217.0</v>
      </c>
      <c r="C284" s="29">
        <v>7.3</v>
      </c>
      <c r="D284" s="29">
        <v>17.0</v>
      </c>
      <c r="E284" s="30" t="s">
        <v>3</v>
      </c>
      <c r="F284" s="30" t="s">
        <v>4</v>
      </c>
      <c r="G284" s="29">
        <v>7.75</v>
      </c>
    </row>
    <row r="285">
      <c r="B285" s="28">
        <v>45218.0</v>
      </c>
      <c r="C285" s="29">
        <v>7.3</v>
      </c>
      <c r="D285" s="29">
        <v>17.0</v>
      </c>
      <c r="E285" s="30" t="s">
        <v>3</v>
      </c>
      <c r="F285" s="30" t="s">
        <v>4</v>
      </c>
      <c r="G285" s="29">
        <v>7.75</v>
      </c>
    </row>
    <row r="286">
      <c r="B286" s="28">
        <v>45219.0</v>
      </c>
      <c r="C286" s="29">
        <v>7.3</v>
      </c>
      <c r="D286" s="29">
        <v>11.3</v>
      </c>
      <c r="E286" s="32" t="s">
        <v>5</v>
      </c>
      <c r="F286" s="32" t="s">
        <v>6</v>
      </c>
      <c r="G286" s="29">
        <v>4.0</v>
      </c>
    </row>
    <row r="287">
      <c r="A287" s="2"/>
      <c r="B287" s="3" t="s">
        <v>7</v>
      </c>
      <c r="C287" s="14"/>
      <c r="D287" s="14"/>
      <c r="E287" s="15"/>
      <c r="F287" s="6"/>
      <c r="G287" s="735"/>
    </row>
    <row r="288">
      <c r="B288" s="28">
        <v>45222.0</v>
      </c>
      <c r="C288" s="29">
        <v>7.3</v>
      </c>
      <c r="D288" s="29">
        <v>17.0</v>
      </c>
      <c r="E288" s="30" t="s">
        <v>3</v>
      </c>
      <c r="F288" s="30" t="s">
        <v>4</v>
      </c>
      <c r="G288" s="29">
        <v>7.75</v>
      </c>
    </row>
    <row r="289">
      <c r="B289" s="28">
        <v>45223.0</v>
      </c>
      <c r="C289" s="29">
        <v>7.3</v>
      </c>
      <c r="D289" s="29">
        <v>17.0</v>
      </c>
      <c r="E289" s="30" t="s">
        <v>3</v>
      </c>
      <c r="F289" s="30" t="s">
        <v>4</v>
      </c>
      <c r="G289" s="29">
        <v>7.75</v>
      </c>
    </row>
    <row r="290">
      <c r="B290" s="28">
        <v>45224.0</v>
      </c>
      <c r="C290" s="29">
        <v>7.3</v>
      </c>
      <c r="D290" s="29">
        <v>17.0</v>
      </c>
      <c r="E290" s="30" t="s">
        <v>3</v>
      </c>
      <c r="F290" s="30" t="s">
        <v>4</v>
      </c>
      <c r="G290" s="29">
        <v>7.75</v>
      </c>
    </row>
    <row r="291">
      <c r="B291" s="28">
        <v>45225.0</v>
      </c>
      <c r="C291" s="29">
        <v>7.3</v>
      </c>
      <c r="D291" s="29">
        <v>17.0</v>
      </c>
      <c r="E291" s="30" t="s">
        <v>3</v>
      </c>
      <c r="F291" s="30" t="s">
        <v>4</v>
      </c>
      <c r="G291" s="29">
        <v>7.75</v>
      </c>
    </row>
    <row r="292">
      <c r="B292" s="28">
        <v>45226.0</v>
      </c>
      <c r="C292" s="29">
        <v>7.3</v>
      </c>
      <c r="D292" s="29">
        <v>11.3</v>
      </c>
      <c r="E292" s="32" t="s">
        <v>5</v>
      </c>
      <c r="F292" s="32" t="s">
        <v>6</v>
      </c>
      <c r="G292" s="29">
        <v>4.0</v>
      </c>
    </row>
    <row r="293">
      <c r="A293" s="2"/>
      <c r="B293" s="3" t="s">
        <v>7</v>
      </c>
      <c r="C293" s="14"/>
      <c r="D293" s="14"/>
      <c r="E293" s="15"/>
      <c r="F293" s="6"/>
      <c r="G293" s="735"/>
    </row>
    <row r="294">
      <c r="B294" s="28">
        <v>45229.0</v>
      </c>
      <c r="C294" s="29">
        <v>7.3</v>
      </c>
      <c r="D294" s="29">
        <v>17.0</v>
      </c>
      <c r="E294" s="30" t="s">
        <v>3</v>
      </c>
      <c r="F294" s="30" t="s">
        <v>4</v>
      </c>
      <c r="G294" s="29">
        <v>7.75</v>
      </c>
    </row>
    <row r="295">
      <c r="B295" s="28">
        <v>45230.0</v>
      </c>
      <c r="C295" s="29">
        <v>7.3</v>
      </c>
      <c r="D295" s="29">
        <v>17.0</v>
      </c>
      <c r="E295" s="30" t="s">
        <v>3</v>
      </c>
      <c r="F295" s="30" t="s">
        <v>4</v>
      </c>
      <c r="G295" s="29">
        <v>7.75</v>
      </c>
    </row>
    <row r="296">
      <c r="A296" s="2"/>
      <c r="B296" s="3" t="s">
        <v>7</v>
      </c>
      <c r="C296" s="14"/>
      <c r="D296" s="14"/>
      <c r="E296" s="15"/>
      <c r="F296" s="6"/>
      <c r="G296" s="735">
        <f>G295+G294+G293</f>
        <v>15.5</v>
      </c>
      <c r="K296" s="8"/>
      <c r="N296" s="9" t="s">
        <v>9</v>
      </c>
      <c r="O296" s="10" t="s">
        <v>10</v>
      </c>
      <c r="P296" s="11" t="s">
        <v>11</v>
      </c>
      <c r="Q296" s="10" t="s">
        <v>1</v>
      </c>
    </row>
    <row r="297">
      <c r="A297" s="12"/>
      <c r="B297" s="13" t="s">
        <v>2</v>
      </c>
      <c r="C297" s="14"/>
      <c r="D297" s="14"/>
      <c r="E297" s="15"/>
      <c r="F297" s="16"/>
      <c r="G297" s="17">
        <f>G274+G280+G286+G292+G296</f>
        <v>31.5</v>
      </c>
      <c r="H297" s="18">
        <f>H286+H287</f>
        <v>0</v>
      </c>
      <c r="I297" s="19">
        <v>0.0</v>
      </c>
      <c r="J297" s="20">
        <f>H297-I297</f>
        <v>0</v>
      </c>
      <c r="K297" s="21" t="s">
        <v>3529</v>
      </c>
      <c r="L297" s="22" t="s">
        <v>3531</v>
      </c>
      <c r="M297" s="23" t="s">
        <v>14</v>
      </c>
      <c r="N297" s="24">
        <v>1850.48</v>
      </c>
      <c r="O297" s="25">
        <v>1251.11</v>
      </c>
      <c r="P297" s="26">
        <v>1419.99</v>
      </c>
      <c r="Q297" s="27">
        <v>1514.79</v>
      </c>
    </row>
    <row r="298">
      <c r="A298" s="728"/>
      <c r="B298" s="728" t="s">
        <v>243</v>
      </c>
      <c r="C298" s="728" t="s">
        <v>3445</v>
      </c>
      <c r="D298" s="728" t="s">
        <v>3446</v>
      </c>
      <c r="E298" s="728" t="s">
        <v>3447</v>
      </c>
      <c r="F298" s="728" t="s">
        <v>3448</v>
      </c>
      <c r="G298" s="729" t="s">
        <v>3449</v>
      </c>
      <c r="H298" s="730" t="s">
        <v>3450</v>
      </c>
      <c r="I298" s="731" t="s">
        <v>3451</v>
      </c>
      <c r="J298" s="732" t="s">
        <v>3452</v>
      </c>
      <c r="K298" s="733" t="s">
        <v>50</v>
      </c>
      <c r="L298" s="734" t="s">
        <v>3453</v>
      </c>
      <c r="O298" s="31">
        <v>168.88</v>
      </c>
    </row>
    <row r="299">
      <c r="B299" s="28">
        <v>45231.0</v>
      </c>
      <c r="C299" s="29">
        <v>7.3</v>
      </c>
      <c r="D299" s="29">
        <v>17.0</v>
      </c>
      <c r="E299" s="30" t="s">
        <v>3</v>
      </c>
      <c r="F299" s="30" t="s">
        <v>4</v>
      </c>
      <c r="G299" s="29">
        <v>7.75</v>
      </c>
    </row>
    <row r="300">
      <c r="B300" s="28">
        <v>45232.0</v>
      </c>
      <c r="C300" s="29">
        <v>7.3</v>
      </c>
      <c r="D300" s="29">
        <v>17.0</v>
      </c>
      <c r="E300" s="30" t="s">
        <v>3</v>
      </c>
      <c r="F300" s="30" t="s">
        <v>4</v>
      </c>
      <c r="G300" s="29">
        <v>7.75</v>
      </c>
    </row>
    <row r="301">
      <c r="B301" s="28">
        <v>45233.0</v>
      </c>
      <c r="C301" s="29">
        <v>7.3</v>
      </c>
      <c r="D301" s="29">
        <v>11.3</v>
      </c>
      <c r="E301" s="32" t="s">
        <v>5</v>
      </c>
      <c r="F301" s="32" t="s">
        <v>6</v>
      </c>
      <c r="G301" s="29">
        <v>4.0</v>
      </c>
    </row>
    <row r="302">
      <c r="A302" s="2"/>
      <c r="B302" s="3" t="s">
        <v>7</v>
      </c>
      <c r="C302" s="14"/>
      <c r="D302" s="14"/>
      <c r="E302" s="15"/>
      <c r="F302" s="6"/>
      <c r="G302" s="735">
        <f>SUM(G299:G301)</f>
        <v>19.5</v>
      </c>
    </row>
    <row r="303">
      <c r="B303" s="28">
        <v>45236.0</v>
      </c>
      <c r="C303" s="29">
        <v>7.3</v>
      </c>
      <c r="D303" s="29">
        <v>17.0</v>
      </c>
      <c r="E303" s="30" t="s">
        <v>3</v>
      </c>
      <c r="F303" s="30" t="s">
        <v>4</v>
      </c>
      <c r="G303" s="29">
        <v>7.75</v>
      </c>
    </row>
    <row r="304">
      <c r="B304" s="28">
        <v>45237.0</v>
      </c>
      <c r="C304" s="29">
        <v>7.3</v>
      </c>
      <c r="D304" s="29">
        <v>17.0</v>
      </c>
      <c r="E304" s="30" t="s">
        <v>3</v>
      </c>
      <c r="F304" s="30" t="s">
        <v>4</v>
      </c>
      <c r="G304" s="29">
        <v>7.75</v>
      </c>
    </row>
    <row r="305">
      <c r="B305" s="28">
        <v>45238.0</v>
      </c>
      <c r="C305" s="29">
        <v>7.3</v>
      </c>
      <c r="D305" s="29">
        <v>17.0</v>
      </c>
      <c r="E305" s="30" t="s">
        <v>3</v>
      </c>
      <c r="F305" s="30" t="s">
        <v>4</v>
      </c>
      <c r="G305" s="29">
        <v>7.75</v>
      </c>
    </row>
    <row r="306">
      <c r="B306" s="28">
        <v>45239.0</v>
      </c>
      <c r="C306" s="29">
        <v>7.3</v>
      </c>
      <c r="D306" s="29">
        <v>17.0</v>
      </c>
      <c r="E306" s="30" t="s">
        <v>3</v>
      </c>
      <c r="F306" s="30" t="s">
        <v>4</v>
      </c>
      <c r="G306" s="29">
        <v>7.75</v>
      </c>
    </row>
    <row r="307">
      <c r="B307" s="28">
        <v>45240.0</v>
      </c>
      <c r="C307" s="29">
        <v>7.3</v>
      </c>
      <c r="D307" s="29">
        <v>11.3</v>
      </c>
      <c r="E307" s="32" t="s">
        <v>5</v>
      </c>
      <c r="F307" s="32" t="s">
        <v>6</v>
      </c>
      <c r="G307" s="29">
        <v>4.0</v>
      </c>
    </row>
    <row r="308">
      <c r="A308" s="2"/>
      <c r="B308" s="3" t="s">
        <v>7</v>
      </c>
      <c r="C308" s="14"/>
      <c r="D308" s="14"/>
      <c r="E308" s="15"/>
      <c r="F308" s="6"/>
      <c r="G308" s="735">
        <f>G303+G304+G307+G306+G305</f>
        <v>35</v>
      </c>
    </row>
    <row r="309">
      <c r="B309" s="28">
        <v>45243.0</v>
      </c>
      <c r="C309" s="29">
        <v>7.3</v>
      </c>
      <c r="D309" s="29">
        <v>17.0</v>
      </c>
      <c r="E309" s="30" t="s">
        <v>3</v>
      </c>
      <c r="F309" s="30" t="s">
        <v>4</v>
      </c>
      <c r="G309" s="29">
        <v>7.75</v>
      </c>
    </row>
    <row r="310">
      <c r="B310" s="28">
        <v>45244.0</v>
      </c>
      <c r="C310" s="29">
        <v>7.3</v>
      </c>
      <c r="D310" s="29">
        <v>17.0</v>
      </c>
      <c r="E310" s="30" t="s">
        <v>3</v>
      </c>
      <c r="F310" s="30" t="s">
        <v>4</v>
      </c>
      <c r="G310" s="29">
        <v>7.75</v>
      </c>
    </row>
    <row r="311">
      <c r="B311" s="28">
        <v>45245.0</v>
      </c>
      <c r="C311" s="29">
        <v>7.3</v>
      </c>
      <c r="D311" s="29">
        <v>17.0</v>
      </c>
      <c r="E311" s="30" t="s">
        <v>3</v>
      </c>
      <c r="F311" s="30" t="s">
        <v>4</v>
      </c>
      <c r="G311" s="29">
        <v>7.75</v>
      </c>
    </row>
    <row r="312">
      <c r="B312" s="28">
        <v>45246.0</v>
      </c>
      <c r="C312" s="29">
        <v>7.3</v>
      </c>
      <c r="D312" s="29">
        <v>17.0</v>
      </c>
      <c r="E312" s="30" t="s">
        <v>3</v>
      </c>
      <c r="F312" s="30" t="s">
        <v>4</v>
      </c>
      <c r="G312" s="29">
        <v>7.75</v>
      </c>
    </row>
    <row r="313">
      <c r="B313" s="28">
        <v>45247.0</v>
      </c>
      <c r="C313" s="29">
        <v>7.3</v>
      </c>
      <c r="D313" s="29">
        <v>11.3</v>
      </c>
      <c r="E313" s="32" t="s">
        <v>5</v>
      </c>
      <c r="F313" s="32" t="s">
        <v>6</v>
      </c>
      <c r="G313" s="29">
        <v>4.0</v>
      </c>
    </row>
    <row r="314">
      <c r="A314" s="2"/>
      <c r="B314" s="3" t="s">
        <v>7</v>
      </c>
      <c r="C314" s="14"/>
      <c r="D314" s="14"/>
      <c r="E314" s="15"/>
      <c r="F314" s="6"/>
      <c r="G314" s="735">
        <f>G309+G310+G313+G312+G311</f>
        <v>35</v>
      </c>
    </row>
    <row r="315">
      <c r="B315" s="28">
        <v>45250.0</v>
      </c>
      <c r="C315" s="29">
        <v>7.3</v>
      </c>
      <c r="D315" s="29">
        <v>17.0</v>
      </c>
      <c r="E315" s="30" t="s">
        <v>3</v>
      </c>
      <c r="F315" s="30" t="s">
        <v>4</v>
      </c>
      <c r="G315" s="29">
        <v>7.75</v>
      </c>
    </row>
    <row r="316">
      <c r="B316" s="28">
        <v>45251.0</v>
      </c>
      <c r="C316" s="29">
        <v>7.3</v>
      </c>
      <c r="D316" s="29">
        <v>17.0</v>
      </c>
      <c r="E316" s="30" t="s">
        <v>3</v>
      </c>
      <c r="F316" s="30" t="s">
        <v>4</v>
      </c>
      <c r="G316" s="29">
        <v>7.75</v>
      </c>
    </row>
    <row r="317">
      <c r="B317" s="28">
        <v>45252.0</v>
      </c>
      <c r="C317" s="29">
        <v>7.3</v>
      </c>
      <c r="D317" s="29">
        <v>17.0</v>
      </c>
      <c r="E317" s="30" t="s">
        <v>3</v>
      </c>
      <c r="F317" s="30" t="s">
        <v>4</v>
      </c>
      <c r="G317" s="29">
        <v>7.75</v>
      </c>
    </row>
    <row r="318">
      <c r="B318" s="28">
        <v>45253.0</v>
      </c>
      <c r="C318" s="29">
        <v>7.3</v>
      </c>
      <c r="D318" s="29">
        <v>17.0</v>
      </c>
      <c r="E318" s="30" t="s">
        <v>3</v>
      </c>
      <c r="F318" s="30" t="s">
        <v>4</v>
      </c>
      <c r="G318" s="29">
        <v>7.75</v>
      </c>
    </row>
    <row r="319">
      <c r="B319" s="28">
        <v>45254.0</v>
      </c>
      <c r="C319" s="29">
        <v>7.3</v>
      </c>
      <c r="D319" s="29">
        <v>11.3</v>
      </c>
      <c r="E319" s="32" t="s">
        <v>5</v>
      </c>
      <c r="F319" s="32" t="s">
        <v>6</v>
      </c>
      <c r="G319" s="29">
        <v>4.0</v>
      </c>
    </row>
    <row r="320">
      <c r="A320" s="2"/>
      <c r="B320" s="3" t="s">
        <v>7</v>
      </c>
      <c r="C320" s="14"/>
      <c r="D320" s="14"/>
      <c r="E320" s="15"/>
      <c r="F320" s="6"/>
      <c r="G320" s="735">
        <f>G315+G316+G319+G318+G317</f>
        <v>35</v>
      </c>
    </row>
    <row r="321">
      <c r="B321" s="28">
        <v>45257.0</v>
      </c>
      <c r="C321" s="29">
        <v>7.3</v>
      </c>
      <c r="D321" s="29">
        <v>17.0</v>
      </c>
      <c r="E321" s="30" t="s">
        <v>3</v>
      </c>
      <c r="F321" s="30" t="s">
        <v>4</v>
      </c>
      <c r="G321" s="29">
        <v>7.75</v>
      </c>
    </row>
    <row r="322">
      <c r="B322" s="28">
        <v>45258.0</v>
      </c>
      <c r="C322" s="29">
        <v>7.3</v>
      </c>
      <c r="D322" s="29">
        <v>17.0</v>
      </c>
      <c r="E322" s="30" t="s">
        <v>3</v>
      </c>
      <c r="F322" s="30" t="s">
        <v>4</v>
      </c>
      <c r="G322" s="29">
        <v>7.75</v>
      </c>
    </row>
    <row r="323">
      <c r="B323" s="28">
        <v>45259.0</v>
      </c>
      <c r="C323" s="29">
        <v>7.3</v>
      </c>
      <c r="D323" s="29">
        <v>17.0</v>
      </c>
      <c r="E323" s="30" t="s">
        <v>3</v>
      </c>
      <c r="F323" s="30" t="s">
        <v>4</v>
      </c>
      <c r="G323" s="29">
        <v>7.75</v>
      </c>
    </row>
    <row r="324">
      <c r="B324" s="28">
        <v>45260.0</v>
      </c>
      <c r="C324" s="29">
        <v>7.3</v>
      </c>
      <c r="D324" s="29">
        <v>17.0</v>
      </c>
      <c r="E324" s="30" t="s">
        <v>3</v>
      </c>
      <c r="F324" s="30" t="s">
        <v>4</v>
      </c>
      <c r="G324" s="29">
        <v>7.75</v>
      </c>
    </row>
    <row r="325">
      <c r="A325" s="2"/>
      <c r="B325" s="3" t="s">
        <v>7</v>
      </c>
      <c r="C325" s="14"/>
      <c r="D325" s="14"/>
      <c r="E325" s="15"/>
      <c r="F325" s="6"/>
      <c r="G325" s="735">
        <f>G324+G323+G322+G221</f>
        <v>32</v>
      </c>
      <c r="K325" s="8"/>
      <c r="N325" s="9" t="s">
        <v>9</v>
      </c>
      <c r="O325" s="10" t="s">
        <v>10</v>
      </c>
      <c r="P325" s="11" t="s">
        <v>11</v>
      </c>
      <c r="Q325" s="10" t="s">
        <v>1</v>
      </c>
    </row>
    <row r="326">
      <c r="A326" s="12"/>
      <c r="B326" s="13" t="s">
        <v>2</v>
      </c>
      <c r="C326" s="14"/>
      <c r="D326" s="14"/>
      <c r="E326" s="15"/>
      <c r="F326" s="16"/>
      <c r="G326" s="17">
        <f>G303+G309+G315+G321+G325</f>
        <v>63</v>
      </c>
      <c r="H326" s="18">
        <f>H315+H316</f>
        <v>0</v>
      </c>
      <c r="I326" s="19">
        <v>0.5</v>
      </c>
      <c r="J326" s="20">
        <f>H326-I326</f>
        <v>-0.5</v>
      </c>
      <c r="K326" s="21" t="s">
        <v>3529</v>
      </c>
      <c r="L326" s="22" t="s">
        <v>3443</v>
      </c>
      <c r="M326" s="23" t="s">
        <v>14</v>
      </c>
      <c r="N326" s="24">
        <v>1850.48</v>
      </c>
      <c r="O326" s="283" t="s">
        <v>3444</v>
      </c>
      <c r="P326" s="26">
        <v>2708.54</v>
      </c>
      <c r="Q326" s="27">
        <v>1514.79</v>
      </c>
    </row>
    <row r="327">
      <c r="A327" s="728"/>
      <c r="B327" s="728" t="s">
        <v>243</v>
      </c>
      <c r="C327" s="728" t="s">
        <v>3445</v>
      </c>
      <c r="D327" s="728" t="s">
        <v>3446</v>
      </c>
      <c r="E327" s="728" t="s">
        <v>3447</v>
      </c>
      <c r="F327" s="728" t="s">
        <v>3448</v>
      </c>
      <c r="G327" s="729" t="s">
        <v>3449</v>
      </c>
      <c r="H327" s="730" t="s">
        <v>3450</v>
      </c>
      <c r="I327" s="731" t="s">
        <v>3451</v>
      </c>
      <c r="J327" s="732" t="s">
        <v>3452</v>
      </c>
      <c r="K327" s="733" t="s">
        <v>50</v>
      </c>
      <c r="L327" s="734" t="s">
        <v>3453</v>
      </c>
      <c r="O327" s="31"/>
    </row>
    <row r="328">
      <c r="B328" s="28">
        <v>45261.0</v>
      </c>
      <c r="C328" s="29">
        <v>7.3</v>
      </c>
      <c r="D328" s="29">
        <v>11.3</v>
      </c>
      <c r="E328" s="32" t="s">
        <v>5</v>
      </c>
      <c r="F328" s="32" t="s">
        <v>6</v>
      </c>
      <c r="G328" s="29">
        <v>4.0</v>
      </c>
    </row>
    <row r="329">
      <c r="A329" s="2"/>
      <c r="B329" s="3" t="s">
        <v>7</v>
      </c>
      <c r="C329" s="14"/>
      <c r="D329" s="14"/>
      <c r="E329" s="15"/>
      <c r="F329" s="6"/>
      <c r="G329" s="735">
        <f>G328</f>
        <v>4</v>
      </c>
    </row>
    <row r="330">
      <c r="B330" s="28">
        <v>45264.0</v>
      </c>
      <c r="C330" s="29">
        <v>7.3</v>
      </c>
      <c r="D330" s="29">
        <v>17.0</v>
      </c>
      <c r="E330" s="30" t="s">
        <v>3</v>
      </c>
      <c r="F330" s="30" t="s">
        <v>4</v>
      </c>
      <c r="G330" s="29">
        <v>7.75</v>
      </c>
    </row>
    <row r="331">
      <c r="B331" s="28">
        <v>45265.0</v>
      </c>
      <c r="C331" s="29">
        <v>7.3</v>
      </c>
      <c r="D331" s="29">
        <v>17.0</v>
      </c>
      <c r="E331" s="30" t="s">
        <v>3</v>
      </c>
      <c r="F331" s="30" t="s">
        <v>4</v>
      </c>
      <c r="G331" s="29">
        <v>7.75</v>
      </c>
    </row>
    <row r="332">
      <c r="B332" s="28">
        <v>45266.0</v>
      </c>
      <c r="C332" s="29">
        <v>7.3</v>
      </c>
      <c r="D332" s="29">
        <v>17.0</v>
      </c>
      <c r="E332" s="30" t="s">
        <v>3</v>
      </c>
      <c r="F332" s="30" t="s">
        <v>4</v>
      </c>
      <c r="G332" s="29">
        <v>7.75</v>
      </c>
    </row>
    <row r="333">
      <c r="B333" s="28">
        <v>45267.0</v>
      </c>
      <c r="C333" s="29">
        <v>7.3</v>
      </c>
      <c r="D333" s="29">
        <v>17.0</v>
      </c>
      <c r="E333" s="30" t="s">
        <v>3</v>
      </c>
      <c r="F333" s="30" t="s">
        <v>4</v>
      </c>
      <c r="G333" s="29">
        <v>7.75</v>
      </c>
    </row>
    <row r="334">
      <c r="B334" s="28">
        <v>45268.0</v>
      </c>
      <c r="C334" s="29">
        <v>7.3</v>
      </c>
      <c r="D334" s="29">
        <v>11.3</v>
      </c>
      <c r="E334" s="32" t="s">
        <v>5</v>
      </c>
      <c r="F334" s="32" t="s">
        <v>6</v>
      </c>
      <c r="G334" s="29">
        <v>4.0</v>
      </c>
    </row>
    <row r="335">
      <c r="A335" s="2"/>
      <c r="B335" s="3" t="s">
        <v>7</v>
      </c>
      <c r="C335" s="14"/>
      <c r="D335" s="14"/>
      <c r="E335" s="15"/>
      <c r="F335" s="6"/>
      <c r="G335" s="735">
        <f>G330+G331+G334+G333+G332</f>
        <v>35</v>
      </c>
    </row>
    <row r="336">
      <c r="B336" s="28">
        <v>45271.0</v>
      </c>
      <c r="C336" s="29">
        <v>7.3</v>
      </c>
      <c r="D336" s="29">
        <v>17.0</v>
      </c>
      <c r="E336" s="30" t="s">
        <v>3</v>
      </c>
      <c r="F336" s="30" t="s">
        <v>4</v>
      </c>
      <c r="G336" s="29">
        <v>7.75</v>
      </c>
    </row>
    <row r="337">
      <c r="B337" s="28">
        <v>45272.0</v>
      </c>
      <c r="C337" s="29">
        <v>7.3</v>
      </c>
      <c r="D337" s="29">
        <v>17.0</v>
      </c>
      <c r="E337" s="30" t="s">
        <v>3</v>
      </c>
      <c r="F337" s="30" t="s">
        <v>4</v>
      </c>
      <c r="G337" s="29">
        <v>7.75</v>
      </c>
    </row>
    <row r="338">
      <c r="B338" s="28">
        <v>45273.0</v>
      </c>
      <c r="C338" s="29">
        <v>7.3</v>
      </c>
      <c r="D338" s="29">
        <v>17.0</v>
      </c>
      <c r="E338" s="30" t="s">
        <v>3</v>
      </c>
      <c r="F338" s="30" t="s">
        <v>4</v>
      </c>
      <c r="G338" s="29">
        <v>7.75</v>
      </c>
    </row>
    <row r="339">
      <c r="B339" s="28">
        <v>45274.0</v>
      </c>
      <c r="C339" s="29">
        <v>7.3</v>
      </c>
      <c r="D339" s="29">
        <v>17.0</v>
      </c>
      <c r="E339" s="30" t="s">
        <v>3</v>
      </c>
      <c r="F339" s="30" t="s">
        <v>4</v>
      </c>
      <c r="G339" s="29">
        <v>7.75</v>
      </c>
    </row>
    <row r="340">
      <c r="B340" s="28">
        <v>45275.0</v>
      </c>
      <c r="C340" s="29">
        <v>7.3</v>
      </c>
      <c r="D340" s="29">
        <v>11.3</v>
      </c>
      <c r="E340" s="32" t="s">
        <v>5</v>
      </c>
      <c r="F340" s="32" t="s">
        <v>6</v>
      </c>
      <c r="G340" s="29">
        <v>4.0</v>
      </c>
    </row>
    <row r="341">
      <c r="A341" s="2"/>
      <c r="B341" s="3" t="s">
        <v>7</v>
      </c>
      <c r="C341" s="14"/>
      <c r="D341" s="14"/>
      <c r="E341" s="15"/>
      <c r="F341" s="6"/>
      <c r="G341" s="735">
        <f>G336+G337+G340+G339+G338</f>
        <v>35</v>
      </c>
    </row>
    <row r="342">
      <c r="B342" s="28">
        <v>45278.0</v>
      </c>
      <c r="C342" s="29">
        <v>7.3</v>
      </c>
      <c r="D342" s="29">
        <v>17.0</v>
      </c>
      <c r="E342" s="30" t="s">
        <v>3</v>
      </c>
      <c r="F342" s="30" t="s">
        <v>4</v>
      </c>
      <c r="G342" s="29">
        <v>7.75</v>
      </c>
    </row>
    <row r="343">
      <c r="B343" s="28">
        <v>45279.0</v>
      </c>
      <c r="C343" s="29">
        <v>7.3</v>
      </c>
      <c r="D343" s="29">
        <v>17.0</v>
      </c>
      <c r="E343" s="30" t="s">
        <v>3</v>
      </c>
      <c r="F343" s="30" t="s">
        <v>4</v>
      </c>
      <c r="G343" s="29">
        <v>7.75</v>
      </c>
    </row>
    <row r="344">
      <c r="B344" s="28">
        <v>45280.0</v>
      </c>
      <c r="C344" s="29">
        <v>7.3</v>
      </c>
      <c r="D344" s="29">
        <v>17.0</v>
      </c>
      <c r="E344" s="30" t="s">
        <v>3</v>
      </c>
      <c r="F344" s="30" t="s">
        <v>4</v>
      </c>
      <c r="G344" s="29">
        <v>7.75</v>
      </c>
    </row>
    <row r="345">
      <c r="B345" s="28">
        <v>45281.0</v>
      </c>
      <c r="C345" s="29">
        <v>7.3</v>
      </c>
      <c r="D345" s="29">
        <v>17.0</v>
      </c>
      <c r="E345" s="30" t="s">
        <v>3</v>
      </c>
      <c r="F345" s="30" t="s">
        <v>4</v>
      </c>
      <c r="G345" s="29">
        <v>7.75</v>
      </c>
    </row>
    <row r="346">
      <c r="A346" s="2"/>
      <c r="B346" s="3" t="s">
        <v>7</v>
      </c>
      <c r="C346" s="14"/>
      <c r="D346" s="14"/>
      <c r="E346" s="15"/>
      <c r="F346" s="6"/>
      <c r="G346" s="735">
        <f>G342+G343+G344+G345</f>
        <v>31</v>
      </c>
      <c r="K346" s="8"/>
      <c r="N346" s="9" t="s">
        <v>9</v>
      </c>
      <c r="O346" s="10" t="s">
        <v>10</v>
      </c>
      <c r="P346" s="11" t="s">
        <v>11</v>
      </c>
      <c r="Q346" s="10" t="s">
        <v>1</v>
      </c>
    </row>
    <row r="347">
      <c r="A347" s="12"/>
      <c r="B347" s="13" t="s">
        <v>2</v>
      </c>
      <c r="C347" s="14"/>
      <c r="D347" s="14"/>
      <c r="E347" s="15"/>
      <c r="F347" s="16"/>
      <c r="G347" s="17">
        <f>G325+G331+G337+G343+G346</f>
        <v>86.25</v>
      </c>
      <c r="H347" s="18">
        <f>H337+H338</f>
        <v>0</v>
      </c>
      <c r="I347" s="19">
        <v>0.0</v>
      </c>
      <c r="J347" s="20">
        <f>H347-I347</f>
        <v>0</v>
      </c>
      <c r="K347" s="21" t="s">
        <v>3529</v>
      </c>
      <c r="L347" s="22" t="s">
        <v>3454</v>
      </c>
      <c r="M347" s="23" t="s">
        <v>14</v>
      </c>
      <c r="N347" s="24">
        <v>1855.16</v>
      </c>
      <c r="O347" s="25">
        <v>1250.06</v>
      </c>
      <c r="P347" s="26">
        <v>1423.69</v>
      </c>
      <c r="Q347" s="27">
        <v>1518.62</v>
      </c>
    </row>
    <row r="348">
      <c r="A348" s="728"/>
      <c r="B348" s="728"/>
      <c r="C348" s="728"/>
      <c r="D348" s="728"/>
      <c r="E348" s="728"/>
      <c r="F348" s="728"/>
      <c r="G348" s="729"/>
      <c r="H348" s="736"/>
      <c r="I348" s="736"/>
      <c r="J348" s="736"/>
      <c r="K348" s="729"/>
      <c r="L348" s="734"/>
      <c r="O348" s="31">
        <f>P347-O347</f>
        <v>173.63</v>
      </c>
    </row>
    <row r="349">
      <c r="A349" s="33" t="s">
        <v>3532</v>
      </c>
      <c r="G349" s="737" t="s">
        <v>3456</v>
      </c>
    </row>
  </sheetData>
  <mergeCells count="113">
    <mergeCell ref="C22:G22"/>
    <mergeCell ref="B23:E23"/>
    <mergeCell ref="B26:G26"/>
    <mergeCell ref="H26:J26"/>
    <mergeCell ref="B28:L28"/>
    <mergeCell ref="B1:L1"/>
    <mergeCell ref="A3:A24"/>
    <mergeCell ref="C4:G4"/>
    <mergeCell ref="B5:E5"/>
    <mergeCell ref="C7:G7"/>
    <mergeCell ref="C10:G10"/>
    <mergeCell ref="B11:E11"/>
    <mergeCell ref="B24:E24"/>
    <mergeCell ref="C45:G45"/>
    <mergeCell ref="B46:E46"/>
    <mergeCell ref="C51:G51"/>
    <mergeCell ref="B52:E52"/>
    <mergeCell ref="B55:E55"/>
    <mergeCell ref="B56:E56"/>
    <mergeCell ref="C60:G60"/>
    <mergeCell ref="B61:E61"/>
    <mergeCell ref="C64:G64"/>
    <mergeCell ref="C65:G65"/>
    <mergeCell ref="C66:G66"/>
    <mergeCell ref="B67:E67"/>
    <mergeCell ref="C72:G72"/>
    <mergeCell ref="B73:E73"/>
    <mergeCell ref="C78:G78"/>
    <mergeCell ref="B79:E79"/>
    <mergeCell ref="B82:E82"/>
    <mergeCell ref="B83:E83"/>
    <mergeCell ref="C87:G87"/>
    <mergeCell ref="B88:E88"/>
    <mergeCell ref="C93:G93"/>
    <mergeCell ref="B94:E94"/>
    <mergeCell ref="C99:G99"/>
    <mergeCell ref="B100:E100"/>
    <mergeCell ref="B225:E225"/>
    <mergeCell ref="B226:E226"/>
    <mergeCell ref="O227:P227"/>
    <mergeCell ref="C231:G231"/>
    <mergeCell ref="B232:E232"/>
    <mergeCell ref="B233:G233"/>
    <mergeCell ref="O269:P269"/>
    <mergeCell ref="O298:P298"/>
    <mergeCell ref="O327:P327"/>
    <mergeCell ref="O348:P348"/>
    <mergeCell ref="G349:I349"/>
    <mergeCell ref="B239:E239"/>
    <mergeCell ref="B240:E240"/>
    <mergeCell ref="O241:P241"/>
    <mergeCell ref="B243:E243"/>
    <mergeCell ref="B249:E249"/>
    <mergeCell ref="B255:E255"/>
    <mergeCell ref="B261:E261"/>
    <mergeCell ref="B267:E267"/>
    <mergeCell ref="B268:E268"/>
    <mergeCell ref="B275:E275"/>
    <mergeCell ref="B281:E281"/>
    <mergeCell ref="B287:E287"/>
    <mergeCell ref="B293:E293"/>
    <mergeCell ref="B296:E296"/>
    <mergeCell ref="B297:E297"/>
    <mergeCell ref="B302:E302"/>
    <mergeCell ref="B308:E308"/>
    <mergeCell ref="B314:E314"/>
    <mergeCell ref="B320:E320"/>
    <mergeCell ref="B325:E325"/>
    <mergeCell ref="B326:E326"/>
    <mergeCell ref="C105:G105"/>
    <mergeCell ref="B106:E106"/>
    <mergeCell ref="C16:G16"/>
    <mergeCell ref="B17:E17"/>
    <mergeCell ref="A30:A113"/>
    <mergeCell ref="C33:G33"/>
    <mergeCell ref="B34:E34"/>
    <mergeCell ref="C39:G39"/>
    <mergeCell ref="B40:E40"/>
    <mergeCell ref="B113:E113"/>
    <mergeCell ref="C111:G111"/>
    <mergeCell ref="B112:E112"/>
    <mergeCell ref="B120:E120"/>
    <mergeCell ref="C121:E121"/>
    <mergeCell ref="B126:E126"/>
    <mergeCell ref="B132:E132"/>
    <mergeCell ref="B138:E138"/>
    <mergeCell ref="B139:E139"/>
    <mergeCell ref="C141:E141"/>
    <mergeCell ref="B146:E146"/>
    <mergeCell ref="C147:E147"/>
    <mergeCell ref="B152:E152"/>
    <mergeCell ref="C156:E156"/>
    <mergeCell ref="B158:E158"/>
    <mergeCell ref="B164:E164"/>
    <mergeCell ref="B168:E168"/>
    <mergeCell ref="B169:E169"/>
    <mergeCell ref="B173:E173"/>
    <mergeCell ref="B179:E179"/>
    <mergeCell ref="B185:E185"/>
    <mergeCell ref="B191:E191"/>
    <mergeCell ref="B197:E197"/>
    <mergeCell ref="B198:E198"/>
    <mergeCell ref="B205:E205"/>
    <mergeCell ref="C210:E210"/>
    <mergeCell ref="B211:E211"/>
    <mergeCell ref="B217:E217"/>
    <mergeCell ref="B223:E223"/>
    <mergeCell ref="B329:E329"/>
    <mergeCell ref="B335:E335"/>
    <mergeCell ref="B341:E341"/>
    <mergeCell ref="B346:E346"/>
    <mergeCell ref="B347:E347"/>
    <mergeCell ref="A349:F34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2" max="2" width="8.14"/>
    <col customWidth="1" min="3" max="4" width="7.57"/>
    <col customWidth="1" min="5" max="5" width="8.0"/>
    <col customWidth="1" min="6" max="6" width="10.57"/>
    <col customWidth="1" min="7" max="7" width="16.14"/>
    <col customWidth="1" min="8" max="8" width="13.29"/>
    <col customWidth="1" min="9" max="9" width="13.57"/>
    <col customWidth="1" min="10" max="10" width="14.29"/>
    <col customWidth="1" min="12" max="12" width="14.14"/>
    <col customWidth="1" min="13" max="13" width="13.71"/>
    <col customWidth="1" min="14" max="14" width="11.86"/>
    <col customWidth="1" min="15" max="15" width="14.57"/>
  </cols>
  <sheetData>
    <row r="1">
      <c r="A1" s="1" t="s">
        <v>3533</v>
      </c>
      <c r="L1" s="1" t="s">
        <v>3534</v>
      </c>
    </row>
    <row r="2">
      <c r="A2" s="728" t="s">
        <v>243</v>
      </c>
      <c r="B2" s="728" t="s">
        <v>3445</v>
      </c>
      <c r="C2" s="728" t="s">
        <v>3446</v>
      </c>
      <c r="D2" s="728" t="s">
        <v>3447</v>
      </c>
      <c r="E2" s="728" t="s">
        <v>3448</v>
      </c>
      <c r="F2" s="729" t="s">
        <v>3449</v>
      </c>
      <c r="G2" s="730" t="s">
        <v>3450</v>
      </c>
      <c r="H2" s="731" t="s">
        <v>3451</v>
      </c>
      <c r="I2" s="732" t="s">
        <v>3452</v>
      </c>
      <c r="J2" s="733" t="s">
        <v>50</v>
      </c>
      <c r="K2" s="734" t="s">
        <v>3535</v>
      </c>
    </row>
    <row r="3">
      <c r="A3" s="28">
        <v>44531.0</v>
      </c>
      <c r="B3" s="749">
        <v>7.3</v>
      </c>
      <c r="C3" s="750">
        <v>17.0</v>
      </c>
      <c r="D3" s="751" t="s">
        <v>3</v>
      </c>
      <c r="E3" s="752" t="s">
        <v>4</v>
      </c>
      <c r="F3" s="749">
        <v>7.75</v>
      </c>
    </row>
    <row r="4">
      <c r="A4" s="28">
        <v>44532.0</v>
      </c>
      <c r="B4" s="749">
        <v>7.3</v>
      </c>
      <c r="C4" s="750">
        <v>17.0</v>
      </c>
      <c r="D4" s="751" t="s">
        <v>3</v>
      </c>
      <c r="E4" s="752" t="s">
        <v>4</v>
      </c>
      <c r="F4" s="749">
        <v>7.75</v>
      </c>
    </row>
    <row r="5">
      <c r="A5" s="28">
        <v>44533.0</v>
      </c>
      <c r="B5" s="749">
        <v>7.3</v>
      </c>
      <c r="C5" s="47">
        <v>11.3</v>
      </c>
      <c r="D5" s="51" t="s">
        <v>5</v>
      </c>
      <c r="E5" s="51" t="s">
        <v>3536</v>
      </c>
      <c r="F5" s="47">
        <v>4.0</v>
      </c>
    </row>
    <row r="6">
      <c r="A6" s="3" t="s">
        <v>7</v>
      </c>
      <c r="B6" s="14"/>
      <c r="C6" s="14"/>
      <c r="D6" s="15"/>
      <c r="E6" s="6"/>
      <c r="F6" s="735">
        <f>SUM(F2:F5)</f>
        <v>19.5</v>
      </c>
    </row>
    <row r="7">
      <c r="A7" s="28">
        <v>44536.0</v>
      </c>
      <c r="B7" s="749">
        <v>7.3</v>
      </c>
      <c r="C7" s="749">
        <v>17.0</v>
      </c>
      <c r="D7" s="753" t="s">
        <v>3537</v>
      </c>
      <c r="E7" s="753" t="s">
        <v>3538</v>
      </c>
      <c r="F7" s="754">
        <v>7.5</v>
      </c>
      <c r="H7" s="755">
        <v>0.25</v>
      </c>
      <c r="J7" s="51" t="s">
        <v>3539</v>
      </c>
    </row>
    <row r="8">
      <c r="A8" s="28">
        <v>44537.0</v>
      </c>
      <c r="B8" s="749">
        <v>7.3</v>
      </c>
      <c r="C8" s="750">
        <v>17.0</v>
      </c>
      <c r="D8" s="751" t="s">
        <v>3</v>
      </c>
      <c r="E8" s="752" t="s">
        <v>4</v>
      </c>
      <c r="F8" s="749">
        <v>7.75</v>
      </c>
    </row>
    <row r="9">
      <c r="A9" s="28">
        <v>44538.0</v>
      </c>
      <c r="B9" s="749">
        <v>7.3</v>
      </c>
      <c r="C9" s="750">
        <v>17.0</v>
      </c>
      <c r="D9" s="751" t="s">
        <v>3</v>
      </c>
      <c r="E9" s="752" t="s">
        <v>4</v>
      </c>
      <c r="F9" s="749">
        <v>7.75</v>
      </c>
    </row>
    <row r="10">
      <c r="A10" s="28">
        <v>44539.0</v>
      </c>
      <c r="B10" s="749">
        <v>7.3</v>
      </c>
      <c r="C10" s="750">
        <v>17.0</v>
      </c>
      <c r="D10" s="751" t="s">
        <v>3</v>
      </c>
      <c r="E10" s="752" t="s">
        <v>4</v>
      </c>
      <c r="F10" s="749">
        <v>7.75</v>
      </c>
    </row>
    <row r="11">
      <c r="A11" s="28">
        <v>44540.0</v>
      </c>
      <c r="B11" s="756">
        <v>7.3</v>
      </c>
      <c r="C11" s="756">
        <v>16.15</v>
      </c>
      <c r="D11" s="757" t="s">
        <v>3540</v>
      </c>
      <c r="E11" s="757" t="s">
        <v>3515</v>
      </c>
      <c r="F11" s="756">
        <v>7.0</v>
      </c>
      <c r="G11" s="758">
        <v>3.0</v>
      </c>
    </row>
    <row r="12">
      <c r="A12" s="3" t="s">
        <v>7</v>
      </c>
      <c r="B12" s="14"/>
      <c r="C12" s="14"/>
      <c r="D12" s="15"/>
      <c r="E12" s="6"/>
      <c r="F12" s="735">
        <f>SUM(F7:F11)</f>
        <v>37.75</v>
      </c>
    </row>
    <row r="13">
      <c r="A13" s="28">
        <v>44543.0</v>
      </c>
      <c r="B13" s="749">
        <v>7.3</v>
      </c>
      <c r="C13" s="749">
        <v>17.0</v>
      </c>
      <c r="D13" s="753" t="s">
        <v>3537</v>
      </c>
      <c r="E13" s="753" t="s">
        <v>3538</v>
      </c>
      <c r="F13" s="754">
        <v>7.5</v>
      </c>
    </row>
    <row r="14">
      <c r="A14" s="28">
        <v>44544.0</v>
      </c>
      <c r="B14" s="749">
        <v>7.3</v>
      </c>
      <c r="C14" s="750">
        <v>17.0</v>
      </c>
      <c r="D14" s="751" t="s">
        <v>3</v>
      </c>
      <c r="E14" s="753" t="s">
        <v>3541</v>
      </c>
      <c r="F14" s="754">
        <v>6.0</v>
      </c>
      <c r="H14" s="755">
        <v>1.75</v>
      </c>
      <c r="J14" s="51" t="s">
        <v>3542</v>
      </c>
    </row>
    <row r="15">
      <c r="A15" s="28">
        <v>44545.0</v>
      </c>
      <c r="B15" s="749">
        <v>7.3</v>
      </c>
      <c r="C15" s="750">
        <v>17.0</v>
      </c>
      <c r="D15" s="751" t="s">
        <v>3</v>
      </c>
      <c r="E15" s="752" t="s">
        <v>4</v>
      </c>
      <c r="F15" s="749">
        <v>7.75</v>
      </c>
    </row>
    <row r="16">
      <c r="A16" s="28">
        <v>44546.0</v>
      </c>
      <c r="B16" s="749">
        <v>7.3</v>
      </c>
      <c r="C16" s="750">
        <v>17.0</v>
      </c>
      <c r="D16" s="751" t="s">
        <v>3</v>
      </c>
      <c r="E16" s="752" t="s">
        <v>4</v>
      </c>
      <c r="F16" s="749">
        <v>7.75</v>
      </c>
    </row>
    <row r="17">
      <c r="A17" s="28">
        <v>44547.0</v>
      </c>
      <c r="B17" s="756">
        <v>7.3</v>
      </c>
      <c r="C17" s="756">
        <v>16.15</v>
      </c>
      <c r="D17" s="757" t="s">
        <v>3540</v>
      </c>
      <c r="E17" s="757" t="s">
        <v>3515</v>
      </c>
      <c r="F17" s="756">
        <v>7.0</v>
      </c>
      <c r="G17" s="758">
        <v>3.0</v>
      </c>
    </row>
    <row r="18">
      <c r="A18" s="3" t="s">
        <v>7</v>
      </c>
      <c r="B18" s="14"/>
      <c r="C18" s="14"/>
      <c r="D18" s="15"/>
      <c r="E18" s="6"/>
      <c r="F18" s="735">
        <f>F13+F14+F15+F16+F17</f>
        <v>36</v>
      </c>
      <c r="M18" s="9"/>
      <c r="N18" s="10"/>
      <c r="O18" s="10"/>
    </row>
    <row r="19">
      <c r="A19" s="28">
        <v>44550.0</v>
      </c>
      <c r="B19" s="749">
        <v>7.3</v>
      </c>
      <c r="C19" s="749">
        <v>17.0</v>
      </c>
      <c r="D19" s="752" t="s">
        <v>3</v>
      </c>
      <c r="E19" s="752" t="s">
        <v>4</v>
      </c>
      <c r="F19" s="749">
        <v>7.75</v>
      </c>
    </row>
    <row r="20">
      <c r="A20" s="28">
        <v>44551.0</v>
      </c>
      <c r="B20" s="749">
        <v>7.3</v>
      </c>
      <c r="C20" s="750">
        <v>17.0</v>
      </c>
      <c r="D20" s="751" t="s">
        <v>3</v>
      </c>
      <c r="E20" s="752" t="s">
        <v>4</v>
      </c>
      <c r="F20" s="749">
        <v>7.75</v>
      </c>
    </row>
    <row r="21">
      <c r="A21" s="28">
        <v>44552.0</v>
      </c>
      <c r="B21" s="749">
        <v>7.3</v>
      </c>
      <c r="C21" s="750">
        <v>17.0</v>
      </c>
      <c r="D21" s="751" t="s">
        <v>3</v>
      </c>
      <c r="E21" s="753" t="s">
        <v>3457</v>
      </c>
      <c r="F21" s="754">
        <v>7.25</v>
      </c>
      <c r="H21" s="755">
        <v>0.5</v>
      </c>
      <c r="J21" s="51" t="s">
        <v>3543</v>
      </c>
    </row>
    <row r="22">
      <c r="A22" s="3" t="s">
        <v>7</v>
      </c>
      <c r="B22" s="14"/>
      <c r="C22" s="14"/>
      <c r="D22" s="15"/>
      <c r="E22" s="6"/>
      <c r="F22" s="735">
        <f>F19+F20+F21</f>
        <v>22.75</v>
      </c>
      <c r="M22" s="9" t="s">
        <v>9</v>
      </c>
      <c r="N22" s="10" t="s">
        <v>10</v>
      </c>
      <c r="O22" s="10" t="s">
        <v>1</v>
      </c>
    </row>
    <row r="23">
      <c r="A23" s="13" t="s">
        <v>2</v>
      </c>
      <c r="B23" s="14"/>
      <c r="C23" s="14"/>
      <c r="D23" s="15"/>
      <c r="E23" s="16"/>
      <c r="F23" s="17">
        <f>F6+F12+F18+F22</f>
        <v>116</v>
      </c>
      <c r="G23" s="18">
        <f>G11+G17</f>
        <v>6</v>
      </c>
      <c r="H23" s="19">
        <f>H7+H14+H21</f>
        <v>2.5</v>
      </c>
      <c r="I23" s="20">
        <f>G23-H23</f>
        <v>3.5</v>
      </c>
      <c r="J23" s="21" t="s">
        <v>3544</v>
      </c>
      <c r="K23" s="22" t="s">
        <v>3545</v>
      </c>
      <c r="L23" s="23" t="s">
        <v>14</v>
      </c>
      <c r="M23" s="466">
        <v>1677.86</v>
      </c>
      <c r="N23" s="759" t="s">
        <v>3546</v>
      </c>
      <c r="O23" s="466">
        <v>1351.92</v>
      </c>
    </row>
    <row r="24">
      <c r="M24" s="760"/>
      <c r="N24" s="760"/>
      <c r="O24" s="760"/>
    </row>
    <row r="25">
      <c r="A25" s="33" t="s">
        <v>3499</v>
      </c>
      <c r="G25" s="737" t="s">
        <v>3547</v>
      </c>
      <c r="M25" s="760"/>
      <c r="N25" s="760"/>
      <c r="O25" s="760"/>
    </row>
    <row r="28">
      <c r="A28" s="1">
        <v>2022.0</v>
      </c>
    </row>
    <row r="29">
      <c r="A29" s="728" t="s">
        <v>243</v>
      </c>
      <c r="B29" s="728" t="s">
        <v>3445</v>
      </c>
      <c r="C29" s="728" t="s">
        <v>3446</v>
      </c>
      <c r="D29" s="728" t="s">
        <v>3447</v>
      </c>
      <c r="E29" s="728" t="s">
        <v>3448</v>
      </c>
      <c r="F29" s="729" t="s">
        <v>3449</v>
      </c>
      <c r="G29" s="730" t="s">
        <v>3450</v>
      </c>
      <c r="H29" s="731" t="s">
        <v>3451</v>
      </c>
      <c r="I29" s="732" t="s">
        <v>3452</v>
      </c>
      <c r="J29" s="733" t="s">
        <v>50</v>
      </c>
      <c r="K29" s="734" t="s">
        <v>3493</v>
      </c>
    </row>
    <row r="30">
      <c r="A30" s="28">
        <v>44564.0</v>
      </c>
      <c r="B30" s="749">
        <v>7.3</v>
      </c>
      <c r="C30" s="749">
        <v>17.0</v>
      </c>
      <c r="D30" s="752" t="s">
        <v>3</v>
      </c>
      <c r="E30" s="752" t="s">
        <v>4</v>
      </c>
      <c r="F30" s="749">
        <v>7.75</v>
      </c>
    </row>
    <row r="31">
      <c r="A31" s="28">
        <v>44565.0</v>
      </c>
      <c r="B31" s="749">
        <v>7.3</v>
      </c>
      <c r="C31" s="750">
        <v>17.0</v>
      </c>
      <c r="D31" s="751" t="s">
        <v>3</v>
      </c>
      <c r="E31" s="752" t="s">
        <v>4</v>
      </c>
      <c r="F31" s="749">
        <v>7.75</v>
      </c>
    </row>
    <row r="32">
      <c r="A32" s="28">
        <v>44566.0</v>
      </c>
      <c r="B32" s="749">
        <v>7.3</v>
      </c>
      <c r="C32" s="750">
        <v>17.0</v>
      </c>
      <c r="D32" s="751" t="s">
        <v>3</v>
      </c>
      <c r="E32" s="753" t="s">
        <v>3457</v>
      </c>
      <c r="F32" s="754">
        <v>7.75</v>
      </c>
    </row>
    <row r="33">
      <c r="A33" s="28">
        <v>44567.0</v>
      </c>
      <c r="B33" s="761" t="s">
        <v>3548</v>
      </c>
      <c r="H33" s="745">
        <v>7.75</v>
      </c>
      <c r="J33" s="650" t="s">
        <v>3549</v>
      </c>
    </row>
    <row r="34">
      <c r="A34" s="28">
        <v>44568.0</v>
      </c>
      <c r="B34" s="47">
        <v>7.3</v>
      </c>
      <c r="C34" s="51">
        <v>16.15</v>
      </c>
      <c r="D34" s="51" t="s">
        <v>3</v>
      </c>
      <c r="E34" s="757" t="s">
        <v>3515</v>
      </c>
      <c r="F34" s="756">
        <v>7.0</v>
      </c>
      <c r="G34" s="758">
        <v>3.0</v>
      </c>
    </row>
    <row r="35">
      <c r="A35" s="3" t="s">
        <v>7</v>
      </c>
      <c r="B35" s="14"/>
      <c r="C35" s="14"/>
      <c r="D35" s="15"/>
      <c r="E35" s="6"/>
      <c r="F35" s="735">
        <f>F30+F31+F32+F34</f>
        <v>30.25</v>
      </c>
    </row>
    <row r="36">
      <c r="A36" s="28">
        <v>44571.0</v>
      </c>
      <c r="B36" s="749">
        <v>7.3</v>
      </c>
      <c r="C36" s="749">
        <v>17.0</v>
      </c>
      <c r="D36" s="752" t="s">
        <v>3</v>
      </c>
      <c r="E36" s="752" t="s">
        <v>4</v>
      </c>
      <c r="F36" s="749">
        <v>7.75</v>
      </c>
    </row>
    <row r="37">
      <c r="A37" s="28">
        <v>44572.0</v>
      </c>
      <c r="B37" s="749">
        <v>7.3</v>
      </c>
      <c r="C37" s="749">
        <v>17.0</v>
      </c>
      <c r="D37" s="752" t="s">
        <v>3550</v>
      </c>
      <c r="E37" s="752" t="s">
        <v>3551</v>
      </c>
      <c r="F37" s="749">
        <v>7.75</v>
      </c>
    </row>
    <row r="38">
      <c r="A38" s="28">
        <v>44573.0</v>
      </c>
      <c r="B38" s="749">
        <v>7.3</v>
      </c>
      <c r="C38" s="749">
        <v>17.0</v>
      </c>
      <c r="D38" s="752" t="s">
        <v>3552</v>
      </c>
      <c r="E38" s="752" t="s">
        <v>3553</v>
      </c>
      <c r="F38" s="749">
        <v>7.75</v>
      </c>
    </row>
    <row r="39">
      <c r="A39" s="28">
        <v>44574.0</v>
      </c>
      <c r="B39" s="749">
        <v>7.3</v>
      </c>
      <c r="C39" s="749">
        <v>17.0</v>
      </c>
      <c r="D39" s="752" t="s">
        <v>3554</v>
      </c>
      <c r="E39" s="752" t="s">
        <v>3555</v>
      </c>
      <c r="F39" s="749">
        <v>7.75</v>
      </c>
    </row>
    <row r="40">
      <c r="A40" s="28">
        <v>44575.0</v>
      </c>
      <c r="B40" s="756">
        <v>7.3</v>
      </c>
      <c r="C40" s="756">
        <v>16.15</v>
      </c>
      <c r="D40" s="757" t="s">
        <v>3540</v>
      </c>
      <c r="E40" s="757" t="s">
        <v>3515</v>
      </c>
      <c r="F40" s="756">
        <v>7.0</v>
      </c>
      <c r="G40" s="758">
        <v>3.0</v>
      </c>
    </row>
    <row r="41">
      <c r="A41" s="3" t="s">
        <v>7</v>
      </c>
      <c r="B41" s="14"/>
      <c r="C41" s="14"/>
      <c r="D41" s="15"/>
      <c r="E41" s="6"/>
      <c r="F41" s="735">
        <f>F36+F37+F38+F39+F40</f>
        <v>38</v>
      </c>
    </row>
    <row r="42">
      <c r="A42" s="28">
        <v>44578.0</v>
      </c>
      <c r="B42" s="749">
        <v>7.3</v>
      </c>
      <c r="C42" s="749">
        <v>17.0</v>
      </c>
      <c r="D42" s="752" t="s">
        <v>3</v>
      </c>
      <c r="E42" s="752" t="s">
        <v>4</v>
      </c>
      <c r="F42" s="749">
        <v>7.75</v>
      </c>
    </row>
    <row r="43">
      <c r="A43" s="28">
        <v>44579.0</v>
      </c>
      <c r="B43" s="749">
        <v>7.3</v>
      </c>
      <c r="C43" s="749">
        <v>17.0</v>
      </c>
      <c r="D43" s="752" t="s">
        <v>3550</v>
      </c>
      <c r="E43" s="752" t="s">
        <v>3551</v>
      </c>
      <c r="F43" s="749">
        <v>7.75</v>
      </c>
    </row>
    <row r="44">
      <c r="A44" s="28">
        <v>44580.0</v>
      </c>
      <c r="B44" s="749">
        <v>7.3</v>
      </c>
      <c r="C44" s="749">
        <v>17.0</v>
      </c>
      <c r="D44" s="752" t="s">
        <v>3552</v>
      </c>
      <c r="E44" s="752" t="s">
        <v>3553</v>
      </c>
      <c r="F44" s="749">
        <v>7.75</v>
      </c>
    </row>
    <row r="45">
      <c r="A45" s="28">
        <v>44581.0</v>
      </c>
      <c r="B45" s="749">
        <v>7.3</v>
      </c>
      <c r="C45" s="749">
        <v>17.0</v>
      </c>
      <c r="D45" s="752" t="s">
        <v>3554</v>
      </c>
      <c r="E45" s="752" t="s">
        <v>3555</v>
      </c>
      <c r="F45" s="749">
        <v>7.75</v>
      </c>
    </row>
    <row r="46">
      <c r="A46" s="28">
        <v>44582.0</v>
      </c>
      <c r="B46" s="34" t="s">
        <v>3556</v>
      </c>
    </row>
    <row r="47">
      <c r="A47" s="3" t="s">
        <v>7</v>
      </c>
      <c r="B47" s="14"/>
      <c r="C47" s="14"/>
      <c r="D47" s="15"/>
      <c r="E47" s="6"/>
      <c r="F47" s="735">
        <f>F44+F45++F42+F43</f>
        <v>31</v>
      </c>
    </row>
    <row r="48">
      <c r="A48" s="28">
        <v>44585.0</v>
      </c>
      <c r="B48" s="34" t="s">
        <v>3556</v>
      </c>
    </row>
    <row r="49">
      <c r="A49" s="28">
        <v>44586.0</v>
      </c>
      <c r="B49" s="34" t="s">
        <v>3556</v>
      </c>
    </row>
    <row r="50">
      <c r="A50" s="28">
        <v>44587.0</v>
      </c>
      <c r="B50" s="34" t="s">
        <v>3556</v>
      </c>
    </row>
    <row r="51">
      <c r="A51" s="28">
        <v>44588.0</v>
      </c>
      <c r="B51" s="34" t="s">
        <v>3556</v>
      </c>
    </row>
    <row r="52">
      <c r="A52" s="28">
        <v>44589.0</v>
      </c>
      <c r="B52" s="34" t="s">
        <v>3556</v>
      </c>
    </row>
    <row r="53">
      <c r="A53" s="3" t="s">
        <v>7</v>
      </c>
      <c r="B53" s="14"/>
      <c r="C53" s="14"/>
      <c r="D53" s="15"/>
      <c r="E53" s="6"/>
      <c r="F53" s="735">
        <f>F50+F51+F52</f>
        <v>0</v>
      </c>
    </row>
    <row r="54">
      <c r="A54" s="28">
        <v>44592.0</v>
      </c>
      <c r="B54" s="749">
        <v>7.3</v>
      </c>
      <c r="C54" s="749">
        <v>17.0</v>
      </c>
      <c r="D54" s="752" t="s">
        <v>3</v>
      </c>
      <c r="E54" s="752" t="s">
        <v>4</v>
      </c>
      <c r="F54" s="749">
        <v>7.75</v>
      </c>
    </row>
    <row r="55">
      <c r="A55" s="3" t="s">
        <v>7</v>
      </c>
      <c r="B55" s="14"/>
      <c r="C55" s="14"/>
      <c r="D55" s="15"/>
      <c r="E55" s="6"/>
      <c r="F55" s="735">
        <f>F52+F53+F54</f>
        <v>7.75</v>
      </c>
      <c r="M55" s="9" t="s">
        <v>9</v>
      </c>
      <c r="N55" s="10" t="s">
        <v>10</v>
      </c>
      <c r="O55" s="10" t="s">
        <v>1</v>
      </c>
    </row>
    <row r="56">
      <c r="A56" s="13" t="s">
        <v>2</v>
      </c>
      <c r="B56" s="14"/>
      <c r="C56" s="14"/>
      <c r="D56" s="15"/>
      <c r="E56" s="16"/>
      <c r="F56" s="17">
        <f>F39+F45+F51+F55</f>
        <v>23.25</v>
      </c>
      <c r="G56" s="18">
        <f>G34+G40+G46+G52</f>
        <v>6</v>
      </c>
      <c r="H56" s="19">
        <f>H33</f>
        <v>7.75</v>
      </c>
      <c r="I56" s="20">
        <f>G56-H56</f>
        <v>-1.75</v>
      </c>
      <c r="J56" s="21" t="s">
        <v>3557</v>
      </c>
      <c r="K56" s="22" t="s">
        <v>3558</v>
      </c>
      <c r="L56" s="23" t="s">
        <v>3559</v>
      </c>
      <c r="M56" s="200">
        <v>1391.86</v>
      </c>
      <c r="N56" s="283">
        <v>935.99</v>
      </c>
      <c r="O56" s="200">
        <v>1064.87</v>
      </c>
    </row>
    <row r="57">
      <c r="A57" s="728" t="s">
        <v>243</v>
      </c>
      <c r="B57" s="728" t="s">
        <v>3445</v>
      </c>
      <c r="C57" s="728" t="s">
        <v>3446</v>
      </c>
      <c r="D57" s="728" t="s">
        <v>3447</v>
      </c>
      <c r="E57" s="728" t="s">
        <v>3448</v>
      </c>
      <c r="F57" s="729" t="s">
        <v>3449</v>
      </c>
      <c r="G57" s="730" t="s">
        <v>3450</v>
      </c>
      <c r="H57" s="731" t="s">
        <v>3451</v>
      </c>
      <c r="I57" s="732" t="s">
        <v>3452</v>
      </c>
      <c r="J57" s="733" t="s">
        <v>50</v>
      </c>
      <c r="K57" s="734" t="s">
        <v>3493</v>
      </c>
    </row>
    <row r="58">
      <c r="A58" s="28">
        <v>44593.0</v>
      </c>
      <c r="B58" s="749">
        <v>7.3</v>
      </c>
      <c r="C58" s="749">
        <v>17.0</v>
      </c>
      <c r="D58" s="752" t="s">
        <v>3550</v>
      </c>
      <c r="E58" s="752" t="s">
        <v>3551</v>
      </c>
      <c r="F58" s="749">
        <v>7.75</v>
      </c>
    </row>
    <row r="59">
      <c r="A59" s="28">
        <v>44594.0</v>
      </c>
      <c r="B59" s="749">
        <v>7.3</v>
      </c>
      <c r="C59" s="749">
        <v>17.0</v>
      </c>
      <c r="D59" s="752" t="s">
        <v>3552</v>
      </c>
      <c r="E59" s="752" t="s">
        <v>3553</v>
      </c>
      <c r="F59" s="749">
        <v>7.75</v>
      </c>
    </row>
    <row r="60">
      <c r="A60" s="28">
        <v>44595.0</v>
      </c>
      <c r="B60" s="749">
        <v>7.3</v>
      </c>
      <c r="C60" s="749">
        <v>17.0</v>
      </c>
      <c r="D60" s="752" t="s">
        <v>3554</v>
      </c>
      <c r="E60" s="752" t="s">
        <v>3555</v>
      </c>
      <c r="F60" s="749">
        <v>7.75</v>
      </c>
    </row>
    <row r="61">
      <c r="A61" s="28">
        <v>44596.0</v>
      </c>
      <c r="B61" s="756">
        <v>7.3</v>
      </c>
      <c r="C61" s="756">
        <v>16.15</v>
      </c>
      <c r="D61" s="757" t="s">
        <v>3540</v>
      </c>
      <c r="E61" s="757" t="s">
        <v>3515</v>
      </c>
      <c r="F61" s="756">
        <v>7.0</v>
      </c>
      <c r="G61" s="758">
        <v>3.0</v>
      </c>
    </row>
    <row r="62">
      <c r="A62" s="3" t="s">
        <v>7</v>
      </c>
      <c r="B62" s="14"/>
      <c r="C62" s="14"/>
      <c r="D62" s="15"/>
      <c r="E62" s="6"/>
      <c r="F62" s="735">
        <f>F58+F59+F60+F61</f>
        <v>30.25</v>
      </c>
    </row>
    <row r="63">
      <c r="A63" s="28">
        <v>44599.0</v>
      </c>
      <c r="B63" s="749">
        <v>7.3</v>
      </c>
      <c r="C63" s="749">
        <v>17.0</v>
      </c>
      <c r="D63" s="752" t="s">
        <v>3</v>
      </c>
      <c r="E63" s="752" t="s">
        <v>4</v>
      </c>
      <c r="F63" s="749">
        <v>7.75</v>
      </c>
    </row>
    <row r="64">
      <c r="A64" s="28">
        <v>44600.0</v>
      </c>
      <c r="B64" s="29">
        <v>7.3</v>
      </c>
      <c r="C64" s="29">
        <v>17.0</v>
      </c>
      <c r="D64" s="30" t="s">
        <v>3</v>
      </c>
      <c r="E64" s="30" t="s">
        <v>4</v>
      </c>
      <c r="F64" s="29">
        <v>7.75</v>
      </c>
    </row>
    <row r="65">
      <c r="A65" s="28">
        <v>44601.0</v>
      </c>
      <c r="B65" s="29">
        <v>7.3</v>
      </c>
      <c r="C65" s="29">
        <v>17.0</v>
      </c>
      <c r="D65" s="30" t="s">
        <v>3</v>
      </c>
      <c r="E65" s="30" t="s">
        <v>4</v>
      </c>
      <c r="F65" s="29">
        <v>7.75</v>
      </c>
    </row>
    <row r="66">
      <c r="A66" s="28">
        <v>44602.0</v>
      </c>
      <c r="B66" s="29">
        <v>7.3</v>
      </c>
      <c r="C66" s="29">
        <v>17.0</v>
      </c>
      <c r="D66" s="30" t="s">
        <v>3</v>
      </c>
      <c r="E66" s="30" t="s">
        <v>4</v>
      </c>
      <c r="F66" s="29">
        <v>7.75</v>
      </c>
    </row>
    <row r="67">
      <c r="A67" s="28">
        <v>44603.0</v>
      </c>
      <c r="B67" s="756">
        <v>7.3</v>
      </c>
      <c r="C67" s="762">
        <v>12.15</v>
      </c>
      <c r="D67" s="757"/>
      <c r="E67" s="763" t="s">
        <v>20</v>
      </c>
      <c r="F67" s="762">
        <v>4.75</v>
      </c>
      <c r="G67" s="764">
        <v>0.75</v>
      </c>
    </row>
    <row r="68">
      <c r="A68" s="3" t="s">
        <v>7</v>
      </c>
      <c r="B68" s="14"/>
      <c r="C68" s="14"/>
      <c r="D68" s="15"/>
      <c r="E68" s="6"/>
      <c r="F68" s="735">
        <f>F63+F64+F65+F66+F67</f>
        <v>35.75</v>
      </c>
    </row>
    <row r="69">
      <c r="A69" s="28">
        <v>44606.0</v>
      </c>
      <c r="B69" s="749">
        <v>7.3</v>
      </c>
      <c r="C69" s="749">
        <v>17.0</v>
      </c>
      <c r="D69" s="752" t="s">
        <v>3</v>
      </c>
      <c r="E69" s="752" t="s">
        <v>4</v>
      </c>
      <c r="F69" s="749">
        <v>7.75</v>
      </c>
    </row>
    <row r="70">
      <c r="A70" s="28">
        <v>44607.0</v>
      </c>
      <c r="B70" s="29">
        <v>7.3</v>
      </c>
      <c r="C70" s="29">
        <v>17.0</v>
      </c>
      <c r="D70" s="30" t="s">
        <v>3</v>
      </c>
      <c r="E70" s="30" t="s">
        <v>4</v>
      </c>
      <c r="F70" s="29">
        <v>7.75</v>
      </c>
    </row>
    <row r="71">
      <c r="A71" s="28">
        <v>44608.0</v>
      </c>
      <c r="B71" s="29">
        <v>7.3</v>
      </c>
      <c r="C71" s="29">
        <v>17.0</v>
      </c>
      <c r="D71" s="30" t="s">
        <v>3</v>
      </c>
      <c r="E71" s="30" t="s">
        <v>4</v>
      </c>
      <c r="F71" s="29">
        <v>7.75</v>
      </c>
    </row>
    <row r="72">
      <c r="A72" s="28">
        <v>44609.0</v>
      </c>
      <c r="B72" s="29">
        <v>7.3</v>
      </c>
      <c r="C72" s="29">
        <v>17.0</v>
      </c>
      <c r="D72" s="30" t="s">
        <v>3</v>
      </c>
      <c r="E72" s="30" t="s">
        <v>4</v>
      </c>
      <c r="F72" s="29">
        <v>7.75</v>
      </c>
    </row>
    <row r="73">
      <c r="A73" s="28">
        <v>44610.0</v>
      </c>
      <c r="B73" s="756">
        <v>7.3</v>
      </c>
      <c r="C73" s="756">
        <v>16.15</v>
      </c>
      <c r="D73" s="757" t="s">
        <v>3540</v>
      </c>
      <c r="E73" s="757" t="s">
        <v>3515</v>
      </c>
      <c r="F73" s="756">
        <v>7.0</v>
      </c>
      <c r="G73" s="758">
        <v>3.0</v>
      </c>
    </row>
    <row r="74">
      <c r="A74" s="3" t="s">
        <v>7</v>
      </c>
      <c r="B74" s="14"/>
      <c r="C74" s="14"/>
      <c r="D74" s="15"/>
      <c r="E74" s="6"/>
      <c r="F74" s="735">
        <f>SUM(F69:F73)</f>
        <v>38</v>
      </c>
    </row>
    <row r="75">
      <c r="A75" s="28">
        <v>44613.0</v>
      </c>
      <c r="B75" s="749">
        <v>7.3</v>
      </c>
      <c r="C75" s="749">
        <v>17.0</v>
      </c>
      <c r="D75" s="752" t="s">
        <v>3</v>
      </c>
      <c r="E75" s="752" t="s">
        <v>4</v>
      </c>
      <c r="F75" s="749">
        <v>7.75</v>
      </c>
    </row>
    <row r="76">
      <c r="A76" s="28">
        <v>44614.0</v>
      </c>
      <c r="B76" s="29">
        <v>7.3</v>
      </c>
      <c r="C76" s="29">
        <v>17.0</v>
      </c>
      <c r="D76" s="30" t="s">
        <v>3</v>
      </c>
      <c r="E76" s="30" t="s">
        <v>4</v>
      </c>
      <c r="F76" s="29">
        <v>7.75</v>
      </c>
    </row>
    <row r="77">
      <c r="A77" s="28">
        <v>44615.0</v>
      </c>
      <c r="B77" s="29">
        <v>7.3</v>
      </c>
      <c r="C77" s="29">
        <v>17.0</v>
      </c>
      <c r="D77" s="30" t="s">
        <v>3</v>
      </c>
      <c r="E77" s="30" t="s">
        <v>4</v>
      </c>
      <c r="F77" s="29">
        <v>7.75</v>
      </c>
    </row>
    <row r="78">
      <c r="A78" s="28">
        <v>44616.0</v>
      </c>
      <c r="B78" s="29">
        <v>7.3</v>
      </c>
      <c r="C78" s="29">
        <v>17.0</v>
      </c>
      <c r="D78" s="30" t="s">
        <v>3</v>
      </c>
      <c r="E78" s="30" t="s">
        <v>4</v>
      </c>
      <c r="F78" s="29">
        <v>7.75</v>
      </c>
    </row>
    <row r="79">
      <c r="A79" s="28">
        <v>44617.0</v>
      </c>
      <c r="B79" s="756">
        <v>7.3</v>
      </c>
      <c r="C79" s="756">
        <v>16.15</v>
      </c>
      <c r="D79" s="757" t="s">
        <v>3540</v>
      </c>
      <c r="E79" s="757" t="s">
        <v>3515</v>
      </c>
      <c r="F79" s="756">
        <v>7.0</v>
      </c>
      <c r="G79" s="758">
        <v>3.0</v>
      </c>
    </row>
    <row r="80">
      <c r="A80" s="3" t="s">
        <v>7</v>
      </c>
      <c r="B80" s="14"/>
      <c r="C80" s="14"/>
      <c r="D80" s="15"/>
      <c r="E80" s="6"/>
      <c r="F80" s="735">
        <f>SUM(F75:F79)</f>
        <v>38</v>
      </c>
    </row>
    <row r="81">
      <c r="A81" s="28">
        <v>44620.0</v>
      </c>
      <c r="B81" s="749">
        <v>7.3</v>
      </c>
      <c r="C81" s="749">
        <v>17.0</v>
      </c>
      <c r="D81" s="752" t="s">
        <v>3</v>
      </c>
      <c r="E81" s="752" t="s">
        <v>4</v>
      </c>
      <c r="F81" s="749">
        <v>7.75</v>
      </c>
    </row>
    <row r="82">
      <c r="A82" s="3" t="s">
        <v>7</v>
      </c>
      <c r="B82" s="14"/>
      <c r="C82" s="14"/>
      <c r="D82" s="15"/>
      <c r="E82" s="6"/>
      <c r="F82" s="735">
        <f>F81</f>
        <v>7.75</v>
      </c>
      <c r="M82" s="9" t="s">
        <v>9</v>
      </c>
      <c r="N82" s="10" t="s">
        <v>10</v>
      </c>
      <c r="O82" s="10" t="s">
        <v>1</v>
      </c>
    </row>
    <row r="83">
      <c r="A83" s="13" t="s">
        <v>2</v>
      </c>
      <c r="B83" s="14"/>
      <c r="C83" s="14"/>
      <c r="D83" s="15"/>
      <c r="E83" s="16"/>
      <c r="F83" s="17">
        <f>F66+F72+F78+F82</f>
        <v>31</v>
      </c>
      <c r="G83" s="18">
        <f>G61+G67+G73+G79</f>
        <v>9.75</v>
      </c>
      <c r="H83" s="19" t="str">
        <f>H60</f>
        <v/>
      </c>
      <c r="I83" s="20">
        <f>G83-H83</f>
        <v>9.75</v>
      </c>
      <c r="J83" s="21" t="s">
        <v>3560</v>
      </c>
      <c r="K83" s="22" t="s">
        <v>3561</v>
      </c>
      <c r="L83" s="23" t="s">
        <v>14</v>
      </c>
      <c r="M83" s="200">
        <v>2000.36</v>
      </c>
      <c r="N83" s="283">
        <v>1416.17</v>
      </c>
      <c r="O83" s="200">
        <v>1638.35</v>
      </c>
    </row>
    <row r="84">
      <c r="A84" s="728" t="s">
        <v>243</v>
      </c>
      <c r="B84" s="728" t="s">
        <v>3445</v>
      </c>
      <c r="C84" s="728" t="s">
        <v>3446</v>
      </c>
      <c r="D84" s="728" t="s">
        <v>3447</v>
      </c>
      <c r="E84" s="728" t="s">
        <v>3448</v>
      </c>
      <c r="F84" s="729" t="s">
        <v>3449</v>
      </c>
      <c r="G84" s="730" t="s">
        <v>3450</v>
      </c>
      <c r="H84" s="731" t="s">
        <v>3451</v>
      </c>
      <c r="I84" s="732" t="s">
        <v>3452</v>
      </c>
      <c r="J84" s="733" t="s">
        <v>50</v>
      </c>
      <c r="K84" s="734" t="s">
        <v>3493</v>
      </c>
    </row>
    <row r="85">
      <c r="A85" s="28">
        <v>44621.0</v>
      </c>
      <c r="B85" s="749">
        <v>7.3</v>
      </c>
      <c r="C85" s="749">
        <v>17.0</v>
      </c>
      <c r="D85" s="752" t="s">
        <v>3</v>
      </c>
      <c r="E85" s="752" t="s">
        <v>4</v>
      </c>
      <c r="F85" s="749">
        <v>7.75</v>
      </c>
    </row>
    <row r="86">
      <c r="A86" s="28">
        <v>44622.0</v>
      </c>
      <c r="B86" s="29">
        <v>7.3</v>
      </c>
      <c r="C86" s="29">
        <v>17.0</v>
      </c>
      <c r="D86" s="30" t="s">
        <v>3</v>
      </c>
      <c r="E86" s="30" t="s">
        <v>4</v>
      </c>
      <c r="F86" s="29">
        <v>7.75</v>
      </c>
    </row>
    <row r="87">
      <c r="A87" s="28">
        <v>44623.0</v>
      </c>
      <c r="B87" s="29">
        <v>7.3</v>
      </c>
      <c r="C87" s="29">
        <v>17.0</v>
      </c>
      <c r="D87" s="30" t="s">
        <v>3</v>
      </c>
      <c r="E87" s="30" t="s">
        <v>4</v>
      </c>
      <c r="F87" s="29">
        <v>7.75</v>
      </c>
    </row>
    <row r="88">
      <c r="A88" s="28">
        <v>44624.0</v>
      </c>
      <c r="B88" s="756">
        <v>7.3</v>
      </c>
      <c r="C88" s="756">
        <v>16.15</v>
      </c>
      <c r="D88" s="757" t="s">
        <v>3540</v>
      </c>
      <c r="E88" s="757" t="s">
        <v>3515</v>
      </c>
      <c r="F88" s="756">
        <v>7.0</v>
      </c>
      <c r="G88" s="758">
        <v>3.0</v>
      </c>
    </row>
    <row r="89">
      <c r="A89" s="3" t="s">
        <v>7</v>
      </c>
      <c r="B89" s="14"/>
      <c r="C89" s="14"/>
      <c r="D89" s="15"/>
      <c r="E89" s="6"/>
      <c r="F89" s="735">
        <f>SUM(F84:F88)</f>
        <v>30.25</v>
      </c>
    </row>
    <row r="90">
      <c r="A90" s="28">
        <v>44627.0</v>
      </c>
      <c r="B90" s="749">
        <v>7.3</v>
      </c>
      <c r="C90" s="749">
        <v>17.0</v>
      </c>
      <c r="D90" s="752" t="s">
        <v>3</v>
      </c>
      <c r="E90" s="752" t="s">
        <v>4</v>
      </c>
      <c r="F90" s="749">
        <v>7.75</v>
      </c>
      <c r="G90" s="29"/>
    </row>
    <row r="91">
      <c r="A91" s="28">
        <v>44628.0</v>
      </c>
      <c r="B91" s="29">
        <v>7.3</v>
      </c>
      <c r="C91" s="29">
        <v>17.0</v>
      </c>
      <c r="D91" s="42" t="s">
        <v>21</v>
      </c>
      <c r="E91" s="42" t="s">
        <v>22</v>
      </c>
      <c r="F91" s="39">
        <v>8.75</v>
      </c>
      <c r="G91" s="764">
        <v>1.0</v>
      </c>
    </row>
    <row r="92">
      <c r="A92" s="28">
        <v>44629.0</v>
      </c>
      <c r="B92" s="29">
        <v>7.3</v>
      </c>
      <c r="C92" s="29">
        <v>17.0</v>
      </c>
      <c r="D92" s="42" t="s">
        <v>21</v>
      </c>
      <c r="E92" s="42" t="s">
        <v>22</v>
      </c>
      <c r="F92" s="39">
        <v>8.75</v>
      </c>
      <c r="G92" s="764">
        <v>1.0</v>
      </c>
    </row>
    <row r="93">
      <c r="A93" s="28">
        <v>44630.0</v>
      </c>
      <c r="B93" s="29">
        <v>7.3</v>
      </c>
      <c r="C93" s="29">
        <v>17.0</v>
      </c>
      <c r="D93" s="42" t="s">
        <v>21</v>
      </c>
      <c r="E93" s="42" t="s">
        <v>22</v>
      </c>
      <c r="F93" s="39">
        <v>8.75</v>
      </c>
      <c r="G93" s="764">
        <v>1.0</v>
      </c>
    </row>
    <row r="94">
      <c r="A94" s="28">
        <v>44631.0</v>
      </c>
      <c r="B94" s="756">
        <v>7.3</v>
      </c>
      <c r="C94" s="756">
        <v>16.15</v>
      </c>
      <c r="D94" s="42" t="s">
        <v>21</v>
      </c>
      <c r="E94" s="763" t="s">
        <v>3562</v>
      </c>
      <c r="F94" s="762">
        <v>8.0</v>
      </c>
      <c r="G94" s="764">
        <v>4.0</v>
      </c>
    </row>
    <row r="95">
      <c r="A95" s="3" t="s">
        <v>7</v>
      </c>
      <c r="B95" s="14"/>
      <c r="C95" s="14"/>
      <c r="D95" s="15"/>
      <c r="E95" s="6"/>
      <c r="F95" s="735">
        <f>SUM(F90:F94)</f>
        <v>42</v>
      </c>
    </row>
    <row r="96">
      <c r="A96" s="28">
        <v>44634.0</v>
      </c>
      <c r="B96" s="749">
        <v>7.3</v>
      </c>
      <c r="C96" s="749">
        <v>17.0</v>
      </c>
      <c r="D96" s="42" t="s">
        <v>21</v>
      </c>
      <c r="E96" s="42" t="s">
        <v>22</v>
      </c>
      <c r="F96" s="39">
        <v>8.75</v>
      </c>
      <c r="G96" s="764">
        <v>1.0</v>
      </c>
    </row>
    <row r="97">
      <c r="A97" s="28">
        <v>44635.0</v>
      </c>
      <c r="B97" s="29">
        <v>7.3</v>
      </c>
      <c r="C97" s="29">
        <v>17.0</v>
      </c>
      <c r="D97" s="42" t="s">
        <v>21</v>
      </c>
      <c r="E97" s="42" t="s">
        <v>22</v>
      </c>
      <c r="F97" s="39">
        <v>8.75</v>
      </c>
      <c r="G97" s="764">
        <v>1.0</v>
      </c>
    </row>
    <row r="98">
      <c r="A98" s="28">
        <v>44636.0</v>
      </c>
      <c r="B98" s="29">
        <v>7.3</v>
      </c>
      <c r="C98" s="29">
        <v>17.0</v>
      </c>
      <c r="D98" s="42" t="s">
        <v>21</v>
      </c>
      <c r="E98" s="42" t="s">
        <v>22</v>
      </c>
      <c r="F98" s="39">
        <v>8.75</v>
      </c>
      <c r="G98" s="764">
        <v>1.0</v>
      </c>
    </row>
    <row r="99">
      <c r="A99" s="28">
        <v>44637.0</v>
      </c>
      <c r="B99" s="29">
        <v>7.3</v>
      </c>
      <c r="C99" s="29">
        <v>17.0</v>
      </c>
      <c r="D99" s="42" t="s">
        <v>21</v>
      </c>
      <c r="E99" s="42" t="s">
        <v>22</v>
      </c>
      <c r="F99" s="39">
        <v>8.75</v>
      </c>
      <c r="G99" s="764">
        <v>1.0</v>
      </c>
    </row>
    <row r="100">
      <c r="A100" s="28">
        <v>44638.0</v>
      </c>
      <c r="B100" s="756">
        <v>7.3</v>
      </c>
      <c r="C100" s="756">
        <v>16.15</v>
      </c>
      <c r="D100" s="42" t="s">
        <v>21</v>
      </c>
      <c r="E100" s="763" t="s">
        <v>3562</v>
      </c>
      <c r="F100" s="762">
        <v>8.0</v>
      </c>
      <c r="G100" s="764">
        <v>4.0</v>
      </c>
    </row>
    <row r="101">
      <c r="A101" s="3" t="s">
        <v>7</v>
      </c>
      <c r="B101" s="14"/>
      <c r="C101" s="14"/>
      <c r="D101" s="15"/>
      <c r="E101" s="6"/>
      <c r="F101" s="735">
        <f>SUM(F96:F100)</f>
        <v>43</v>
      </c>
    </row>
    <row r="102">
      <c r="A102" s="28">
        <v>44641.0</v>
      </c>
      <c r="B102" s="749">
        <v>7.3</v>
      </c>
      <c r="C102" s="749">
        <v>17.0</v>
      </c>
      <c r="D102" s="42" t="s">
        <v>21</v>
      </c>
      <c r="E102" s="42" t="s">
        <v>22</v>
      </c>
      <c r="F102" s="39">
        <v>8.75</v>
      </c>
      <c r="G102" s="764">
        <v>1.0</v>
      </c>
    </row>
    <row r="103">
      <c r="A103" s="28">
        <v>44642.0</v>
      </c>
      <c r="B103" s="29">
        <v>7.3</v>
      </c>
      <c r="C103" s="29">
        <v>17.0</v>
      </c>
      <c r="D103" s="42" t="s">
        <v>21</v>
      </c>
      <c r="E103" s="42" t="s">
        <v>22</v>
      </c>
      <c r="F103" s="39">
        <v>8.75</v>
      </c>
      <c r="G103" s="764">
        <v>1.0</v>
      </c>
    </row>
    <row r="104">
      <c r="A104" s="28">
        <v>44643.0</v>
      </c>
      <c r="B104" s="29">
        <v>7.3</v>
      </c>
      <c r="C104" s="29">
        <v>17.0</v>
      </c>
      <c r="D104" s="42" t="s">
        <v>21</v>
      </c>
      <c r="E104" s="42" t="s">
        <v>22</v>
      </c>
      <c r="F104" s="39">
        <v>8.75</v>
      </c>
      <c r="G104" s="764">
        <v>1.0</v>
      </c>
    </row>
    <row r="105">
      <c r="A105" s="28">
        <v>44644.0</v>
      </c>
      <c r="B105" s="749">
        <v>7.3</v>
      </c>
      <c r="C105" s="749">
        <v>17.0</v>
      </c>
      <c r="D105" s="752" t="s">
        <v>3</v>
      </c>
      <c r="E105" s="752" t="s">
        <v>4</v>
      </c>
      <c r="F105" s="749">
        <v>7.75</v>
      </c>
    </row>
    <row r="106">
      <c r="A106" s="28">
        <v>44645.0</v>
      </c>
      <c r="B106" s="756">
        <v>7.3</v>
      </c>
      <c r="C106" s="756">
        <v>16.15</v>
      </c>
      <c r="D106" s="757" t="s">
        <v>3540</v>
      </c>
      <c r="E106" s="757" t="s">
        <v>3515</v>
      </c>
      <c r="F106" s="756">
        <v>7.0</v>
      </c>
      <c r="G106" s="758">
        <v>3.0</v>
      </c>
    </row>
    <row r="107">
      <c r="A107" s="3" t="s">
        <v>7</v>
      </c>
      <c r="B107" s="14"/>
      <c r="C107" s="14"/>
      <c r="D107" s="15"/>
      <c r="E107" s="6"/>
      <c r="F107" s="735">
        <f>SUM(F102:F106)</f>
        <v>41</v>
      </c>
    </row>
    <row r="108">
      <c r="A108" s="28">
        <v>44648.0</v>
      </c>
      <c r="B108" s="749">
        <v>7.3</v>
      </c>
      <c r="C108" s="749">
        <v>17.0</v>
      </c>
      <c r="D108" s="42" t="s">
        <v>21</v>
      </c>
      <c r="E108" s="42" t="s">
        <v>22</v>
      </c>
      <c r="F108" s="39">
        <v>8.75</v>
      </c>
      <c r="G108" s="764">
        <v>1.0</v>
      </c>
    </row>
    <row r="109">
      <c r="A109" s="28">
        <v>44649.0</v>
      </c>
      <c r="B109" s="29">
        <v>7.3</v>
      </c>
      <c r="C109" s="29">
        <v>17.0</v>
      </c>
      <c r="D109" s="42" t="s">
        <v>21</v>
      </c>
      <c r="E109" s="42" t="s">
        <v>22</v>
      </c>
      <c r="F109" s="39">
        <v>8.75</v>
      </c>
      <c r="G109" s="764">
        <v>1.0</v>
      </c>
    </row>
    <row r="110">
      <c r="A110" s="28">
        <v>44650.0</v>
      </c>
      <c r="B110" s="29">
        <v>7.3</v>
      </c>
      <c r="C110" s="29">
        <v>17.0</v>
      </c>
      <c r="D110" s="42" t="s">
        <v>21</v>
      </c>
      <c r="E110" s="42" t="s">
        <v>22</v>
      </c>
      <c r="F110" s="39">
        <v>8.75</v>
      </c>
      <c r="G110" s="764">
        <v>1.0</v>
      </c>
    </row>
    <row r="111">
      <c r="A111" s="28">
        <v>44651.0</v>
      </c>
      <c r="B111" s="749">
        <v>7.3</v>
      </c>
      <c r="C111" s="749">
        <v>17.0</v>
      </c>
      <c r="D111" s="752" t="s">
        <v>3</v>
      </c>
      <c r="E111" s="752" t="s">
        <v>4</v>
      </c>
      <c r="F111" s="749">
        <v>7.75</v>
      </c>
    </row>
    <row r="112">
      <c r="A112" s="3" t="s">
        <v>7</v>
      </c>
      <c r="B112" s="14"/>
      <c r="C112" s="14"/>
      <c r="D112" s="15"/>
      <c r="E112" s="6"/>
      <c r="F112" s="735">
        <f>F108+F109+F110+F111</f>
        <v>34</v>
      </c>
      <c r="M112" s="9" t="s">
        <v>9</v>
      </c>
      <c r="N112" s="10" t="s">
        <v>10</v>
      </c>
      <c r="O112" s="10" t="s">
        <v>1</v>
      </c>
    </row>
    <row r="113">
      <c r="A113" s="13" t="s">
        <v>2</v>
      </c>
      <c r="B113" s="14"/>
      <c r="C113" s="14"/>
      <c r="D113" s="15"/>
      <c r="E113" s="16"/>
      <c r="F113" s="17">
        <f>F96+F102+F108+F112</f>
        <v>60.25</v>
      </c>
      <c r="G113" s="18">
        <f>G88+G91+G92+G93+G94+G96+G97+G98+G99+G100+G102+G103+G104+G105+G106+G108+G109+G110+G111</f>
        <v>27</v>
      </c>
      <c r="H113" s="19" t="str">
        <f>H90</f>
        <v/>
      </c>
      <c r="I113" s="20">
        <f>G113-H113</f>
        <v>27</v>
      </c>
      <c r="J113" s="21" t="s">
        <v>3563</v>
      </c>
      <c r="K113" s="22" t="s">
        <v>3564</v>
      </c>
      <c r="L113" s="23" t="s">
        <v>14</v>
      </c>
      <c r="M113" s="200">
        <v>1978.56</v>
      </c>
      <c r="N113" s="283">
        <v>1390.16</v>
      </c>
      <c r="O113" s="200">
        <v>1525.16</v>
      </c>
    </row>
    <row r="114">
      <c r="A114" s="728" t="s">
        <v>243</v>
      </c>
      <c r="B114" s="728" t="s">
        <v>3445</v>
      </c>
      <c r="C114" s="728" t="s">
        <v>3446</v>
      </c>
      <c r="D114" s="728" t="s">
        <v>3447</v>
      </c>
      <c r="E114" s="728" t="s">
        <v>3448</v>
      </c>
      <c r="F114" s="729" t="s">
        <v>3449</v>
      </c>
      <c r="G114" s="730" t="s">
        <v>3450</v>
      </c>
      <c r="H114" s="731" t="s">
        <v>3451</v>
      </c>
      <c r="I114" s="732" t="s">
        <v>3452</v>
      </c>
      <c r="J114" s="733" t="s">
        <v>50</v>
      </c>
      <c r="K114" s="734" t="s">
        <v>3493</v>
      </c>
    </row>
    <row r="115">
      <c r="A115" s="28">
        <v>44652.0</v>
      </c>
      <c r="B115" s="756">
        <v>7.3</v>
      </c>
      <c r="C115" s="756">
        <v>16.15</v>
      </c>
      <c r="D115" s="42" t="s">
        <v>21</v>
      </c>
      <c r="E115" s="763" t="s">
        <v>3562</v>
      </c>
      <c r="F115" s="762">
        <v>8.0</v>
      </c>
      <c r="G115" s="764">
        <v>4.0</v>
      </c>
    </row>
    <row r="116">
      <c r="A116" s="3" t="s">
        <v>7</v>
      </c>
      <c r="B116" s="14"/>
      <c r="C116" s="14"/>
      <c r="D116" s="15"/>
      <c r="E116" s="6"/>
      <c r="F116" s="735">
        <f>F115</f>
        <v>8</v>
      </c>
    </row>
    <row r="117">
      <c r="A117" s="28">
        <v>44655.0</v>
      </c>
      <c r="B117" s="749">
        <v>7.3</v>
      </c>
      <c r="C117" s="749">
        <v>17.0</v>
      </c>
      <c r="D117" s="752" t="s">
        <v>3</v>
      </c>
      <c r="E117" s="752" t="s">
        <v>4</v>
      </c>
      <c r="F117" s="749">
        <v>7.75</v>
      </c>
    </row>
    <row r="118">
      <c r="A118" s="28">
        <v>44656.0</v>
      </c>
      <c r="B118" s="749">
        <v>7.3</v>
      </c>
      <c r="C118" s="749">
        <v>17.0</v>
      </c>
      <c r="D118" s="752" t="s">
        <v>3</v>
      </c>
      <c r="E118" s="752" t="s">
        <v>4</v>
      </c>
      <c r="F118" s="749">
        <v>7.75</v>
      </c>
    </row>
    <row r="119">
      <c r="A119" s="28">
        <v>44657.0</v>
      </c>
      <c r="B119" s="29">
        <v>7.3</v>
      </c>
      <c r="C119" s="29">
        <v>17.0</v>
      </c>
      <c r="D119" s="30" t="s">
        <v>3</v>
      </c>
      <c r="E119" s="30" t="s">
        <v>4</v>
      </c>
      <c r="F119" s="29">
        <v>7.75</v>
      </c>
    </row>
    <row r="120">
      <c r="A120" s="28">
        <v>44658.0</v>
      </c>
      <c r="B120" s="29">
        <v>7.3</v>
      </c>
      <c r="C120" s="29">
        <v>17.0</v>
      </c>
      <c r="D120" s="30" t="s">
        <v>3</v>
      </c>
      <c r="E120" s="30" t="s">
        <v>4</v>
      </c>
      <c r="F120" s="29">
        <v>7.75</v>
      </c>
    </row>
    <row r="121">
      <c r="A121" s="28">
        <v>44659.0</v>
      </c>
      <c r="B121" s="756">
        <v>7.3</v>
      </c>
      <c r="C121" s="756">
        <v>16.15</v>
      </c>
      <c r="D121" s="757" t="s">
        <v>3540</v>
      </c>
      <c r="E121" s="757" t="s">
        <v>3515</v>
      </c>
      <c r="F121" s="756">
        <v>7.0</v>
      </c>
      <c r="G121" s="758">
        <v>3.0</v>
      </c>
    </row>
    <row r="122">
      <c r="A122" s="3" t="s">
        <v>7</v>
      </c>
      <c r="B122" s="14"/>
      <c r="C122" s="14"/>
      <c r="D122" s="15"/>
      <c r="E122" s="6"/>
      <c r="F122" s="735">
        <f>F117+F118+F119+F120+F121</f>
        <v>38</v>
      </c>
    </row>
    <row r="123">
      <c r="A123" s="28">
        <v>44662.0</v>
      </c>
      <c r="B123" s="749">
        <v>7.3</v>
      </c>
      <c r="C123" s="749">
        <v>17.0</v>
      </c>
      <c r="D123" s="42" t="s">
        <v>21</v>
      </c>
      <c r="E123" s="42" t="s">
        <v>22</v>
      </c>
      <c r="F123" s="39">
        <v>8.75</v>
      </c>
      <c r="G123" s="764">
        <v>1.0</v>
      </c>
    </row>
    <row r="124">
      <c r="A124" s="28">
        <v>44663.0</v>
      </c>
      <c r="B124" s="29">
        <v>7.3</v>
      </c>
      <c r="C124" s="29">
        <v>17.0</v>
      </c>
      <c r="D124" s="42" t="s">
        <v>21</v>
      </c>
      <c r="E124" s="42" t="s">
        <v>22</v>
      </c>
      <c r="F124" s="39">
        <v>8.75</v>
      </c>
      <c r="G124" s="764">
        <v>1.0</v>
      </c>
    </row>
    <row r="125">
      <c r="A125" s="28">
        <v>44664.0</v>
      </c>
      <c r="B125" s="29">
        <v>7.3</v>
      </c>
      <c r="C125" s="29">
        <v>17.0</v>
      </c>
      <c r="D125" s="42" t="s">
        <v>21</v>
      </c>
      <c r="E125" s="42" t="s">
        <v>22</v>
      </c>
      <c r="F125" s="39">
        <v>8.75</v>
      </c>
      <c r="G125" s="764">
        <v>1.0</v>
      </c>
    </row>
    <row r="126">
      <c r="A126" s="28">
        <v>44665.0</v>
      </c>
      <c r="B126" s="749">
        <v>7.3</v>
      </c>
      <c r="C126" s="749">
        <v>17.0</v>
      </c>
      <c r="D126" s="752" t="s">
        <v>3</v>
      </c>
      <c r="E126" s="752" t="s">
        <v>4</v>
      </c>
      <c r="F126" s="749">
        <v>7.75</v>
      </c>
    </row>
    <row r="127">
      <c r="A127" s="28">
        <v>44666.0</v>
      </c>
      <c r="B127" s="756">
        <v>7.3</v>
      </c>
      <c r="C127" s="756">
        <v>16.15</v>
      </c>
      <c r="D127" s="42" t="s">
        <v>21</v>
      </c>
      <c r="E127" s="763" t="s">
        <v>3562</v>
      </c>
      <c r="F127" s="762">
        <v>8.0</v>
      </c>
      <c r="G127" s="764">
        <v>4.0</v>
      </c>
    </row>
    <row r="128">
      <c r="A128" s="3" t="s">
        <v>7</v>
      </c>
      <c r="B128" s="14"/>
      <c r="C128" s="14"/>
      <c r="D128" s="15"/>
      <c r="E128" s="6"/>
      <c r="F128" s="735">
        <f>F123+F124+F125+F126+F127</f>
        <v>42</v>
      </c>
    </row>
    <row r="129">
      <c r="A129" s="28">
        <v>44669.0</v>
      </c>
      <c r="B129" s="43" t="s">
        <v>24</v>
      </c>
      <c r="E129" s="44" t="s">
        <v>4</v>
      </c>
      <c r="F129" s="45">
        <v>7.75</v>
      </c>
    </row>
    <row r="130">
      <c r="A130" s="28">
        <v>44670.0</v>
      </c>
      <c r="B130" s="749">
        <v>7.3</v>
      </c>
      <c r="C130" s="749">
        <v>17.0</v>
      </c>
      <c r="D130" s="42" t="s">
        <v>21</v>
      </c>
      <c r="E130" s="42" t="s">
        <v>22</v>
      </c>
      <c r="F130" s="39">
        <v>8.75</v>
      </c>
      <c r="G130" s="764">
        <v>1.0</v>
      </c>
    </row>
    <row r="131">
      <c r="A131" s="28">
        <v>44671.0</v>
      </c>
      <c r="B131" s="29">
        <v>7.3</v>
      </c>
      <c r="C131" s="29">
        <v>17.0</v>
      </c>
      <c r="D131" s="42" t="s">
        <v>21</v>
      </c>
      <c r="E131" s="42" t="s">
        <v>22</v>
      </c>
      <c r="F131" s="39">
        <v>8.75</v>
      </c>
      <c r="G131" s="764">
        <v>1.0</v>
      </c>
    </row>
    <row r="132">
      <c r="A132" s="28">
        <v>44672.0</v>
      </c>
      <c r="B132" s="29">
        <v>7.3</v>
      </c>
      <c r="C132" s="29">
        <v>17.0</v>
      </c>
      <c r="D132" s="42" t="s">
        <v>21</v>
      </c>
      <c r="E132" s="42" t="s">
        <v>22</v>
      </c>
      <c r="F132" s="39">
        <v>8.75</v>
      </c>
      <c r="G132" s="764">
        <v>1.0</v>
      </c>
    </row>
    <row r="133">
      <c r="A133" s="28">
        <v>44673.0</v>
      </c>
      <c r="B133" s="756">
        <v>7.3</v>
      </c>
      <c r="C133" s="756">
        <v>16.15</v>
      </c>
      <c r="D133" s="765" t="s">
        <v>21</v>
      </c>
      <c r="E133" s="757" t="s">
        <v>3562</v>
      </c>
      <c r="F133" s="756">
        <v>8.0</v>
      </c>
      <c r="G133" s="758">
        <v>4.0</v>
      </c>
    </row>
    <row r="134">
      <c r="A134" s="3" t="s">
        <v>7</v>
      </c>
      <c r="B134" s="14"/>
      <c r="C134" s="14"/>
      <c r="D134" s="15"/>
      <c r="E134" s="6"/>
      <c r="F134" s="735">
        <f>F129+F130+F131+F132+F133</f>
        <v>42</v>
      </c>
    </row>
    <row r="135">
      <c r="A135" s="28">
        <v>44676.0</v>
      </c>
      <c r="B135" s="749">
        <v>7.3</v>
      </c>
      <c r="C135" s="749">
        <v>17.0</v>
      </c>
      <c r="D135" s="42" t="s">
        <v>21</v>
      </c>
      <c r="E135" s="42" t="s">
        <v>22</v>
      </c>
      <c r="F135" s="39">
        <v>8.75</v>
      </c>
      <c r="G135" s="764">
        <v>1.0</v>
      </c>
    </row>
    <row r="136">
      <c r="A136" s="28">
        <v>44677.0</v>
      </c>
      <c r="B136" s="749">
        <v>7.3</v>
      </c>
      <c r="C136" s="749">
        <v>17.0</v>
      </c>
      <c r="D136" s="42" t="s">
        <v>21</v>
      </c>
      <c r="E136" s="42" t="s">
        <v>22</v>
      </c>
      <c r="F136" s="39">
        <v>8.75</v>
      </c>
      <c r="G136" s="764">
        <v>1.0</v>
      </c>
    </row>
    <row r="137">
      <c r="A137" s="28">
        <v>44678.0</v>
      </c>
      <c r="B137" s="749">
        <v>7.3</v>
      </c>
      <c r="C137" s="749">
        <v>17.0</v>
      </c>
      <c r="D137" s="752" t="s">
        <v>21</v>
      </c>
      <c r="E137" s="752" t="s">
        <v>22</v>
      </c>
      <c r="F137" s="749">
        <v>8.75</v>
      </c>
      <c r="G137" s="758">
        <v>1.0</v>
      </c>
    </row>
    <row r="138">
      <c r="A138" s="28">
        <v>44679.0</v>
      </c>
      <c r="B138" s="749">
        <v>7.3</v>
      </c>
      <c r="C138" s="749">
        <v>17.0</v>
      </c>
      <c r="D138" s="752" t="s">
        <v>3</v>
      </c>
      <c r="E138" s="752" t="s">
        <v>4</v>
      </c>
      <c r="F138" s="749">
        <v>7.75</v>
      </c>
    </row>
    <row r="139">
      <c r="A139" s="28">
        <v>44680.0</v>
      </c>
      <c r="B139" s="756">
        <v>7.3</v>
      </c>
      <c r="C139" s="756">
        <v>16.15</v>
      </c>
      <c r="D139" s="765" t="s">
        <v>21</v>
      </c>
      <c r="E139" s="757" t="s">
        <v>3562</v>
      </c>
      <c r="F139" s="756">
        <v>8.0</v>
      </c>
      <c r="G139" s="758">
        <v>4.0</v>
      </c>
    </row>
    <row r="140">
      <c r="A140" s="3" t="s">
        <v>7</v>
      </c>
      <c r="B140" s="14"/>
      <c r="C140" s="14"/>
      <c r="D140" s="15"/>
      <c r="E140" s="6"/>
      <c r="F140" s="735">
        <f>F135+F136+F137+F138+F139</f>
        <v>42</v>
      </c>
      <c r="M140" s="9" t="s">
        <v>9</v>
      </c>
      <c r="N140" s="10" t="s">
        <v>10</v>
      </c>
      <c r="O140" s="10" t="s">
        <v>1</v>
      </c>
    </row>
    <row r="141">
      <c r="A141" s="13" t="s">
        <v>2</v>
      </c>
      <c r="B141" s="14"/>
      <c r="C141" s="14"/>
      <c r="D141" s="15"/>
      <c r="E141" s="16"/>
      <c r="F141" s="17">
        <f>F125+F131+F137+F140</f>
        <v>68.25</v>
      </c>
      <c r="G141" s="18">
        <f>SUM(G115:G139)</f>
        <v>28</v>
      </c>
      <c r="H141" s="19" t="str">
        <f>H119</f>
        <v/>
      </c>
      <c r="I141" s="20">
        <f>G141-H141</f>
        <v>28</v>
      </c>
      <c r="J141" s="21" t="s">
        <v>3565</v>
      </c>
      <c r="K141" s="22" t="s">
        <v>3566</v>
      </c>
      <c r="L141" s="23" t="s">
        <v>14</v>
      </c>
      <c r="M141" s="200">
        <v>2154.52</v>
      </c>
      <c r="N141" s="283">
        <v>1534.54</v>
      </c>
      <c r="O141" s="200">
        <v>1443.15</v>
      </c>
    </row>
    <row r="142">
      <c r="A142" s="728" t="s">
        <v>243</v>
      </c>
      <c r="B142" s="728" t="s">
        <v>3445</v>
      </c>
      <c r="C142" s="728" t="s">
        <v>3446</v>
      </c>
      <c r="D142" s="728" t="s">
        <v>3447</v>
      </c>
      <c r="E142" s="728" t="s">
        <v>3448</v>
      </c>
      <c r="F142" s="729" t="s">
        <v>3449</v>
      </c>
      <c r="G142" s="730" t="s">
        <v>3450</v>
      </c>
      <c r="H142" s="731" t="s">
        <v>3451</v>
      </c>
      <c r="I142" s="732" t="s">
        <v>3452</v>
      </c>
      <c r="J142" s="733" t="s">
        <v>50</v>
      </c>
      <c r="K142" s="734" t="s">
        <v>3493</v>
      </c>
    </row>
    <row r="143">
      <c r="A143" s="28">
        <v>44683.0</v>
      </c>
      <c r="B143" s="749">
        <v>7.3</v>
      </c>
      <c r="C143" s="749">
        <v>17.0</v>
      </c>
      <c r="D143" s="752" t="s">
        <v>3</v>
      </c>
      <c r="E143" s="752" t="s">
        <v>4</v>
      </c>
      <c r="F143" s="749">
        <v>7.75</v>
      </c>
    </row>
    <row r="144">
      <c r="A144" s="28">
        <v>44684.0</v>
      </c>
      <c r="B144" s="749">
        <v>7.3</v>
      </c>
      <c r="C144" s="749">
        <v>17.0</v>
      </c>
      <c r="D144" s="752" t="s">
        <v>3</v>
      </c>
      <c r="E144" s="752" t="s">
        <v>4</v>
      </c>
      <c r="F144" s="749">
        <v>7.75</v>
      </c>
    </row>
    <row r="145">
      <c r="A145" s="28">
        <v>44685.0</v>
      </c>
      <c r="B145" s="29">
        <v>7.3</v>
      </c>
      <c r="C145" s="29">
        <v>17.0</v>
      </c>
      <c r="D145" s="30" t="s">
        <v>3</v>
      </c>
      <c r="E145" s="30" t="s">
        <v>4</v>
      </c>
      <c r="F145" s="29">
        <v>7.75</v>
      </c>
    </row>
    <row r="146">
      <c r="A146" s="28">
        <v>44686.0</v>
      </c>
      <c r="B146" s="29">
        <v>7.3</v>
      </c>
      <c r="C146" s="29">
        <v>17.0</v>
      </c>
      <c r="D146" s="30" t="s">
        <v>3</v>
      </c>
      <c r="E146" s="30" t="s">
        <v>4</v>
      </c>
      <c r="F146" s="29">
        <v>7.75</v>
      </c>
    </row>
    <row r="147">
      <c r="A147" s="28">
        <v>44687.0</v>
      </c>
      <c r="B147" s="648" t="s">
        <v>3548</v>
      </c>
      <c r="H147" s="745">
        <v>4.0</v>
      </c>
      <c r="J147" s="51" t="s">
        <v>3567</v>
      </c>
    </row>
    <row r="148">
      <c r="A148" s="3" t="s">
        <v>7</v>
      </c>
      <c r="B148" s="14"/>
      <c r="C148" s="14"/>
      <c r="D148" s="15"/>
      <c r="E148" s="6"/>
      <c r="F148" s="735">
        <f>F143+F144+F145+F146+F147</f>
        <v>31</v>
      </c>
    </row>
    <row r="149">
      <c r="A149" s="28">
        <v>44690.0</v>
      </c>
      <c r="B149" s="749">
        <v>7.3</v>
      </c>
      <c r="C149" s="749">
        <v>17.0</v>
      </c>
      <c r="D149" s="752" t="s">
        <v>3</v>
      </c>
      <c r="E149" s="752" t="s">
        <v>4</v>
      </c>
      <c r="F149" s="749">
        <v>7.75</v>
      </c>
    </row>
    <row r="150">
      <c r="A150" s="28">
        <v>44691.0</v>
      </c>
      <c r="B150" s="749">
        <v>7.3</v>
      </c>
      <c r="C150" s="749">
        <v>17.0</v>
      </c>
      <c r="D150" s="752" t="s">
        <v>3</v>
      </c>
      <c r="E150" s="752" t="s">
        <v>4</v>
      </c>
      <c r="F150" s="749">
        <v>7.75</v>
      </c>
    </row>
    <row r="151">
      <c r="A151" s="28">
        <v>44692.0</v>
      </c>
      <c r="B151" s="29">
        <v>7.3</v>
      </c>
      <c r="C151" s="29">
        <v>17.0</v>
      </c>
      <c r="D151" s="30" t="s">
        <v>3</v>
      </c>
      <c r="E151" s="30" t="s">
        <v>4</v>
      </c>
      <c r="F151" s="29">
        <v>7.75</v>
      </c>
    </row>
    <row r="152">
      <c r="A152" s="28">
        <v>44693.0</v>
      </c>
      <c r="B152" s="29">
        <v>7.3</v>
      </c>
      <c r="C152" s="29">
        <v>17.0</v>
      </c>
      <c r="D152" s="30" t="s">
        <v>3</v>
      </c>
      <c r="E152" s="30" t="s">
        <v>4</v>
      </c>
      <c r="F152" s="29">
        <v>7.75</v>
      </c>
    </row>
    <row r="153">
      <c r="A153" s="28">
        <v>44694.0</v>
      </c>
      <c r="B153" s="756">
        <v>7.3</v>
      </c>
      <c r="C153" s="756">
        <v>16.15</v>
      </c>
      <c r="D153" s="757" t="s">
        <v>3540</v>
      </c>
      <c r="E153" s="757" t="s">
        <v>3515</v>
      </c>
      <c r="F153" s="756">
        <v>7.0</v>
      </c>
      <c r="G153" s="758">
        <v>3.0</v>
      </c>
    </row>
    <row r="154">
      <c r="A154" s="3" t="s">
        <v>7</v>
      </c>
      <c r="B154" s="14"/>
      <c r="C154" s="14"/>
      <c r="D154" s="15"/>
      <c r="E154" s="6"/>
      <c r="F154" s="735">
        <f>F149+F150+F151+F152+F153</f>
        <v>38</v>
      </c>
    </row>
    <row r="155">
      <c r="A155" s="28">
        <v>44697.0</v>
      </c>
      <c r="B155" s="766" t="s">
        <v>3504</v>
      </c>
      <c r="C155" s="767"/>
      <c r="D155" s="767"/>
      <c r="E155" s="767"/>
      <c r="F155" s="767"/>
    </row>
    <row r="156">
      <c r="A156" s="28">
        <v>44698.0</v>
      </c>
      <c r="B156" s="766" t="s">
        <v>3504</v>
      </c>
      <c r="C156" s="767"/>
      <c r="D156" s="767"/>
      <c r="E156" s="767"/>
      <c r="F156" s="767"/>
    </row>
    <row r="157">
      <c r="A157" s="28">
        <v>44699.0</v>
      </c>
      <c r="B157" s="766" t="s">
        <v>3504</v>
      </c>
      <c r="C157" s="767"/>
      <c r="D157" s="767"/>
      <c r="E157" s="767"/>
      <c r="F157" s="767"/>
    </row>
    <row r="158">
      <c r="A158" s="28">
        <v>44700.0</v>
      </c>
      <c r="B158" s="766" t="s">
        <v>3504</v>
      </c>
      <c r="C158" s="767"/>
      <c r="D158" s="767"/>
      <c r="E158" s="767"/>
      <c r="F158" s="767"/>
    </row>
    <row r="159">
      <c r="A159" s="28">
        <v>44701.0</v>
      </c>
      <c r="B159" s="766" t="s">
        <v>3504</v>
      </c>
      <c r="C159" s="767"/>
      <c r="D159" s="767"/>
      <c r="E159" s="767"/>
      <c r="F159" s="767"/>
      <c r="G159" s="29"/>
    </row>
    <row r="160">
      <c r="A160" s="3" t="s">
        <v>7</v>
      </c>
      <c r="B160" s="14"/>
      <c r="C160" s="14"/>
      <c r="D160" s="15"/>
      <c r="E160" s="6"/>
      <c r="F160" s="735">
        <f>F155+F156+F157+F158+F159</f>
        <v>0</v>
      </c>
    </row>
    <row r="161">
      <c r="A161" s="28">
        <v>44704.0</v>
      </c>
      <c r="B161" s="749">
        <v>7.3</v>
      </c>
      <c r="C161" s="749">
        <v>17.0</v>
      </c>
      <c r="D161" s="752" t="s">
        <v>3</v>
      </c>
      <c r="E161" s="752" t="s">
        <v>4</v>
      </c>
      <c r="F161" s="749">
        <v>7.75</v>
      </c>
    </row>
    <row r="162">
      <c r="A162" s="28">
        <v>44705.0</v>
      </c>
      <c r="B162" s="749">
        <v>7.3</v>
      </c>
      <c r="C162" s="749">
        <v>17.0</v>
      </c>
      <c r="D162" s="752" t="s">
        <v>3</v>
      </c>
      <c r="E162" s="752" t="s">
        <v>4</v>
      </c>
      <c r="F162" s="749">
        <v>7.75</v>
      </c>
    </row>
    <row r="163">
      <c r="A163" s="28">
        <v>44706.0</v>
      </c>
      <c r="B163" s="29">
        <v>7.3</v>
      </c>
      <c r="C163" s="29">
        <v>17.0</v>
      </c>
      <c r="D163" s="30" t="s">
        <v>3</v>
      </c>
      <c r="E163" s="30" t="s">
        <v>4</v>
      </c>
      <c r="F163" s="29">
        <v>7.75</v>
      </c>
    </row>
    <row r="164">
      <c r="A164" s="28">
        <v>44707.0</v>
      </c>
      <c r="B164" s="43" t="s">
        <v>24</v>
      </c>
      <c r="E164" s="44" t="s">
        <v>4</v>
      </c>
      <c r="F164" s="45">
        <v>7.75</v>
      </c>
    </row>
    <row r="165">
      <c r="A165" s="28">
        <v>44708.0</v>
      </c>
      <c r="B165" s="648" t="s">
        <v>3568</v>
      </c>
      <c r="E165" s="44" t="s">
        <v>4</v>
      </c>
      <c r="F165" s="45">
        <v>7.75</v>
      </c>
      <c r="H165" s="768"/>
    </row>
    <row r="166">
      <c r="A166" s="3" t="s">
        <v>7</v>
      </c>
      <c r="B166" s="14"/>
      <c r="C166" s="14"/>
      <c r="D166" s="15"/>
      <c r="E166" s="6"/>
      <c r="F166" s="735">
        <f>F161+F162+F163+F164+F165</f>
        <v>38.75</v>
      </c>
    </row>
    <row r="167">
      <c r="A167" s="28">
        <v>44711.0</v>
      </c>
      <c r="B167" s="749">
        <v>7.3</v>
      </c>
      <c r="C167" s="749">
        <v>17.0</v>
      </c>
      <c r="D167" s="752" t="s">
        <v>3</v>
      </c>
      <c r="E167" s="752" t="s">
        <v>4</v>
      </c>
      <c r="F167" s="749">
        <v>7.75</v>
      </c>
    </row>
    <row r="168">
      <c r="A168" s="28">
        <v>44712.0</v>
      </c>
      <c r="B168" s="749">
        <v>7.3</v>
      </c>
      <c r="C168" s="749">
        <v>17.0</v>
      </c>
      <c r="D168" s="752" t="s">
        <v>3</v>
      </c>
      <c r="E168" s="752" t="s">
        <v>4</v>
      </c>
      <c r="F168" s="749">
        <v>7.75</v>
      </c>
    </row>
    <row r="169">
      <c r="A169" s="3" t="s">
        <v>7</v>
      </c>
      <c r="B169" s="14"/>
      <c r="C169" s="14"/>
      <c r="D169" s="15"/>
      <c r="E169" s="6"/>
      <c r="F169" s="735">
        <f>F167+F168</f>
        <v>15.5</v>
      </c>
      <c r="M169" s="9" t="s">
        <v>9</v>
      </c>
      <c r="N169" s="10" t="s">
        <v>10</v>
      </c>
      <c r="O169" s="10" t="s">
        <v>1</v>
      </c>
    </row>
    <row r="170">
      <c r="A170" s="13" t="s">
        <v>2</v>
      </c>
      <c r="B170" s="14"/>
      <c r="C170" s="14"/>
      <c r="D170" s="15"/>
      <c r="E170" s="16"/>
      <c r="F170" s="17">
        <f>F154+F160+F166+F169+F148</f>
        <v>123.25</v>
      </c>
      <c r="G170" s="18">
        <f>SUM(G144:G168)</f>
        <v>3</v>
      </c>
      <c r="H170" s="19">
        <f>H147</f>
        <v>4</v>
      </c>
      <c r="I170" s="20">
        <f>G170-H170</f>
        <v>-1</v>
      </c>
      <c r="J170" s="21" t="s">
        <v>3569</v>
      </c>
      <c r="K170" s="22" t="s">
        <v>3570</v>
      </c>
      <c r="L170" s="23" t="s">
        <v>14</v>
      </c>
      <c r="M170" s="200">
        <v>1717.19</v>
      </c>
      <c r="N170" s="283">
        <v>1193.22</v>
      </c>
      <c r="O170" s="200">
        <v>1156.26</v>
      </c>
    </row>
    <row r="171">
      <c r="A171" s="728" t="s">
        <v>243</v>
      </c>
      <c r="B171" s="728" t="s">
        <v>3445</v>
      </c>
      <c r="C171" s="728" t="s">
        <v>3446</v>
      </c>
      <c r="D171" s="728" t="s">
        <v>3447</v>
      </c>
      <c r="E171" s="728" t="s">
        <v>3448</v>
      </c>
      <c r="F171" s="729" t="s">
        <v>3449</v>
      </c>
      <c r="G171" s="730" t="s">
        <v>3450</v>
      </c>
      <c r="H171" s="731" t="s">
        <v>3451</v>
      </c>
      <c r="I171" s="732" t="s">
        <v>3452</v>
      </c>
      <c r="J171" s="733" t="s">
        <v>50</v>
      </c>
      <c r="K171" s="734" t="s">
        <v>3493</v>
      </c>
    </row>
    <row r="172">
      <c r="A172" s="28">
        <v>44713.0</v>
      </c>
      <c r="B172" s="749">
        <v>7.3</v>
      </c>
      <c r="C172" s="750">
        <v>17.0</v>
      </c>
      <c r="D172" s="751" t="s">
        <v>3</v>
      </c>
      <c r="E172" s="752" t="s">
        <v>4</v>
      </c>
      <c r="F172" s="749">
        <v>7.75</v>
      </c>
    </row>
    <row r="173">
      <c r="A173" s="28">
        <v>44714.0</v>
      </c>
      <c r="B173" s="749">
        <v>7.3</v>
      </c>
      <c r="C173" s="750">
        <v>17.0</v>
      </c>
      <c r="D173" s="751" t="s">
        <v>3</v>
      </c>
      <c r="E173" s="752" t="s">
        <v>4</v>
      </c>
      <c r="F173" s="749">
        <v>7.75</v>
      </c>
    </row>
    <row r="174">
      <c r="A174" s="28">
        <v>44715.0</v>
      </c>
      <c r="B174" s="749">
        <v>7.3</v>
      </c>
      <c r="C174" s="47">
        <v>11.3</v>
      </c>
      <c r="D174" s="51" t="s">
        <v>5</v>
      </c>
      <c r="E174" s="51" t="s">
        <v>3536</v>
      </c>
      <c r="F174" s="47">
        <v>4.0</v>
      </c>
    </row>
    <row r="175">
      <c r="A175" s="3" t="s">
        <v>7</v>
      </c>
      <c r="B175" s="14"/>
      <c r="C175" s="14"/>
      <c r="D175" s="15"/>
      <c r="E175" s="6"/>
      <c r="F175" s="735">
        <v>0.0</v>
      </c>
    </row>
    <row r="176">
      <c r="A176" s="28">
        <v>44718.0</v>
      </c>
      <c r="B176" s="43" t="s">
        <v>3571</v>
      </c>
      <c r="E176" s="44" t="s">
        <v>4</v>
      </c>
      <c r="F176" s="45">
        <v>7.75</v>
      </c>
      <c r="J176" s="51" t="s">
        <v>3470</v>
      </c>
    </row>
    <row r="177">
      <c r="A177" s="28">
        <v>44719.0</v>
      </c>
      <c r="B177" s="749">
        <v>7.3</v>
      </c>
      <c r="C177" s="750">
        <v>17.0</v>
      </c>
      <c r="D177" s="751" t="s">
        <v>3</v>
      </c>
      <c r="E177" s="752" t="s">
        <v>4</v>
      </c>
      <c r="F177" s="749">
        <v>7.75</v>
      </c>
    </row>
    <row r="178">
      <c r="A178" s="28">
        <v>44720.0</v>
      </c>
      <c r="B178" s="749">
        <v>7.3</v>
      </c>
      <c r="C178" s="750">
        <v>17.0</v>
      </c>
      <c r="D178" s="751" t="s">
        <v>3</v>
      </c>
      <c r="E178" s="752" t="s">
        <v>4</v>
      </c>
      <c r="F178" s="749">
        <v>7.75</v>
      </c>
    </row>
    <row r="179">
      <c r="A179" s="28">
        <v>44721.0</v>
      </c>
      <c r="B179" s="749">
        <v>7.3</v>
      </c>
      <c r="C179" s="750">
        <v>17.0</v>
      </c>
      <c r="D179" s="751" t="s">
        <v>3</v>
      </c>
      <c r="E179" s="752" t="s">
        <v>4</v>
      </c>
      <c r="F179" s="749">
        <v>7.75</v>
      </c>
    </row>
    <row r="180">
      <c r="A180" s="28">
        <v>44722.0</v>
      </c>
      <c r="B180" s="749">
        <v>7.3</v>
      </c>
      <c r="C180" s="47">
        <v>11.3</v>
      </c>
      <c r="D180" s="51" t="s">
        <v>5</v>
      </c>
      <c r="E180" s="51" t="s">
        <v>3536</v>
      </c>
      <c r="F180" s="47">
        <v>4.0</v>
      </c>
    </row>
    <row r="181">
      <c r="A181" s="3" t="s">
        <v>7</v>
      </c>
      <c r="B181" s="14"/>
      <c r="C181" s="14"/>
      <c r="D181" s="15"/>
      <c r="E181" s="6"/>
      <c r="F181" s="7">
        <f>F176+F177+F178+F179+F180</f>
        <v>35</v>
      </c>
    </row>
    <row r="182">
      <c r="A182" s="28">
        <v>44725.0</v>
      </c>
      <c r="B182" s="749">
        <v>7.3</v>
      </c>
      <c r="C182" s="750">
        <v>17.0</v>
      </c>
      <c r="D182" s="751" t="s">
        <v>3</v>
      </c>
      <c r="E182" s="752" t="s">
        <v>4</v>
      </c>
      <c r="F182" s="749">
        <v>7.75</v>
      </c>
    </row>
    <row r="183">
      <c r="A183" s="28">
        <v>44726.0</v>
      </c>
      <c r="B183" s="749">
        <v>7.3</v>
      </c>
      <c r="C183" s="750">
        <v>17.0</v>
      </c>
      <c r="D183" s="751" t="s">
        <v>3</v>
      </c>
      <c r="E183" s="752" t="s">
        <v>4</v>
      </c>
      <c r="F183" s="749">
        <v>7.75</v>
      </c>
    </row>
    <row r="184">
      <c r="A184" s="28">
        <v>44727.0</v>
      </c>
      <c r="B184" s="749">
        <v>7.3</v>
      </c>
      <c r="C184" s="750">
        <v>17.0</v>
      </c>
      <c r="D184" s="751" t="s">
        <v>3</v>
      </c>
      <c r="E184" s="752" t="s">
        <v>4</v>
      </c>
      <c r="F184" s="749">
        <v>7.75</v>
      </c>
    </row>
    <row r="185">
      <c r="A185" s="28">
        <v>44728.0</v>
      </c>
      <c r="B185" s="749">
        <v>7.3</v>
      </c>
      <c r="C185" s="750">
        <v>17.0</v>
      </c>
      <c r="D185" s="751" t="s">
        <v>3</v>
      </c>
      <c r="E185" s="752" t="s">
        <v>4</v>
      </c>
      <c r="F185" s="749">
        <v>7.75</v>
      </c>
    </row>
    <row r="186">
      <c r="A186" s="28">
        <v>44729.0</v>
      </c>
      <c r="B186" s="749">
        <v>7.3</v>
      </c>
      <c r="C186" s="47">
        <v>11.3</v>
      </c>
      <c r="D186" s="51" t="s">
        <v>5</v>
      </c>
      <c r="E186" s="51" t="s">
        <v>3536</v>
      </c>
      <c r="F186" s="47">
        <v>4.0</v>
      </c>
    </row>
    <row r="187">
      <c r="A187" s="3" t="s">
        <v>7</v>
      </c>
      <c r="B187" s="14"/>
      <c r="C187" s="14"/>
      <c r="D187" s="15"/>
      <c r="E187" s="6"/>
      <c r="F187" s="7">
        <f>F182+F183+F184+F185+F186</f>
        <v>35</v>
      </c>
    </row>
    <row r="188">
      <c r="A188" s="28">
        <v>44732.0</v>
      </c>
      <c r="B188" s="749">
        <v>7.3</v>
      </c>
      <c r="C188" s="750">
        <v>17.0</v>
      </c>
      <c r="D188" s="751" t="s">
        <v>3</v>
      </c>
      <c r="E188" s="752" t="s">
        <v>4</v>
      </c>
      <c r="F188" s="749">
        <v>7.75</v>
      </c>
    </row>
    <row r="189">
      <c r="A189" s="28">
        <v>44733.0</v>
      </c>
      <c r="B189" s="749">
        <v>7.3</v>
      </c>
      <c r="C189" s="750">
        <v>17.0</v>
      </c>
      <c r="D189" s="751" t="s">
        <v>3</v>
      </c>
      <c r="E189" s="752" t="s">
        <v>4</v>
      </c>
      <c r="F189" s="749">
        <v>7.75</v>
      </c>
    </row>
    <row r="190">
      <c r="A190" s="28">
        <v>44734.0</v>
      </c>
      <c r="B190" s="749">
        <v>7.3</v>
      </c>
      <c r="C190" s="750">
        <v>17.0</v>
      </c>
      <c r="D190" s="751" t="s">
        <v>3</v>
      </c>
      <c r="E190" s="752" t="s">
        <v>4</v>
      </c>
      <c r="F190" s="749">
        <v>7.75</v>
      </c>
    </row>
    <row r="191">
      <c r="A191" s="28">
        <v>44735.0</v>
      </c>
      <c r="B191" s="749">
        <v>7.3</v>
      </c>
      <c r="C191" s="750">
        <v>17.0</v>
      </c>
      <c r="D191" s="751" t="s">
        <v>3</v>
      </c>
      <c r="E191" s="752" t="s">
        <v>4</v>
      </c>
      <c r="F191" s="749">
        <v>7.75</v>
      </c>
    </row>
    <row r="192">
      <c r="A192" s="28">
        <v>44736.0</v>
      </c>
      <c r="B192" s="749">
        <v>7.3</v>
      </c>
      <c r="C192" s="47">
        <v>11.3</v>
      </c>
      <c r="D192" s="51" t="s">
        <v>5</v>
      </c>
      <c r="E192" s="51" t="s">
        <v>3536</v>
      </c>
      <c r="F192" s="47">
        <v>4.0</v>
      </c>
    </row>
    <row r="193">
      <c r="A193" s="3" t="s">
        <v>7</v>
      </c>
      <c r="B193" s="14"/>
      <c r="C193" s="14"/>
      <c r="D193" s="15"/>
      <c r="E193" s="6"/>
      <c r="F193" s="7">
        <f>F188+F189+F190+F191+F192</f>
        <v>35</v>
      </c>
    </row>
    <row r="194">
      <c r="A194" s="28">
        <v>44739.0</v>
      </c>
      <c r="B194" s="749">
        <v>7.3</v>
      </c>
      <c r="C194" s="750">
        <v>17.0</v>
      </c>
      <c r="D194" s="751" t="s">
        <v>3</v>
      </c>
      <c r="E194" s="752" t="s">
        <v>4</v>
      </c>
      <c r="F194" s="749">
        <v>7.75</v>
      </c>
    </row>
    <row r="195">
      <c r="A195" s="28">
        <v>44740.0</v>
      </c>
      <c r="B195" s="749">
        <v>7.3</v>
      </c>
      <c r="C195" s="750">
        <v>17.0</v>
      </c>
      <c r="D195" s="751" t="s">
        <v>3</v>
      </c>
      <c r="E195" s="752" t="s">
        <v>4</v>
      </c>
      <c r="F195" s="749">
        <v>7.75</v>
      </c>
    </row>
    <row r="196">
      <c r="A196" s="28">
        <v>44741.0</v>
      </c>
      <c r="B196" s="749">
        <v>7.3</v>
      </c>
      <c r="C196" s="750">
        <v>17.0</v>
      </c>
      <c r="D196" s="751" t="s">
        <v>3</v>
      </c>
      <c r="E196" s="752" t="s">
        <v>4</v>
      </c>
      <c r="F196" s="749">
        <v>7.75</v>
      </c>
    </row>
    <row r="197">
      <c r="A197" s="28">
        <v>44742.0</v>
      </c>
      <c r="B197" s="749">
        <v>7.3</v>
      </c>
      <c r="C197" s="750">
        <v>17.0</v>
      </c>
      <c r="D197" s="751" t="s">
        <v>3</v>
      </c>
      <c r="E197" s="752" t="s">
        <v>4</v>
      </c>
      <c r="F197" s="749">
        <v>7.75</v>
      </c>
    </row>
    <row r="198">
      <c r="A198" s="3" t="s">
        <v>7</v>
      </c>
      <c r="B198" s="14"/>
      <c r="C198" s="14"/>
      <c r="D198" s="15"/>
      <c r="E198" s="6"/>
      <c r="F198" s="735">
        <f>F196+F197+F194+F195</f>
        <v>31</v>
      </c>
      <c r="M198" s="9" t="s">
        <v>9</v>
      </c>
      <c r="N198" s="10" t="s">
        <v>10</v>
      </c>
      <c r="O198" s="10" t="s">
        <v>1</v>
      </c>
    </row>
    <row r="199">
      <c r="A199" s="13" t="s">
        <v>2</v>
      </c>
      <c r="B199" s="14"/>
      <c r="C199" s="14"/>
      <c r="D199" s="15"/>
      <c r="E199" s="16"/>
      <c r="F199" s="17">
        <f>F183+F189+F195+F198+F177</f>
        <v>62</v>
      </c>
      <c r="G199" s="18">
        <f>SUM(G173:G197)</f>
        <v>0</v>
      </c>
      <c r="H199" s="19" t="str">
        <f>H176</f>
        <v/>
      </c>
      <c r="I199" s="20">
        <f>G199-H199</f>
        <v>0</v>
      </c>
      <c r="J199" s="21" t="s">
        <v>3572</v>
      </c>
      <c r="K199" s="22" t="s">
        <v>3573</v>
      </c>
      <c r="L199" s="23" t="s">
        <v>14</v>
      </c>
      <c r="M199" s="200">
        <v>1817.96</v>
      </c>
      <c r="N199" s="283">
        <v>1266.52</v>
      </c>
      <c r="O199" s="381">
        <v>1488.75</v>
      </c>
    </row>
    <row r="200">
      <c r="A200" s="728" t="s">
        <v>243</v>
      </c>
      <c r="B200" s="728" t="s">
        <v>3445</v>
      </c>
      <c r="C200" s="728" t="s">
        <v>3446</v>
      </c>
      <c r="D200" s="728" t="s">
        <v>3447</v>
      </c>
      <c r="E200" s="728" t="s">
        <v>3448</v>
      </c>
      <c r="F200" s="729" t="s">
        <v>3449</v>
      </c>
      <c r="G200" s="730" t="s">
        <v>3450</v>
      </c>
      <c r="H200" s="731" t="s">
        <v>3451</v>
      </c>
      <c r="I200" s="732" t="s">
        <v>3452</v>
      </c>
      <c r="J200" s="733" t="s">
        <v>50</v>
      </c>
      <c r="K200" s="734" t="s">
        <v>3493</v>
      </c>
    </row>
    <row r="201">
      <c r="A201" s="28">
        <v>44743.0</v>
      </c>
      <c r="B201" s="749">
        <v>7.3</v>
      </c>
      <c r="C201" s="47">
        <v>11.3</v>
      </c>
      <c r="D201" s="51" t="s">
        <v>5</v>
      </c>
      <c r="E201" s="51" t="s">
        <v>3536</v>
      </c>
      <c r="F201" s="47">
        <v>4.0</v>
      </c>
    </row>
    <row r="202">
      <c r="A202" s="3" t="s">
        <v>7</v>
      </c>
      <c r="B202" s="14"/>
      <c r="C202" s="14"/>
      <c r="D202" s="15"/>
      <c r="E202" s="6"/>
      <c r="F202" s="735">
        <f>F201</f>
        <v>4</v>
      </c>
    </row>
    <row r="203">
      <c r="A203" s="28">
        <v>44746.0</v>
      </c>
      <c r="B203" s="749">
        <v>7.3</v>
      </c>
      <c r="C203" s="750">
        <v>17.0</v>
      </c>
      <c r="D203" s="751" t="s">
        <v>3</v>
      </c>
      <c r="E203" s="752" t="s">
        <v>4</v>
      </c>
      <c r="F203" s="749">
        <v>7.75</v>
      </c>
    </row>
    <row r="204">
      <c r="A204" s="28">
        <v>44747.0</v>
      </c>
      <c r="B204" s="749">
        <v>7.3</v>
      </c>
      <c r="C204" s="750">
        <v>17.0</v>
      </c>
      <c r="D204" s="751" t="s">
        <v>3</v>
      </c>
      <c r="E204" s="752" t="s">
        <v>4</v>
      </c>
      <c r="F204" s="749">
        <v>7.75</v>
      </c>
    </row>
    <row r="205">
      <c r="A205" s="28">
        <v>44748.0</v>
      </c>
      <c r="B205" s="749">
        <v>7.3</v>
      </c>
      <c r="C205" s="750">
        <v>17.0</v>
      </c>
      <c r="D205" s="751" t="s">
        <v>3</v>
      </c>
      <c r="E205" s="752" t="s">
        <v>4</v>
      </c>
      <c r="F205" s="749">
        <v>7.75</v>
      </c>
    </row>
    <row r="206">
      <c r="A206" s="28">
        <v>44749.0</v>
      </c>
      <c r="B206" s="749">
        <v>7.3</v>
      </c>
      <c r="C206" s="750">
        <v>17.0</v>
      </c>
      <c r="D206" s="751" t="s">
        <v>3</v>
      </c>
      <c r="E206" s="752" t="s">
        <v>4</v>
      </c>
      <c r="F206" s="749">
        <v>7.75</v>
      </c>
    </row>
    <row r="207">
      <c r="A207" s="28">
        <v>44750.0</v>
      </c>
      <c r="B207" s="749">
        <v>7.3</v>
      </c>
      <c r="C207" s="47">
        <v>11.3</v>
      </c>
      <c r="D207" s="51" t="s">
        <v>5</v>
      </c>
      <c r="E207" s="51" t="s">
        <v>3536</v>
      </c>
      <c r="F207" s="47">
        <v>4.0</v>
      </c>
    </row>
    <row r="208">
      <c r="A208" s="3" t="s">
        <v>7</v>
      </c>
      <c r="B208" s="14"/>
      <c r="C208" s="14"/>
      <c r="D208" s="15"/>
      <c r="E208" s="6"/>
      <c r="F208" s="735">
        <f>F203+F204+F205+F206+F207</f>
        <v>35</v>
      </c>
    </row>
    <row r="209">
      <c r="A209" s="28">
        <v>44753.0</v>
      </c>
      <c r="B209" s="749">
        <v>7.3</v>
      </c>
      <c r="C209" s="750">
        <v>17.0</v>
      </c>
      <c r="D209" s="751" t="s">
        <v>3</v>
      </c>
      <c r="E209" s="752" t="s">
        <v>4</v>
      </c>
      <c r="F209" s="749">
        <v>7.75</v>
      </c>
    </row>
    <row r="210">
      <c r="A210" s="28">
        <v>44754.0</v>
      </c>
      <c r="B210" s="749">
        <v>7.3</v>
      </c>
      <c r="C210" s="750">
        <v>17.0</v>
      </c>
      <c r="D210" s="751" t="s">
        <v>3</v>
      </c>
      <c r="E210" s="752" t="s">
        <v>4</v>
      </c>
      <c r="F210" s="749">
        <v>7.75</v>
      </c>
    </row>
    <row r="211">
      <c r="A211" s="28">
        <v>44755.0</v>
      </c>
      <c r="B211" s="749">
        <v>7.3</v>
      </c>
      <c r="C211" s="750">
        <v>17.0</v>
      </c>
      <c r="D211" s="751" t="s">
        <v>3</v>
      </c>
      <c r="E211" s="752" t="s">
        <v>4</v>
      </c>
      <c r="F211" s="749">
        <v>7.75</v>
      </c>
    </row>
    <row r="212">
      <c r="A212" s="28">
        <v>44756.0</v>
      </c>
      <c r="B212" s="43" t="s">
        <v>24</v>
      </c>
      <c r="E212" s="44" t="s">
        <v>4</v>
      </c>
      <c r="F212" s="45">
        <v>7.75</v>
      </c>
    </row>
    <row r="213">
      <c r="A213" s="28">
        <v>44757.0</v>
      </c>
      <c r="B213" s="648" t="s">
        <v>3574</v>
      </c>
      <c r="E213" s="51" t="s">
        <v>5</v>
      </c>
      <c r="F213" s="47">
        <v>0.0</v>
      </c>
      <c r="H213" s="745">
        <v>4.0</v>
      </c>
    </row>
    <row r="214">
      <c r="A214" s="3" t="s">
        <v>7</v>
      </c>
      <c r="B214" s="14"/>
      <c r="C214" s="14"/>
      <c r="D214" s="15"/>
      <c r="E214" s="6"/>
      <c r="F214" s="735">
        <f>F209+F210+F211+F212+F213</f>
        <v>31</v>
      </c>
    </row>
    <row r="215">
      <c r="A215" s="28">
        <v>44760.0</v>
      </c>
      <c r="B215" s="749">
        <v>7.3</v>
      </c>
      <c r="C215" s="750">
        <v>17.0</v>
      </c>
      <c r="D215" s="751" t="s">
        <v>3</v>
      </c>
      <c r="E215" s="752" t="s">
        <v>4</v>
      </c>
      <c r="F215" s="749">
        <v>7.75</v>
      </c>
    </row>
    <row r="216">
      <c r="A216" s="28">
        <v>44761.0</v>
      </c>
      <c r="B216" s="749">
        <v>7.3</v>
      </c>
      <c r="C216" s="47">
        <v>15.3</v>
      </c>
      <c r="D216" s="751" t="s">
        <v>3</v>
      </c>
      <c r="E216" s="51" t="s">
        <v>3511</v>
      </c>
      <c r="F216" s="51">
        <v>6.25</v>
      </c>
      <c r="H216" s="745">
        <v>1.5</v>
      </c>
    </row>
    <row r="217">
      <c r="A217" s="28">
        <v>44762.0</v>
      </c>
      <c r="B217" s="749">
        <v>7.3</v>
      </c>
      <c r="C217" s="750">
        <v>17.0</v>
      </c>
      <c r="D217" s="751" t="s">
        <v>3</v>
      </c>
      <c r="E217" s="752" t="s">
        <v>4</v>
      </c>
      <c r="F217" s="749">
        <v>7.75</v>
      </c>
    </row>
    <row r="218">
      <c r="A218" s="28">
        <v>44763.0</v>
      </c>
      <c r="B218" s="749">
        <v>7.3</v>
      </c>
      <c r="C218" s="750">
        <v>17.0</v>
      </c>
      <c r="D218" s="751" t="s">
        <v>3</v>
      </c>
      <c r="E218" s="752" t="s">
        <v>4</v>
      </c>
      <c r="F218" s="749">
        <v>7.75</v>
      </c>
    </row>
    <row r="219">
      <c r="A219" s="28">
        <v>44764.0</v>
      </c>
      <c r="B219" s="749">
        <v>7.3</v>
      </c>
      <c r="C219" s="47">
        <v>11.3</v>
      </c>
      <c r="D219" s="51" t="s">
        <v>5</v>
      </c>
      <c r="E219" s="51" t="s">
        <v>3536</v>
      </c>
      <c r="F219" s="47">
        <v>4.0</v>
      </c>
    </row>
    <row r="220">
      <c r="A220" s="3" t="s">
        <v>7</v>
      </c>
      <c r="B220" s="14"/>
      <c r="C220" s="14"/>
      <c r="D220" s="15"/>
      <c r="E220" s="6"/>
      <c r="F220" s="735">
        <f>F215+F216+F217+F218+F219</f>
        <v>33.5</v>
      </c>
    </row>
    <row r="221">
      <c r="A221" s="28">
        <v>44767.0</v>
      </c>
      <c r="B221" s="749">
        <v>7.3</v>
      </c>
      <c r="C221" s="750">
        <v>17.0</v>
      </c>
      <c r="D221" s="751" t="s">
        <v>3</v>
      </c>
      <c r="E221" s="752" t="s">
        <v>4</v>
      </c>
      <c r="F221" s="749">
        <v>7.75</v>
      </c>
    </row>
    <row r="222">
      <c r="A222" s="28">
        <v>44768.0</v>
      </c>
      <c r="B222" s="749">
        <v>7.3</v>
      </c>
      <c r="C222" s="750">
        <v>17.0</v>
      </c>
      <c r="D222" s="751" t="s">
        <v>3</v>
      </c>
      <c r="E222" s="752" t="s">
        <v>4</v>
      </c>
      <c r="F222" s="749">
        <v>7.75</v>
      </c>
    </row>
    <row r="223">
      <c r="A223" s="28">
        <v>44769.0</v>
      </c>
      <c r="B223" s="749">
        <v>7.3</v>
      </c>
      <c r="C223" s="750">
        <v>17.0</v>
      </c>
      <c r="D223" s="751" t="s">
        <v>3</v>
      </c>
      <c r="E223" s="752" t="s">
        <v>4</v>
      </c>
      <c r="F223" s="749">
        <v>7.75</v>
      </c>
    </row>
    <row r="224">
      <c r="A224" s="28">
        <v>44770.0</v>
      </c>
      <c r="B224" s="749">
        <v>7.3</v>
      </c>
      <c r="C224" s="750">
        <v>17.0</v>
      </c>
      <c r="D224" s="751" t="s">
        <v>3</v>
      </c>
      <c r="E224" s="752" t="s">
        <v>4</v>
      </c>
      <c r="F224" s="749">
        <v>7.75</v>
      </c>
    </row>
    <row r="225">
      <c r="A225" s="28">
        <v>44771.0</v>
      </c>
      <c r="B225" s="749">
        <v>7.3</v>
      </c>
      <c r="C225" s="47">
        <v>11.3</v>
      </c>
      <c r="D225" s="51" t="s">
        <v>5</v>
      </c>
      <c r="E225" s="51" t="s">
        <v>3536</v>
      </c>
      <c r="F225" s="47">
        <v>4.0</v>
      </c>
    </row>
    <row r="226">
      <c r="A226" s="3" t="s">
        <v>7</v>
      </c>
      <c r="B226" s="14"/>
      <c r="C226" s="14"/>
      <c r="D226" s="15"/>
      <c r="E226" s="6"/>
      <c r="F226" s="735">
        <f>F221+F222+F223+F224+F225</f>
        <v>35</v>
      </c>
      <c r="M226" s="9" t="s">
        <v>9</v>
      </c>
      <c r="N226" s="10" t="s">
        <v>10</v>
      </c>
      <c r="O226" s="10" t="s">
        <v>1</v>
      </c>
    </row>
    <row r="227">
      <c r="A227" s="13" t="s">
        <v>2</v>
      </c>
      <c r="B227" s="14"/>
      <c r="C227" s="14"/>
      <c r="D227" s="15"/>
      <c r="E227" s="16"/>
      <c r="F227" s="17">
        <f>F202+F208+F214+F220+F226</f>
        <v>138.5</v>
      </c>
      <c r="G227" s="18">
        <f>SUM(G201:G225)</f>
        <v>0</v>
      </c>
      <c r="H227" s="19">
        <f>H213+H216</f>
        <v>5.5</v>
      </c>
      <c r="I227" s="20">
        <f>G227-H227</f>
        <v>-5.5</v>
      </c>
      <c r="J227" s="21" t="s">
        <v>3575</v>
      </c>
      <c r="K227" s="22" t="s">
        <v>3576</v>
      </c>
      <c r="L227" s="23" t="s">
        <v>14</v>
      </c>
      <c r="M227" s="200">
        <v>1762.36</v>
      </c>
      <c r="N227" s="283">
        <v>1208.26</v>
      </c>
      <c r="O227" s="27">
        <v>1443.16</v>
      </c>
    </row>
    <row r="228">
      <c r="A228" s="728" t="s">
        <v>243</v>
      </c>
      <c r="B228" s="728" t="s">
        <v>3445</v>
      </c>
      <c r="C228" s="728" t="s">
        <v>3446</v>
      </c>
      <c r="D228" s="728" t="s">
        <v>3447</v>
      </c>
      <c r="E228" s="728" t="s">
        <v>3448</v>
      </c>
      <c r="F228" s="729" t="s">
        <v>3449</v>
      </c>
      <c r="G228" s="730" t="s">
        <v>3450</v>
      </c>
      <c r="H228" s="731" t="s">
        <v>3451</v>
      </c>
      <c r="I228" s="732" t="s">
        <v>3452</v>
      </c>
      <c r="J228" s="733" t="s">
        <v>50</v>
      </c>
      <c r="K228" s="734" t="s">
        <v>3493</v>
      </c>
    </row>
    <row r="229">
      <c r="A229" s="28">
        <v>44774.0</v>
      </c>
      <c r="B229" s="749">
        <v>7.3</v>
      </c>
      <c r="C229" s="750">
        <v>17.0</v>
      </c>
      <c r="D229" s="751" t="s">
        <v>3</v>
      </c>
      <c r="E229" s="752" t="s">
        <v>4</v>
      </c>
      <c r="F229" s="749">
        <v>7.75</v>
      </c>
    </row>
    <row r="230">
      <c r="A230" s="28">
        <v>44775.0</v>
      </c>
      <c r="B230" s="749">
        <v>7.3</v>
      </c>
      <c r="C230" s="750">
        <v>17.0</v>
      </c>
      <c r="D230" s="751" t="s">
        <v>3</v>
      </c>
      <c r="E230" s="752" t="s">
        <v>4</v>
      </c>
      <c r="F230" s="749">
        <v>7.75</v>
      </c>
    </row>
    <row r="231">
      <c r="A231" s="28">
        <v>44776.0</v>
      </c>
      <c r="B231" s="749">
        <v>7.3</v>
      </c>
      <c r="C231" s="750">
        <v>17.0</v>
      </c>
      <c r="D231" s="751" t="s">
        <v>3</v>
      </c>
      <c r="E231" s="752" t="s">
        <v>4</v>
      </c>
      <c r="F231" s="749">
        <v>7.75</v>
      </c>
    </row>
    <row r="232">
      <c r="A232" s="28">
        <v>44777.0</v>
      </c>
      <c r="B232" s="749">
        <v>7.3</v>
      </c>
      <c r="C232" s="750">
        <v>17.0</v>
      </c>
      <c r="D232" s="769" t="s">
        <v>3</v>
      </c>
      <c r="E232" s="753" t="s">
        <v>4</v>
      </c>
      <c r="F232" s="749">
        <v>7.75</v>
      </c>
      <c r="J232" s="51" t="s">
        <v>3577</v>
      </c>
    </row>
    <row r="233">
      <c r="A233" s="28">
        <v>44778.0</v>
      </c>
      <c r="B233" s="648" t="s">
        <v>3568</v>
      </c>
      <c r="E233" s="44" t="s">
        <v>4</v>
      </c>
      <c r="F233" s="45">
        <v>7.75</v>
      </c>
    </row>
    <row r="234">
      <c r="A234" s="3" t="s">
        <v>7</v>
      </c>
      <c r="B234" s="14"/>
      <c r="C234" s="14"/>
      <c r="D234" s="15"/>
      <c r="E234" s="6"/>
      <c r="F234" s="735">
        <f>F229+F230+F231+F232+F233</f>
        <v>38.75</v>
      </c>
    </row>
    <row r="236">
      <c r="A236" s="33" t="s">
        <v>3578</v>
      </c>
      <c r="G236" s="770"/>
      <c r="M236" s="760"/>
      <c r="N236" s="760"/>
      <c r="O236" s="760"/>
    </row>
    <row r="238">
      <c r="A238" s="28">
        <v>44802.0</v>
      </c>
      <c r="B238" s="749">
        <v>7.3</v>
      </c>
      <c r="C238" s="750">
        <v>17.0</v>
      </c>
      <c r="D238" s="751" t="s">
        <v>3</v>
      </c>
      <c r="E238" s="752" t="s">
        <v>4</v>
      </c>
      <c r="F238" s="749">
        <v>7.75</v>
      </c>
    </row>
    <row r="239">
      <c r="A239" s="28">
        <v>44803.0</v>
      </c>
      <c r="B239" s="749">
        <v>7.3</v>
      </c>
      <c r="C239" s="750">
        <v>17.0</v>
      </c>
      <c r="D239" s="751" t="s">
        <v>3</v>
      </c>
      <c r="E239" s="752" t="s">
        <v>4</v>
      </c>
      <c r="F239" s="749">
        <v>7.75</v>
      </c>
    </row>
    <row r="240">
      <c r="A240" s="28">
        <v>44804.0</v>
      </c>
      <c r="B240" s="749">
        <v>7.3</v>
      </c>
      <c r="C240" s="750">
        <v>17.0</v>
      </c>
      <c r="D240" s="751" t="s">
        <v>3</v>
      </c>
      <c r="E240" s="752" t="s">
        <v>4</v>
      </c>
      <c r="F240" s="749">
        <v>7.75</v>
      </c>
    </row>
    <row r="241">
      <c r="A241" s="3" t="s">
        <v>7</v>
      </c>
      <c r="B241" s="14"/>
      <c r="C241" s="14"/>
      <c r="D241" s="15"/>
      <c r="E241" s="6"/>
      <c r="F241" s="735">
        <f>F236+F237+F238+F239+F240</f>
        <v>23.25</v>
      </c>
      <c r="M241" s="9" t="s">
        <v>9</v>
      </c>
      <c r="N241" s="10" t="s">
        <v>10</v>
      </c>
      <c r="O241" s="10" t="s">
        <v>1</v>
      </c>
    </row>
    <row r="242">
      <c r="A242" s="13" t="s">
        <v>2</v>
      </c>
      <c r="B242" s="14"/>
      <c r="C242" s="14"/>
      <c r="D242" s="15"/>
      <c r="E242" s="16"/>
      <c r="F242" s="17">
        <f>F229+F230+F231+F232+F238+F239+F240</f>
        <v>54.25</v>
      </c>
      <c r="G242" s="18">
        <f>SUM(G216:G240)</f>
        <v>0</v>
      </c>
      <c r="H242" s="19" t="str">
        <f>H231</f>
        <v/>
      </c>
      <c r="I242" s="20">
        <f>G242-H242</f>
        <v>0</v>
      </c>
      <c r="J242" s="21" t="s">
        <v>3579</v>
      </c>
      <c r="K242" s="22" t="s">
        <v>3580</v>
      </c>
      <c r="L242" s="23" t="s">
        <v>14</v>
      </c>
      <c r="M242" s="200">
        <v>1853.43</v>
      </c>
      <c r="N242" s="283">
        <v>1289.85</v>
      </c>
      <c r="O242" s="27">
        <v>1517.84</v>
      </c>
    </row>
    <row r="243">
      <c r="A243" s="728" t="s">
        <v>243</v>
      </c>
      <c r="B243" s="728" t="s">
        <v>3445</v>
      </c>
      <c r="C243" s="728" t="s">
        <v>3446</v>
      </c>
      <c r="D243" s="728" t="s">
        <v>3447</v>
      </c>
      <c r="E243" s="728" t="s">
        <v>3448</v>
      </c>
      <c r="F243" s="729" t="s">
        <v>3449</v>
      </c>
      <c r="G243" s="730" t="s">
        <v>3450</v>
      </c>
      <c r="H243" s="731" t="s">
        <v>3451</v>
      </c>
      <c r="I243" s="732" t="s">
        <v>3452</v>
      </c>
      <c r="J243" s="733" t="s">
        <v>50</v>
      </c>
      <c r="K243" s="734" t="s">
        <v>3493</v>
      </c>
    </row>
    <row r="244">
      <c r="A244" s="28">
        <v>44805.0</v>
      </c>
      <c r="B244" s="749">
        <v>7.3</v>
      </c>
      <c r="C244" s="750">
        <v>17.0</v>
      </c>
      <c r="D244" s="751" t="s">
        <v>3</v>
      </c>
      <c r="E244" s="752" t="s">
        <v>4</v>
      </c>
      <c r="F244" s="749">
        <v>7.75</v>
      </c>
    </row>
    <row r="245">
      <c r="A245" s="28">
        <v>44806.0</v>
      </c>
      <c r="B245" s="749">
        <v>7.3</v>
      </c>
      <c r="C245" s="47">
        <v>11.3</v>
      </c>
      <c r="D245" s="51" t="s">
        <v>5</v>
      </c>
      <c r="E245" s="51" t="s">
        <v>3536</v>
      </c>
      <c r="F245" s="47">
        <v>4.0</v>
      </c>
    </row>
    <row r="246">
      <c r="A246" s="3" t="s">
        <v>7</v>
      </c>
      <c r="B246" s="14"/>
      <c r="C246" s="14"/>
      <c r="D246" s="15"/>
      <c r="E246" s="6"/>
      <c r="F246" s="735"/>
    </row>
    <row r="247">
      <c r="A247" s="28">
        <v>44809.0</v>
      </c>
      <c r="B247" s="749">
        <v>7.3</v>
      </c>
      <c r="C247" s="750">
        <v>17.0</v>
      </c>
      <c r="D247" s="751" t="s">
        <v>3</v>
      </c>
      <c r="E247" s="752" t="s">
        <v>4</v>
      </c>
      <c r="F247" s="749">
        <v>7.75</v>
      </c>
    </row>
    <row r="248">
      <c r="A248" s="28">
        <v>44810.0</v>
      </c>
      <c r="B248" s="749">
        <v>7.3</v>
      </c>
      <c r="C248" s="750">
        <v>17.0</v>
      </c>
      <c r="D248" s="751" t="s">
        <v>3</v>
      </c>
      <c r="E248" s="752" t="s">
        <v>4</v>
      </c>
      <c r="F248" s="749">
        <v>7.75</v>
      </c>
    </row>
    <row r="249">
      <c r="A249" s="28">
        <v>44811.0</v>
      </c>
      <c r="B249" s="749">
        <v>7.3</v>
      </c>
      <c r="C249" s="750">
        <v>17.0</v>
      </c>
      <c r="D249" s="751" t="s">
        <v>3</v>
      </c>
      <c r="E249" s="752" t="s">
        <v>4</v>
      </c>
      <c r="F249" s="749">
        <v>7.75</v>
      </c>
    </row>
    <row r="250">
      <c r="A250" s="28">
        <v>44812.0</v>
      </c>
      <c r="B250" s="749">
        <v>7.3</v>
      </c>
      <c r="C250" s="750">
        <v>17.0</v>
      </c>
      <c r="D250" s="751" t="s">
        <v>3</v>
      </c>
      <c r="E250" s="752" t="s">
        <v>4</v>
      </c>
      <c r="F250" s="749">
        <v>7.75</v>
      </c>
    </row>
    <row r="251">
      <c r="A251" s="28">
        <v>44813.0</v>
      </c>
      <c r="B251" s="749">
        <v>7.3</v>
      </c>
      <c r="C251" s="47">
        <v>11.3</v>
      </c>
      <c r="D251" s="51" t="s">
        <v>5</v>
      </c>
      <c r="E251" s="51" t="s">
        <v>3536</v>
      </c>
      <c r="F251" s="47">
        <v>4.0</v>
      </c>
    </row>
    <row r="252">
      <c r="A252" s="3" t="s">
        <v>7</v>
      </c>
      <c r="B252" s="14"/>
      <c r="C252" s="14"/>
      <c r="D252" s="15"/>
      <c r="E252" s="6"/>
      <c r="F252" s="735">
        <f>F247+F248+F249+F250+F251</f>
        <v>35</v>
      </c>
    </row>
    <row r="253">
      <c r="A253" s="28">
        <v>44816.0</v>
      </c>
      <c r="B253" s="749">
        <v>7.3</v>
      </c>
      <c r="C253" s="750">
        <v>17.0</v>
      </c>
      <c r="D253" s="751" t="s">
        <v>3</v>
      </c>
      <c r="E253" s="752" t="s">
        <v>4</v>
      </c>
      <c r="F253" s="749">
        <v>7.75</v>
      </c>
    </row>
    <row r="254">
      <c r="A254" s="28">
        <v>44817.0</v>
      </c>
      <c r="B254" s="749">
        <v>7.3</v>
      </c>
      <c r="C254" s="750">
        <v>17.0</v>
      </c>
      <c r="D254" s="751" t="s">
        <v>3</v>
      </c>
      <c r="E254" s="752" t="s">
        <v>4</v>
      </c>
      <c r="F254" s="749">
        <v>7.75</v>
      </c>
    </row>
    <row r="255">
      <c r="A255" s="28">
        <v>44818.0</v>
      </c>
      <c r="B255" s="749">
        <v>7.3</v>
      </c>
      <c r="C255" s="750">
        <v>17.0</v>
      </c>
      <c r="D255" s="751" t="s">
        <v>3</v>
      </c>
      <c r="E255" s="752" t="s">
        <v>4</v>
      </c>
      <c r="F255" s="749">
        <v>7.75</v>
      </c>
    </row>
    <row r="256">
      <c r="A256" s="28">
        <v>44819.0</v>
      </c>
      <c r="B256" s="749">
        <v>7.3</v>
      </c>
      <c r="C256" s="750">
        <v>17.0</v>
      </c>
      <c r="D256" s="751" t="s">
        <v>3</v>
      </c>
      <c r="E256" s="752" t="s">
        <v>4</v>
      </c>
      <c r="F256" s="749">
        <v>7.75</v>
      </c>
    </row>
    <row r="257">
      <c r="A257" s="28">
        <v>44820.0</v>
      </c>
      <c r="B257" s="749">
        <v>7.3</v>
      </c>
      <c r="C257" s="47">
        <v>11.3</v>
      </c>
      <c r="D257" s="51" t="s">
        <v>5</v>
      </c>
      <c r="E257" s="51" t="s">
        <v>3536</v>
      </c>
      <c r="F257" s="47">
        <v>4.0</v>
      </c>
    </row>
    <row r="258">
      <c r="A258" s="3" t="s">
        <v>7</v>
      </c>
      <c r="B258" s="14"/>
      <c r="C258" s="14"/>
      <c r="D258" s="15"/>
      <c r="E258" s="6"/>
      <c r="F258" s="735">
        <f>F253+F254+F255+F256+F257</f>
        <v>35</v>
      </c>
    </row>
    <row r="259">
      <c r="A259" s="28">
        <v>44823.0</v>
      </c>
      <c r="B259" s="749">
        <v>7.3</v>
      </c>
      <c r="C259" s="750">
        <v>17.0</v>
      </c>
      <c r="D259" s="751" t="s">
        <v>3</v>
      </c>
      <c r="E259" s="752" t="s">
        <v>4</v>
      </c>
      <c r="F259" s="749">
        <v>7.75</v>
      </c>
    </row>
    <row r="260">
      <c r="A260" s="28">
        <v>44824.0</v>
      </c>
      <c r="B260" s="749">
        <v>7.3</v>
      </c>
      <c r="C260" s="750">
        <v>17.0</v>
      </c>
      <c r="D260" s="751" t="s">
        <v>3</v>
      </c>
      <c r="E260" s="752" t="s">
        <v>4</v>
      </c>
      <c r="F260" s="749">
        <v>7.75</v>
      </c>
    </row>
    <row r="261">
      <c r="A261" s="28">
        <v>44825.0</v>
      </c>
      <c r="B261" s="749">
        <v>7.3</v>
      </c>
      <c r="C261" s="750">
        <v>17.0</v>
      </c>
      <c r="D261" s="751" t="s">
        <v>3</v>
      </c>
      <c r="E261" s="752" t="s">
        <v>4</v>
      </c>
      <c r="F261" s="749">
        <v>7.75</v>
      </c>
    </row>
    <row r="262">
      <c r="A262" s="28">
        <v>44826.0</v>
      </c>
      <c r="B262" s="749">
        <v>7.3</v>
      </c>
      <c r="C262" s="750">
        <v>17.0</v>
      </c>
      <c r="D262" s="751" t="s">
        <v>3</v>
      </c>
      <c r="E262" s="752" t="s">
        <v>4</v>
      </c>
      <c r="F262" s="749">
        <v>7.75</v>
      </c>
    </row>
    <row r="263">
      <c r="A263" s="28">
        <v>44827.0</v>
      </c>
      <c r="B263" s="756">
        <v>7.3</v>
      </c>
      <c r="C263" s="756">
        <v>16.15</v>
      </c>
      <c r="D263" s="757" t="s">
        <v>3540</v>
      </c>
      <c r="E263" s="757" t="s">
        <v>3515</v>
      </c>
      <c r="F263" s="756">
        <v>7.0</v>
      </c>
      <c r="G263" s="758">
        <v>3.0</v>
      </c>
    </row>
    <row r="264">
      <c r="A264" s="3" t="s">
        <v>7</v>
      </c>
      <c r="B264" s="14"/>
      <c r="C264" s="14"/>
      <c r="D264" s="15"/>
      <c r="E264" s="6"/>
      <c r="F264" s="735">
        <f>F259+F260+F261+F262+F263</f>
        <v>38</v>
      </c>
    </row>
    <row r="265">
      <c r="A265" s="28">
        <v>44830.0</v>
      </c>
      <c r="B265" s="749">
        <v>7.3</v>
      </c>
      <c r="C265" s="750">
        <v>17.0</v>
      </c>
      <c r="D265" s="751" t="s">
        <v>3</v>
      </c>
      <c r="E265" s="752" t="s">
        <v>4</v>
      </c>
      <c r="F265" s="749">
        <v>7.75</v>
      </c>
    </row>
    <row r="266">
      <c r="A266" s="28">
        <v>44831.0</v>
      </c>
      <c r="B266" s="749">
        <v>7.3</v>
      </c>
      <c r="C266" s="750">
        <v>17.0</v>
      </c>
      <c r="D266" s="751" t="s">
        <v>3</v>
      </c>
      <c r="E266" s="752" t="s">
        <v>4</v>
      </c>
      <c r="F266" s="749">
        <v>7.75</v>
      </c>
    </row>
    <row r="267">
      <c r="A267" s="28">
        <v>44832.0</v>
      </c>
      <c r="B267" s="749">
        <v>7.3</v>
      </c>
      <c r="C267" s="771">
        <v>12.15</v>
      </c>
      <c r="D267" s="769" t="s">
        <v>5</v>
      </c>
      <c r="E267" s="753" t="s">
        <v>20</v>
      </c>
      <c r="F267" s="754">
        <v>4.75</v>
      </c>
      <c r="H267" s="745">
        <v>3.0</v>
      </c>
      <c r="J267" s="51" t="s">
        <v>3581</v>
      </c>
    </row>
    <row r="268">
      <c r="A268" s="28">
        <v>44833.0</v>
      </c>
      <c r="B268" s="749">
        <v>7.3</v>
      </c>
      <c r="C268" s="750">
        <v>17.0</v>
      </c>
      <c r="D268" s="751" t="s">
        <v>3</v>
      </c>
      <c r="E268" s="752" t="s">
        <v>4</v>
      </c>
      <c r="F268" s="749">
        <v>7.75</v>
      </c>
    </row>
    <row r="269">
      <c r="A269" s="28">
        <v>44834.0</v>
      </c>
      <c r="B269" s="29">
        <v>7.3</v>
      </c>
      <c r="C269" s="29">
        <v>16.15</v>
      </c>
      <c r="D269" s="32" t="s">
        <v>3540</v>
      </c>
      <c r="E269" s="32" t="s">
        <v>3515</v>
      </c>
      <c r="F269" s="29">
        <v>7.0</v>
      </c>
      <c r="G269" s="758">
        <v>3.0</v>
      </c>
    </row>
    <row r="270">
      <c r="A270" s="3" t="s">
        <v>7</v>
      </c>
      <c r="B270" s="14"/>
      <c r="C270" s="14"/>
      <c r="D270" s="15"/>
      <c r="E270" s="6"/>
      <c r="F270" s="735">
        <f>F265+F266+F267+F268+F269</f>
        <v>35</v>
      </c>
      <c r="M270" s="9" t="s">
        <v>9</v>
      </c>
      <c r="N270" s="10" t="s">
        <v>10</v>
      </c>
      <c r="O270" s="10" t="s">
        <v>1</v>
      </c>
    </row>
    <row r="271">
      <c r="A271" s="13" t="s">
        <v>2</v>
      </c>
      <c r="B271" s="14"/>
      <c r="C271" s="14"/>
      <c r="D271" s="15"/>
      <c r="E271" s="16"/>
      <c r="F271" s="17">
        <f>F258+F259+F260+F261+F267+F268+F269</f>
        <v>77.75</v>
      </c>
      <c r="G271" s="18">
        <f>SUM(G245:G269)</f>
        <v>6</v>
      </c>
      <c r="H271" s="19">
        <f>H267</f>
        <v>3</v>
      </c>
      <c r="I271" s="20">
        <f>G271-H271</f>
        <v>3</v>
      </c>
      <c r="J271" s="21" t="s">
        <v>3582</v>
      </c>
      <c r="K271" s="22" t="s">
        <v>3583</v>
      </c>
      <c r="L271" s="23" t="s">
        <v>14</v>
      </c>
      <c r="M271" s="200">
        <v>1672.35</v>
      </c>
      <c r="N271" s="283">
        <v>1189.26</v>
      </c>
      <c r="O271" s="27">
        <v>1369.34</v>
      </c>
    </row>
    <row r="272">
      <c r="A272" s="728" t="s">
        <v>243</v>
      </c>
      <c r="B272" s="728" t="s">
        <v>3445</v>
      </c>
      <c r="C272" s="728" t="s">
        <v>3446</v>
      </c>
      <c r="D272" s="728" t="s">
        <v>3447</v>
      </c>
      <c r="E272" s="728" t="s">
        <v>3448</v>
      </c>
      <c r="F272" s="729" t="s">
        <v>3449</v>
      </c>
      <c r="G272" s="730" t="s">
        <v>3450</v>
      </c>
      <c r="H272" s="731" t="s">
        <v>3451</v>
      </c>
      <c r="I272" s="732" t="s">
        <v>3452</v>
      </c>
      <c r="J272" s="733" t="s">
        <v>50</v>
      </c>
      <c r="K272" s="734" t="s">
        <v>3493</v>
      </c>
    </row>
    <row r="273">
      <c r="A273" s="28">
        <v>44837.0</v>
      </c>
      <c r="B273" s="749">
        <v>7.3</v>
      </c>
      <c r="C273" s="750">
        <v>17.0</v>
      </c>
      <c r="D273" s="751" t="s">
        <v>3</v>
      </c>
      <c r="E273" s="752" t="s">
        <v>4</v>
      </c>
      <c r="F273" s="749">
        <v>7.75</v>
      </c>
    </row>
    <row r="274">
      <c r="A274" s="28">
        <v>44838.0</v>
      </c>
      <c r="B274" s="749">
        <v>7.3</v>
      </c>
      <c r="C274" s="750">
        <v>17.0</v>
      </c>
      <c r="D274" s="751" t="s">
        <v>3</v>
      </c>
      <c r="E274" s="752" t="s">
        <v>4</v>
      </c>
      <c r="F274" s="749">
        <v>7.75</v>
      </c>
    </row>
    <row r="275">
      <c r="A275" s="28">
        <v>44839.0</v>
      </c>
      <c r="B275" s="749">
        <v>7.3</v>
      </c>
      <c r="C275" s="750">
        <v>17.0</v>
      </c>
      <c r="D275" s="751" t="s">
        <v>3</v>
      </c>
      <c r="E275" s="752" t="s">
        <v>4</v>
      </c>
      <c r="F275" s="749">
        <v>7.75</v>
      </c>
    </row>
    <row r="276">
      <c r="A276" s="28">
        <v>44840.0</v>
      </c>
      <c r="B276" s="749">
        <v>7.3</v>
      </c>
      <c r="C276" s="750">
        <v>17.0</v>
      </c>
      <c r="D276" s="751" t="s">
        <v>3</v>
      </c>
      <c r="E276" s="752" t="s">
        <v>4</v>
      </c>
      <c r="F276" s="749">
        <v>7.75</v>
      </c>
    </row>
    <row r="277">
      <c r="A277" s="28">
        <v>44841.0</v>
      </c>
      <c r="B277" s="749">
        <v>7.3</v>
      </c>
      <c r="C277" s="47">
        <v>11.3</v>
      </c>
      <c r="D277" s="51" t="s">
        <v>5</v>
      </c>
      <c r="E277" s="51" t="s">
        <v>3536</v>
      </c>
      <c r="F277" s="47">
        <v>4.0</v>
      </c>
    </row>
    <row r="278">
      <c r="A278" s="3" t="s">
        <v>7</v>
      </c>
      <c r="B278" s="14"/>
      <c r="C278" s="14"/>
      <c r="D278" s="15"/>
      <c r="E278" s="6"/>
      <c r="F278" s="735">
        <f>F273+F274+F275+F276+F277</f>
        <v>35</v>
      </c>
    </row>
    <row r="279">
      <c r="A279" s="28">
        <v>44844.0</v>
      </c>
      <c r="B279" s="29">
        <v>7.3</v>
      </c>
      <c r="C279" s="29">
        <v>17.0</v>
      </c>
      <c r="D279" s="30" t="s">
        <v>3</v>
      </c>
      <c r="E279" s="30" t="s">
        <v>4</v>
      </c>
      <c r="F279" s="29">
        <v>7.75</v>
      </c>
    </row>
    <row r="280">
      <c r="A280" s="28">
        <v>44845.0</v>
      </c>
      <c r="B280" s="29">
        <v>7.3</v>
      </c>
      <c r="C280" s="29">
        <v>17.0</v>
      </c>
      <c r="D280" s="30" t="s">
        <v>3</v>
      </c>
      <c r="E280" s="30" t="s">
        <v>4</v>
      </c>
      <c r="F280" s="29">
        <v>7.75</v>
      </c>
    </row>
    <row r="281">
      <c r="A281" s="28">
        <v>44846.0</v>
      </c>
      <c r="B281" s="29">
        <v>7.3</v>
      </c>
      <c r="C281" s="29">
        <v>17.0</v>
      </c>
      <c r="D281" s="30" t="s">
        <v>3</v>
      </c>
      <c r="E281" s="30" t="s">
        <v>4</v>
      </c>
      <c r="F281" s="29">
        <v>7.75</v>
      </c>
    </row>
    <row r="282">
      <c r="A282" s="28">
        <v>44847.0</v>
      </c>
      <c r="B282" s="29">
        <v>7.3</v>
      </c>
      <c r="C282" s="29">
        <v>17.0</v>
      </c>
      <c r="D282" s="30" t="s">
        <v>3</v>
      </c>
      <c r="E282" s="30" t="s">
        <v>4</v>
      </c>
      <c r="F282" s="29">
        <v>7.75</v>
      </c>
    </row>
    <row r="283">
      <c r="A283" s="28">
        <v>44848.0</v>
      </c>
      <c r="B283" s="29">
        <v>7.3</v>
      </c>
      <c r="C283" s="29">
        <v>11.3</v>
      </c>
      <c r="D283" s="32" t="s">
        <v>5</v>
      </c>
      <c r="E283" s="32" t="s">
        <v>3536</v>
      </c>
      <c r="F283" s="29">
        <v>4.0</v>
      </c>
    </row>
    <row r="284">
      <c r="A284" s="3" t="s">
        <v>7</v>
      </c>
      <c r="B284" s="14"/>
      <c r="C284" s="14"/>
      <c r="D284" s="15"/>
      <c r="E284" s="6"/>
      <c r="F284" s="735">
        <f>F279+F280+F281+F282+F283</f>
        <v>35</v>
      </c>
    </row>
    <row r="285">
      <c r="A285" s="28">
        <v>44851.0</v>
      </c>
      <c r="B285" s="29">
        <v>7.3</v>
      </c>
      <c r="C285" s="29">
        <v>17.0</v>
      </c>
      <c r="D285" s="30" t="s">
        <v>3</v>
      </c>
      <c r="E285" s="30" t="s">
        <v>4</v>
      </c>
      <c r="F285" s="29">
        <v>7.75</v>
      </c>
    </row>
    <row r="286">
      <c r="A286" s="28">
        <v>44852.0</v>
      </c>
      <c r="B286" s="29">
        <v>7.3</v>
      </c>
      <c r="C286" s="29">
        <v>17.0</v>
      </c>
      <c r="D286" s="30" t="s">
        <v>3</v>
      </c>
      <c r="E286" s="30" t="s">
        <v>4</v>
      </c>
      <c r="F286" s="29">
        <v>7.75</v>
      </c>
    </row>
    <row r="287">
      <c r="A287" s="28">
        <v>44853.0</v>
      </c>
      <c r="B287" s="29">
        <v>7.3</v>
      </c>
      <c r="C287" s="29">
        <v>17.0</v>
      </c>
      <c r="D287" s="30" t="s">
        <v>3</v>
      </c>
      <c r="E287" s="30" t="s">
        <v>4</v>
      </c>
      <c r="F287" s="29">
        <v>7.75</v>
      </c>
    </row>
    <row r="288">
      <c r="A288" s="28">
        <v>44854.0</v>
      </c>
      <c r="B288" s="29">
        <v>7.3</v>
      </c>
      <c r="C288" s="29">
        <v>17.0</v>
      </c>
      <c r="D288" s="30" t="s">
        <v>3</v>
      </c>
      <c r="E288" s="30" t="s">
        <v>4</v>
      </c>
      <c r="F288" s="29">
        <v>7.75</v>
      </c>
    </row>
    <row r="289">
      <c r="A289" s="28">
        <v>44855.0</v>
      </c>
      <c r="B289" s="29">
        <v>7.3</v>
      </c>
      <c r="C289" s="29">
        <v>11.3</v>
      </c>
      <c r="D289" s="32" t="s">
        <v>5</v>
      </c>
      <c r="E289" s="32" t="s">
        <v>3536</v>
      </c>
      <c r="F289" s="29">
        <v>4.0</v>
      </c>
    </row>
    <row r="290">
      <c r="A290" s="3" t="s">
        <v>7</v>
      </c>
      <c r="B290" s="14"/>
      <c r="C290" s="14"/>
      <c r="D290" s="15"/>
      <c r="E290" s="6"/>
      <c r="F290" s="735">
        <f>F285+F286+F287+F288+F289</f>
        <v>35</v>
      </c>
    </row>
    <row r="291">
      <c r="A291" s="28">
        <v>44858.0</v>
      </c>
      <c r="B291" s="29">
        <v>7.3</v>
      </c>
      <c r="C291" s="29">
        <v>17.0</v>
      </c>
      <c r="D291" s="30" t="s">
        <v>3</v>
      </c>
      <c r="E291" s="30" t="s">
        <v>4</v>
      </c>
      <c r="F291" s="29">
        <v>7.75</v>
      </c>
    </row>
    <row r="292">
      <c r="A292" s="28">
        <v>44859.0</v>
      </c>
      <c r="B292" s="29">
        <v>7.3</v>
      </c>
      <c r="C292" s="29">
        <v>17.0</v>
      </c>
      <c r="D292" s="30" t="s">
        <v>3</v>
      </c>
      <c r="E292" s="30" t="s">
        <v>4</v>
      </c>
      <c r="F292" s="29">
        <v>7.75</v>
      </c>
    </row>
    <row r="293">
      <c r="A293" s="28">
        <v>44860.0</v>
      </c>
      <c r="B293" s="29">
        <v>7.3</v>
      </c>
      <c r="C293" s="29">
        <v>17.0</v>
      </c>
      <c r="D293" s="30" t="s">
        <v>3</v>
      </c>
      <c r="E293" s="30" t="s">
        <v>4</v>
      </c>
      <c r="F293" s="29">
        <v>7.75</v>
      </c>
    </row>
    <row r="294">
      <c r="A294" s="28">
        <v>44861.0</v>
      </c>
      <c r="B294" s="29">
        <v>7.3</v>
      </c>
      <c r="C294" s="29">
        <v>17.0</v>
      </c>
      <c r="D294" s="30" t="s">
        <v>3</v>
      </c>
      <c r="E294" s="30" t="s">
        <v>4</v>
      </c>
      <c r="F294" s="29">
        <v>7.75</v>
      </c>
    </row>
    <row r="295">
      <c r="A295" s="28">
        <v>44862.0</v>
      </c>
      <c r="B295" s="29">
        <v>7.3</v>
      </c>
      <c r="C295" s="29">
        <v>11.3</v>
      </c>
      <c r="D295" s="32" t="s">
        <v>5</v>
      </c>
      <c r="E295" s="32" t="s">
        <v>3536</v>
      </c>
      <c r="F295" s="29">
        <v>4.0</v>
      </c>
    </row>
    <row r="296">
      <c r="A296" s="3" t="s">
        <v>7</v>
      </c>
      <c r="B296" s="14"/>
      <c r="C296" s="14"/>
      <c r="D296" s="15"/>
      <c r="E296" s="6"/>
      <c r="F296" s="735">
        <f>F291+F292+F293+F294+F295</f>
        <v>35</v>
      </c>
    </row>
    <row r="297">
      <c r="A297" s="28">
        <v>44865.0</v>
      </c>
      <c r="B297" s="648" t="s">
        <v>3574</v>
      </c>
      <c r="E297" s="51" t="s">
        <v>5</v>
      </c>
      <c r="F297" s="47">
        <v>0.0</v>
      </c>
      <c r="H297" s="745">
        <v>4.0</v>
      </c>
    </row>
    <row r="298">
      <c r="A298" s="3" t="s">
        <v>7</v>
      </c>
      <c r="B298" s="14"/>
      <c r="C298" s="14"/>
      <c r="D298" s="15"/>
      <c r="E298" s="6"/>
      <c r="F298" s="735">
        <f>F293+F294+F295+F296+F297</f>
        <v>54.5</v>
      </c>
      <c r="M298" s="9" t="s">
        <v>9</v>
      </c>
      <c r="N298" s="10" t="s">
        <v>10</v>
      </c>
      <c r="O298" s="10" t="s">
        <v>1</v>
      </c>
    </row>
    <row r="299">
      <c r="A299" s="13" t="s">
        <v>2</v>
      </c>
      <c r="B299" s="14"/>
      <c r="C299" s="14"/>
      <c r="D299" s="15"/>
      <c r="E299" s="16"/>
      <c r="F299" s="17">
        <f>F286+F287+F288+F289+F295+F296+F297</f>
        <v>66.25</v>
      </c>
      <c r="G299" s="18">
        <f>SUM(G273:G297)</f>
        <v>0</v>
      </c>
      <c r="H299" s="19">
        <f>H297</f>
        <v>4</v>
      </c>
      <c r="I299" s="20">
        <f>G299-H299</f>
        <v>-4</v>
      </c>
      <c r="J299" s="21" t="s">
        <v>3584</v>
      </c>
      <c r="K299" s="22" t="s">
        <v>3585</v>
      </c>
      <c r="L299" s="23" t="s">
        <v>14</v>
      </c>
      <c r="M299" s="200">
        <v>1852.37</v>
      </c>
      <c r="N299" s="283">
        <v>1274.76</v>
      </c>
      <c r="O299" s="27">
        <v>1516.97</v>
      </c>
    </row>
    <row r="300">
      <c r="A300" s="728" t="s">
        <v>243</v>
      </c>
      <c r="B300" s="728" t="s">
        <v>3445</v>
      </c>
      <c r="C300" s="728" t="s">
        <v>3446</v>
      </c>
      <c r="D300" s="728" t="s">
        <v>3447</v>
      </c>
      <c r="E300" s="728" t="s">
        <v>3448</v>
      </c>
      <c r="F300" s="729" t="s">
        <v>3449</v>
      </c>
      <c r="G300" s="730" t="s">
        <v>3450</v>
      </c>
      <c r="H300" s="731" t="s">
        <v>3451</v>
      </c>
      <c r="I300" s="732" t="s">
        <v>3452</v>
      </c>
      <c r="J300" s="733" t="s">
        <v>50</v>
      </c>
      <c r="K300" s="734" t="s">
        <v>3493</v>
      </c>
    </row>
    <row r="301">
      <c r="A301" s="28">
        <v>44866.0</v>
      </c>
      <c r="B301" s="43" t="s">
        <v>24</v>
      </c>
      <c r="E301" s="44" t="s">
        <v>4</v>
      </c>
      <c r="F301" s="45">
        <v>7.75</v>
      </c>
    </row>
    <row r="302">
      <c r="A302" s="28">
        <v>44867.0</v>
      </c>
      <c r="B302" s="29">
        <v>7.3</v>
      </c>
      <c r="C302" s="29">
        <v>17.0</v>
      </c>
      <c r="D302" s="30" t="s">
        <v>3</v>
      </c>
      <c r="E302" s="30" t="s">
        <v>4</v>
      </c>
      <c r="F302" s="29">
        <v>7.75</v>
      </c>
    </row>
    <row r="303">
      <c r="A303" s="28">
        <v>44868.0</v>
      </c>
      <c r="B303" s="29">
        <v>7.3</v>
      </c>
      <c r="C303" s="29">
        <v>17.0</v>
      </c>
      <c r="D303" s="30" t="s">
        <v>3</v>
      </c>
      <c r="E303" s="30" t="s">
        <v>4</v>
      </c>
      <c r="F303" s="29">
        <v>7.75</v>
      </c>
    </row>
    <row r="304">
      <c r="A304" s="28">
        <v>44869.0</v>
      </c>
      <c r="B304" s="29">
        <v>7.3</v>
      </c>
      <c r="C304" s="29">
        <v>11.3</v>
      </c>
      <c r="D304" s="32" t="s">
        <v>5</v>
      </c>
      <c r="E304" s="32" t="s">
        <v>3536</v>
      </c>
      <c r="F304" s="29">
        <v>4.0</v>
      </c>
    </row>
    <row r="305">
      <c r="A305" s="3" t="s">
        <v>7</v>
      </c>
      <c r="B305" s="14"/>
      <c r="C305" s="14"/>
      <c r="D305" s="15"/>
      <c r="E305" s="6"/>
      <c r="F305" s="735"/>
    </row>
    <row r="306">
      <c r="A306" s="28">
        <v>44872.0</v>
      </c>
      <c r="B306" s="29">
        <v>7.3</v>
      </c>
      <c r="C306" s="29">
        <v>17.0</v>
      </c>
      <c r="D306" s="30" t="s">
        <v>3</v>
      </c>
      <c r="E306" s="30" t="s">
        <v>4</v>
      </c>
      <c r="F306" s="29">
        <v>7.75</v>
      </c>
    </row>
    <row r="307">
      <c r="A307" s="28">
        <v>44873.0</v>
      </c>
      <c r="B307" s="29">
        <v>7.3</v>
      </c>
      <c r="C307" s="29">
        <v>17.0</v>
      </c>
      <c r="D307" s="30" t="s">
        <v>3</v>
      </c>
      <c r="E307" s="30" t="s">
        <v>4</v>
      </c>
      <c r="F307" s="29">
        <v>7.75</v>
      </c>
    </row>
    <row r="308">
      <c r="A308" s="28">
        <v>44874.0</v>
      </c>
      <c r="B308" s="29">
        <v>7.3</v>
      </c>
      <c r="C308" s="29">
        <v>17.0</v>
      </c>
      <c r="D308" s="30" t="s">
        <v>3</v>
      </c>
      <c r="E308" s="30" t="s">
        <v>4</v>
      </c>
      <c r="F308" s="29">
        <v>7.75</v>
      </c>
    </row>
    <row r="309">
      <c r="A309" s="28">
        <v>44875.0</v>
      </c>
      <c r="B309" s="29">
        <v>7.3</v>
      </c>
      <c r="C309" s="29">
        <v>17.0</v>
      </c>
      <c r="D309" s="30" t="s">
        <v>3</v>
      </c>
      <c r="E309" s="30" t="s">
        <v>4</v>
      </c>
      <c r="F309" s="29">
        <v>7.75</v>
      </c>
    </row>
    <row r="310">
      <c r="A310" s="28">
        <v>44876.0</v>
      </c>
      <c r="B310" s="772" t="s">
        <v>24</v>
      </c>
      <c r="E310" s="773" t="s">
        <v>4</v>
      </c>
      <c r="F310" s="774">
        <v>7.75</v>
      </c>
    </row>
    <row r="311">
      <c r="A311" s="3" t="s">
        <v>7</v>
      </c>
      <c r="B311" s="14"/>
      <c r="C311" s="14"/>
      <c r="D311" s="15"/>
      <c r="E311" s="6"/>
      <c r="F311" s="735">
        <f>F306+F307+F308+F309+F310</f>
        <v>38.75</v>
      </c>
    </row>
    <row r="312">
      <c r="A312" s="28">
        <v>44879.0</v>
      </c>
      <c r="B312" s="29">
        <v>7.3</v>
      </c>
      <c r="C312" s="29">
        <v>17.0</v>
      </c>
      <c r="D312" s="30" t="s">
        <v>3</v>
      </c>
      <c r="E312" s="30" t="s">
        <v>4</v>
      </c>
      <c r="F312" s="29">
        <v>7.75</v>
      </c>
    </row>
    <row r="313">
      <c r="A313" s="28">
        <v>44880.0</v>
      </c>
      <c r="B313" s="29">
        <v>7.3</v>
      </c>
      <c r="C313" s="29">
        <v>17.0</v>
      </c>
      <c r="D313" s="30" t="s">
        <v>3</v>
      </c>
      <c r="E313" s="30" t="s">
        <v>4</v>
      </c>
      <c r="F313" s="29">
        <v>7.75</v>
      </c>
    </row>
    <row r="314">
      <c r="A314" s="28">
        <v>44881.0</v>
      </c>
      <c r="B314" s="29">
        <v>7.3</v>
      </c>
      <c r="C314" s="29">
        <v>17.0</v>
      </c>
      <c r="D314" s="30" t="s">
        <v>3</v>
      </c>
      <c r="E314" s="30" t="s">
        <v>4</v>
      </c>
      <c r="F314" s="29">
        <v>7.75</v>
      </c>
    </row>
    <row r="315">
      <c r="A315" s="28">
        <v>44882.0</v>
      </c>
      <c r="B315" s="29">
        <v>7.3</v>
      </c>
      <c r="C315" s="29">
        <v>17.0</v>
      </c>
      <c r="D315" s="30" t="s">
        <v>3</v>
      </c>
      <c r="E315" s="30" t="s">
        <v>4</v>
      </c>
      <c r="F315" s="29">
        <v>7.75</v>
      </c>
    </row>
    <row r="316">
      <c r="A316" s="28">
        <v>44883.0</v>
      </c>
      <c r="B316" s="29">
        <v>7.3</v>
      </c>
      <c r="C316" s="29">
        <v>11.3</v>
      </c>
      <c r="D316" s="32" t="s">
        <v>5</v>
      </c>
      <c r="E316" s="32" t="s">
        <v>3536</v>
      </c>
      <c r="F316" s="29">
        <v>4.0</v>
      </c>
    </row>
    <row r="317">
      <c r="A317" s="3" t="s">
        <v>7</v>
      </c>
      <c r="B317" s="14"/>
      <c r="C317" s="14"/>
      <c r="D317" s="15"/>
      <c r="E317" s="6"/>
      <c r="F317" s="735">
        <f>F312+F313+F314+F315+F316</f>
        <v>35</v>
      </c>
    </row>
    <row r="318">
      <c r="A318" s="28">
        <v>44886.0</v>
      </c>
      <c r="B318" s="29">
        <v>7.3</v>
      </c>
      <c r="C318" s="29">
        <v>17.0</v>
      </c>
      <c r="D318" s="30" t="s">
        <v>3</v>
      </c>
      <c r="E318" s="30" t="s">
        <v>4</v>
      </c>
      <c r="F318" s="29">
        <v>7.75</v>
      </c>
    </row>
    <row r="319">
      <c r="A319" s="28">
        <v>44887.0</v>
      </c>
      <c r="B319" s="29">
        <v>7.3</v>
      </c>
      <c r="C319" s="29">
        <v>17.0</v>
      </c>
      <c r="D319" s="30" t="s">
        <v>3</v>
      </c>
      <c r="E319" s="30" t="s">
        <v>4</v>
      </c>
      <c r="F319" s="29">
        <v>7.75</v>
      </c>
    </row>
    <row r="320">
      <c r="A320" s="28">
        <v>44888.0</v>
      </c>
      <c r="B320" s="29">
        <v>7.3</v>
      </c>
      <c r="C320" s="29">
        <v>17.0</v>
      </c>
      <c r="D320" s="30" t="s">
        <v>3</v>
      </c>
      <c r="E320" s="30" t="s">
        <v>4</v>
      </c>
      <c r="F320" s="29">
        <v>7.75</v>
      </c>
    </row>
    <row r="321">
      <c r="A321" s="28">
        <v>44889.0</v>
      </c>
      <c r="B321" s="29">
        <v>7.3</v>
      </c>
      <c r="C321" s="29">
        <v>17.0</v>
      </c>
      <c r="D321" s="30" t="s">
        <v>3</v>
      </c>
      <c r="E321" s="30" t="s">
        <v>4</v>
      </c>
      <c r="F321" s="29">
        <v>7.75</v>
      </c>
    </row>
    <row r="322">
      <c r="A322" s="28">
        <v>44890.0</v>
      </c>
      <c r="B322" s="29">
        <v>7.3</v>
      </c>
      <c r="C322" s="29">
        <v>11.3</v>
      </c>
      <c r="D322" s="32" t="s">
        <v>5</v>
      </c>
      <c r="E322" s="32" t="s">
        <v>3536</v>
      </c>
      <c r="F322" s="29">
        <v>4.0</v>
      </c>
    </row>
    <row r="323">
      <c r="A323" s="3" t="s">
        <v>7</v>
      </c>
      <c r="B323" s="14"/>
      <c r="C323" s="14"/>
      <c r="D323" s="15"/>
      <c r="E323" s="6"/>
      <c r="F323" s="735">
        <f>F318+F319+F320+F321+F322</f>
        <v>35</v>
      </c>
    </row>
    <row r="324">
      <c r="A324" s="28">
        <v>44893.0</v>
      </c>
      <c r="B324" s="29">
        <v>7.3</v>
      </c>
      <c r="C324" s="29">
        <v>17.0</v>
      </c>
      <c r="D324" s="42" t="s">
        <v>21</v>
      </c>
      <c r="E324" s="42" t="s">
        <v>22</v>
      </c>
      <c r="F324" s="39">
        <v>8.75</v>
      </c>
      <c r="J324" s="8" t="s">
        <v>3586</v>
      </c>
    </row>
    <row r="325" ht="20.25" customHeight="1">
      <c r="A325" s="28">
        <v>44894.0</v>
      </c>
      <c r="B325" s="29">
        <v>7.3</v>
      </c>
      <c r="C325" s="29">
        <v>17.0</v>
      </c>
      <c r="D325" s="42" t="s">
        <v>21</v>
      </c>
      <c r="E325" s="42" t="s">
        <v>22</v>
      </c>
      <c r="F325" s="39">
        <v>8.75</v>
      </c>
    </row>
    <row r="326" ht="16.5" customHeight="1">
      <c r="A326" s="28">
        <v>44895.0</v>
      </c>
      <c r="B326" s="29">
        <v>7.3</v>
      </c>
      <c r="C326" s="29">
        <v>17.0</v>
      </c>
      <c r="D326" s="42" t="s">
        <v>21</v>
      </c>
      <c r="E326" s="42" t="s">
        <v>22</v>
      </c>
      <c r="F326" s="39">
        <v>8.75</v>
      </c>
    </row>
    <row r="327">
      <c r="A327" s="3" t="s">
        <v>7</v>
      </c>
      <c r="B327" s="14"/>
      <c r="C327" s="14"/>
      <c r="D327" s="15"/>
      <c r="E327" s="6"/>
      <c r="F327" s="735">
        <f>F322+F323+F324+F325+F326</f>
        <v>65.25</v>
      </c>
      <c r="M327" s="9" t="s">
        <v>9</v>
      </c>
      <c r="N327" s="10" t="s">
        <v>10</v>
      </c>
      <c r="O327" s="10" t="s">
        <v>1</v>
      </c>
    </row>
    <row r="328">
      <c r="A328" s="13" t="s">
        <v>2</v>
      </c>
      <c r="B328" s="14"/>
      <c r="C328" s="14"/>
      <c r="D328" s="15"/>
      <c r="E328" s="16"/>
      <c r="F328" s="17">
        <f>F315+F316+F317+F318+F324+F325+F326</f>
        <v>80.75</v>
      </c>
      <c r="G328" s="18">
        <f>SUM(G302:G326)</f>
        <v>0</v>
      </c>
      <c r="H328" s="19" t="str">
        <f>H324</f>
        <v/>
      </c>
      <c r="I328" s="20">
        <f>G328-H328</f>
        <v>0</v>
      </c>
      <c r="J328" s="21" t="s">
        <v>3587</v>
      </c>
      <c r="K328" s="22" t="s">
        <v>3588</v>
      </c>
      <c r="L328" s="23" t="s">
        <v>14</v>
      </c>
      <c r="M328" s="200">
        <v>1768.43</v>
      </c>
      <c r="N328" s="283" t="s">
        <v>3589</v>
      </c>
      <c r="O328" s="200">
        <v>1448.13</v>
      </c>
    </row>
    <row r="329">
      <c r="A329" s="728" t="s">
        <v>243</v>
      </c>
      <c r="B329" s="728" t="s">
        <v>3445</v>
      </c>
      <c r="C329" s="728" t="s">
        <v>3446</v>
      </c>
      <c r="D329" s="728" t="s">
        <v>3447</v>
      </c>
      <c r="E329" s="728" t="s">
        <v>3448</v>
      </c>
      <c r="F329" s="729" t="s">
        <v>3449</v>
      </c>
      <c r="G329" s="730" t="s">
        <v>3450</v>
      </c>
      <c r="H329" s="731" t="s">
        <v>3451</v>
      </c>
      <c r="I329" s="732" t="s">
        <v>3452</v>
      </c>
      <c r="J329" s="733" t="s">
        <v>50</v>
      </c>
      <c r="K329" s="734" t="s">
        <v>3493</v>
      </c>
    </row>
    <row r="330">
      <c r="A330" s="28">
        <v>44896.0</v>
      </c>
      <c r="B330" s="29">
        <v>7.3</v>
      </c>
      <c r="C330" s="29">
        <v>17.0</v>
      </c>
      <c r="D330" s="42" t="s">
        <v>21</v>
      </c>
      <c r="E330" s="42" t="s">
        <v>22</v>
      </c>
      <c r="F330" s="39">
        <v>8.75</v>
      </c>
    </row>
    <row r="331">
      <c r="A331" s="28">
        <v>44897.0</v>
      </c>
      <c r="B331" s="648" t="s">
        <v>15</v>
      </c>
    </row>
    <row r="332">
      <c r="A332" s="3" t="s">
        <v>7</v>
      </c>
      <c r="B332" s="14"/>
      <c r="C332" s="14"/>
      <c r="D332" s="15"/>
      <c r="E332" s="6"/>
      <c r="F332" s="735"/>
    </row>
    <row r="333">
      <c r="A333" s="28">
        <v>44900.0</v>
      </c>
      <c r="B333" s="29">
        <v>7.3</v>
      </c>
      <c r="C333" s="29">
        <v>17.0</v>
      </c>
      <c r="D333" s="42" t="s">
        <v>21</v>
      </c>
      <c r="E333" s="42" t="s">
        <v>22</v>
      </c>
      <c r="F333" s="39">
        <v>8.75</v>
      </c>
    </row>
    <row r="334">
      <c r="A334" s="28">
        <v>44901.0</v>
      </c>
      <c r="B334" s="34" t="s">
        <v>3495</v>
      </c>
      <c r="H334" s="745">
        <v>8.75</v>
      </c>
      <c r="J334" s="51" t="s">
        <v>3496</v>
      </c>
    </row>
    <row r="335">
      <c r="A335" s="28">
        <v>44902.0</v>
      </c>
      <c r="B335" s="29">
        <v>7.3</v>
      </c>
      <c r="C335" s="29">
        <v>17.0</v>
      </c>
      <c r="D335" s="42" t="s">
        <v>21</v>
      </c>
      <c r="E335" s="42" t="s">
        <v>22</v>
      </c>
      <c r="F335" s="39">
        <v>8.75</v>
      </c>
    </row>
    <row r="336">
      <c r="A336" s="28">
        <v>44903.0</v>
      </c>
      <c r="B336" s="29">
        <v>7.3</v>
      </c>
      <c r="C336" s="29">
        <v>17.0</v>
      </c>
      <c r="D336" s="42" t="s">
        <v>21</v>
      </c>
      <c r="E336" s="42" t="s">
        <v>22</v>
      </c>
      <c r="F336" s="39">
        <v>8.75</v>
      </c>
    </row>
    <row r="337">
      <c r="A337" s="28">
        <v>44904.0</v>
      </c>
      <c r="B337" s="648" t="s">
        <v>15</v>
      </c>
    </row>
    <row r="338">
      <c r="A338" s="3" t="s">
        <v>7</v>
      </c>
      <c r="B338" s="14"/>
      <c r="C338" s="14"/>
      <c r="D338" s="15"/>
      <c r="E338" s="6"/>
      <c r="F338" s="735">
        <f>F333+F334+F335+F336+F337</f>
        <v>26.25</v>
      </c>
    </row>
    <row r="339">
      <c r="A339" s="28">
        <v>44907.0</v>
      </c>
      <c r="B339" s="29">
        <v>7.3</v>
      </c>
      <c r="C339" s="29">
        <v>17.0</v>
      </c>
      <c r="D339" s="42" t="s">
        <v>21</v>
      </c>
      <c r="E339" s="42" t="s">
        <v>22</v>
      </c>
      <c r="F339" s="39">
        <v>8.75</v>
      </c>
    </row>
    <row r="340">
      <c r="A340" s="28">
        <v>44908.0</v>
      </c>
      <c r="B340" s="29">
        <v>7.3</v>
      </c>
      <c r="C340" s="29">
        <v>17.0</v>
      </c>
      <c r="D340" s="42" t="s">
        <v>21</v>
      </c>
      <c r="E340" s="42" t="s">
        <v>22</v>
      </c>
      <c r="F340" s="39">
        <v>8.75</v>
      </c>
    </row>
    <row r="341">
      <c r="A341" s="28">
        <v>44909.0</v>
      </c>
      <c r="B341" s="29">
        <v>7.3</v>
      </c>
      <c r="C341" s="29">
        <v>17.0</v>
      </c>
      <c r="D341" s="42" t="s">
        <v>21</v>
      </c>
      <c r="E341" s="42" t="s">
        <v>22</v>
      </c>
      <c r="F341" s="39">
        <v>8.75</v>
      </c>
    </row>
    <row r="342">
      <c r="A342" s="28">
        <v>44910.0</v>
      </c>
      <c r="B342" s="29">
        <v>7.3</v>
      </c>
      <c r="C342" s="29">
        <v>17.0</v>
      </c>
      <c r="D342" s="42" t="s">
        <v>21</v>
      </c>
      <c r="E342" s="42" t="s">
        <v>22</v>
      </c>
      <c r="F342" s="39">
        <v>8.75</v>
      </c>
    </row>
    <row r="343">
      <c r="A343" s="28">
        <v>44911.0</v>
      </c>
      <c r="B343" s="648" t="s">
        <v>15</v>
      </c>
    </row>
    <row r="344">
      <c r="A344" s="3" t="s">
        <v>7</v>
      </c>
      <c r="B344" s="14"/>
      <c r="C344" s="14"/>
      <c r="D344" s="15"/>
      <c r="E344" s="6"/>
      <c r="F344" s="735">
        <f>F339+F340+F341+F342+F343</f>
        <v>35</v>
      </c>
    </row>
    <row r="345">
      <c r="A345" s="28">
        <v>44914.0</v>
      </c>
      <c r="B345" s="29">
        <v>7.3</v>
      </c>
      <c r="C345" s="29">
        <v>17.0</v>
      </c>
      <c r="D345" s="42" t="s">
        <v>21</v>
      </c>
      <c r="E345" s="42" t="s">
        <v>22</v>
      </c>
      <c r="F345" s="39">
        <v>8.75</v>
      </c>
    </row>
    <row r="346">
      <c r="A346" s="28">
        <v>44915.0</v>
      </c>
      <c r="B346" s="29">
        <v>7.3</v>
      </c>
      <c r="C346" s="29">
        <v>17.0</v>
      </c>
      <c r="D346" s="42" t="s">
        <v>21</v>
      </c>
      <c r="E346" s="42" t="s">
        <v>22</v>
      </c>
      <c r="F346" s="39">
        <v>8.75</v>
      </c>
    </row>
    <row r="347">
      <c r="A347" s="28">
        <v>44916.0</v>
      </c>
      <c r="B347" s="29">
        <v>7.3</v>
      </c>
      <c r="C347" s="29">
        <v>17.0</v>
      </c>
      <c r="D347" s="42" t="s">
        <v>21</v>
      </c>
      <c r="E347" s="42" t="s">
        <v>22</v>
      </c>
      <c r="F347" s="39">
        <v>8.75</v>
      </c>
    </row>
    <row r="348">
      <c r="A348" s="28">
        <v>44917.0</v>
      </c>
      <c r="B348" s="29">
        <v>7.3</v>
      </c>
      <c r="C348" s="29">
        <v>17.0</v>
      </c>
      <c r="D348" s="42" t="s">
        <v>21</v>
      </c>
      <c r="E348" s="42" t="s">
        <v>22</v>
      </c>
      <c r="F348" s="39">
        <v>8.75</v>
      </c>
    </row>
    <row r="349">
      <c r="A349" s="28">
        <v>44918.0</v>
      </c>
      <c r="B349" s="648" t="s">
        <v>15</v>
      </c>
    </row>
    <row r="350">
      <c r="A350" s="3" t="s">
        <v>7</v>
      </c>
      <c r="B350" s="14"/>
      <c r="C350" s="14"/>
      <c r="D350" s="15"/>
      <c r="E350" s="6"/>
      <c r="F350" s="735"/>
      <c r="J350" s="8"/>
      <c r="M350" s="9" t="s">
        <v>9</v>
      </c>
      <c r="N350" s="10" t="s">
        <v>10</v>
      </c>
      <c r="O350" s="10" t="s">
        <v>1</v>
      </c>
    </row>
    <row r="351">
      <c r="A351" s="13" t="s">
        <v>2</v>
      </c>
      <c r="B351" s="14"/>
      <c r="C351" s="14"/>
      <c r="D351" s="15"/>
      <c r="E351" s="16"/>
      <c r="F351" s="17" t="str">
        <f>F339+F340+F341+F342+#REF!+#REF!+#REF!</f>
        <v>#REF!</v>
      </c>
      <c r="G351" s="18">
        <f>SUM(G326:G347)</f>
        <v>0</v>
      </c>
      <c r="H351" s="19">
        <f>H334</f>
        <v>8.75</v>
      </c>
      <c r="I351" s="20">
        <f>G351-H351</f>
        <v>-8.75</v>
      </c>
      <c r="J351" s="21" t="s">
        <v>3590</v>
      </c>
      <c r="K351" s="22" t="s">
        <v>3498</v>
      </c>
      <c r="L351" s="23" t="s">
        <v>14</v>
      </c>
      <c r="M351" s="200">
        <v>1689.04</v>
      </c>
      <c r="N351" s="283">
        <v>1150.21</v>
      </c>
      <c r="O351" s="27">
        <v>1383.02</v>
      </c>
    </row>
    <row r="353">
      <c r="A353" s="33" t="s">
        <v>3591</v>
      </c>
      <c r="G353" s="737" t="s">
        <v>3500</v>
      </c>
    </row>
  </sheetData>
  <mergeCells count="111">
    <mergeCell ref="A1:K1"/>
    <mergeCell ref="L1:V1"/>
    <mergeCell ref="A6:D6"/>
    <mergeCell ref="A12:D12"/>
    <mergeCell ref="A18:D18"/>
    <mergeCell ref="A22:D22"/>
    <mergeCell ref="A23:D23"/>
    <mergeCell ref="A25:F25"/>
    <mergeCell ref="G25:I25"/>
    <mergeCell ref="A28:K28"/>
    <mergeCell ref="B33:F33"/>
    <mergeCell ref="A35:D35"/>
    <mergeCell ref="A41:D41"/>
    <mergeCell ref="B46:F46"/>
    <mergeCell ref="A47:D47"/>
    <mergeCell ref="B48:F48"/>
    <mergeCell ref="B49:F49"/>
    <mergeCell ref="B50:F50"/>
    <mergeCell ref="B51:F51"/>
    <mergeCell ref="B52:F52"/>
    <mergeCell ref="A53:D53"/>
    <mergeCell ref="A55:D55"/>
    <mergeCell ref="A56:D56"/>
    <mergeCell ref="A62:D62"/>
    <mergeCell ref="A68:D68"/>
    <mergeCell ref="A74:D74"/>
    <mergeCell ref="A80:D80"/>
    <mergeCell ref="A82:D82"/>
    <mergeCell ref="A83:D83"/>
    <mergeCell ref="A89:D89"/>
    <mergeCell ref="A95:D95"/>
    <mergeCell ref="A101:D101"/>
    <mergeCell ref="A107:D107"/>
    <mergeCell ref="A112:D112"/>
    <mergeCell ref="A113:D113"/>
    <mergeCell ref="A116:D116"/>
    <mergeCell ref="A122:D122"/>
    <mergeCell ref="A128:D128"/>
    <mergeCell ref="B129:D129"/>
    <mergeCell ref="A134:D134"/>
    <mergeCell ref="A140:D140"/>
    <mergeCell ref="A141:D141"/>
    <mergeCell ref="A175:D175"/>
    <mergeCell ref="B176:D176"/>
    <mergeCell ref="A299:D299"/>
    <mergeCell ref="B301:D301"/>
    <mergeCell ref="A305:D305"/>
    <mergeCell ref="B310:D310"/>
    <mergeCell ref="A311:D311"/>
    <mergeCell ref="A317:D317"/>
    <mergeCell ref="J324:J327"/>
    <mergeCell ref="B337:F337"/>
    <mergeCell ref="B343:F343"/>
    <mergeCell ref="A344:D344"/>
    <mergeCell ref="B349:F349"/>
    <mergeCell ref="A350:D350"/>
    <mergeCell ref="A351:D351"/>
    <mergeCell ref="A353:F353"/>
    <mergeCell ref="G353:I353"/>
    <mergeCell ref="A323:D323"/>
    <mergeCell ref="A327:D327"/>
    <mergeCell ref="A328:D328"/>
    <mergeCell ref="B331:F331"/>
    <mergeCell ref="A332:D332"/>
    <mergeCell ref="B334:F334"/>
    <mergeCell ref="A338:D338"/>
    <mergeCell ref="B147:F147"/>
    <mergeCell ref="A148:D148"/>
    <mergeCell ref="A154:D154"/>
    <mergeCell ref="B155:F155"/>
    <mergeCell ref="B156:F156"/>
    <mergeCell ref="B157:F157"/>
    <mergeCell ref="B158:F158"/>
    <mergeCell ref="B159:F159"/>
    <mergeCell ref="A160:D160"/>
    <mergeCell ref="B164:D164"/>
    <mergeCell ref="B165:D165"/>
    <mergeCell ref="A166:D166"/>
    <mergeCell ref="A169:D169"/>
    <mergeCell ref="A170:D170"/>
    <mergeCell ref="A181:D181"/>
    <mergeCell ref="A187:D187"/>
    <mergeCell ref="A193:D193"/>
    <mergeCell ref="A198:D198"/>
    <mergeCell ref="A199:D199"/>
    <mergeCell ref="A202:D202"/>
    <mergeCell ref="A208:D208"/>
    <mergeCell ref="A234:D234"/>
    <mergeCell ref="A236:F236"/>
    <mergeCell ref="G236:I236"/>
    <mergeCell ref="B212:D212"/>
    <mergeCell ref="B213:D213"/>
    <mergeCell ref="A214:D214"/>
    <mergeCell ref="A220:D220"/>
    <mergeCell ref="A226:D226"/>
    <mergeCell ref="A227:D227"/>
    <mergeCell ref="B233:D233"/>
    <mergeCell ref="A241:D241"/>
    <mergeCell ref="A242:D242"/>
    <mergeCell ref="A246:D246"/>
    <mergeCell ref="A252:D252"/>
    <mergeCell ref="A258:D258"/>
    <mergeCell ref="A264:D264"/>
    <mergeCell ref="A270:D270"/>
    <mergeCell ref="A271:D271"/>
    <mergeCell ref="A278:D278"/>
    <mergeCell ref="A284:D284"/>
    <mergeCell ref="A290:D290"/>
    <mergeCell ref="A296:D296"/>
    <mergeCell ref="B297:D297"/>
    <mergeCell ref="A298:D29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0.14"/>
    <col customWidth="1" min="3" max="3" width="11.71"/>
    <col customWidth="1" min="4" max="4" width="12.0"/>
    <col customWidth="1" min="5" max="5" width="7.29"/>
    <col customWidth="1" min="6" max="6" width="9.0"/>
    <col customWidth="1" min="7" max="7" width="10.71"/>
    <col customWidth="1" min="8" max="8" width="12.14"/>
    <col customWidth="1" min="9" max="9" width="12.0"/>
    <col customWidth="1" min="10" max="10" width="11.43"/>
    <col customWidth="1" min="11" max="11" width="14.71"/>
    <col customWidth="1" min="12" max="12" width="12.86"/>
  </cols>
  <sheetData>
    <row r="1">
      <c r="A1" s="775">
        <v>2022.0</v>
      </c>
    </row>
    <row r="2">
      <c r="A2" s="776" t="s">
        <v>3592</v>
      </c>
      <c r="B2" s="728" t="s">
        <v>243</v>
      </c>
      <c r="C2" s="728" t="s">
        <v>3445</v>
      </c>
      <c r="D2" s="728" t="s">
        <v>3446</v>
      </c>
      <c r="E2" s="728" t="s">
        <v>3447</v>
      </c>
      <c r="F2" s="728" t="s">
        <v>3448</v>
      </c>
      <c r="G2" s="729" t="s">
        <v>3449</v>
      </c>
      <c r="H2" s="777" t="s">
        <v>3593</v>
      </c>
      <c r="I2" s="778" t="s">
        <v>3594</v>
      </c>
      <c r="J2" s="778" t="s">
        <v>3595</v>
      </c>
      <c r="K2" s="778" t="s">
        <v>3596</v>
      </c>
      <c r="L2" s="778" t="s">
        <v>3597</v>
      </c>
      <c r="M2" s="474" t="s">
        <v>50</v>
      </c>
    </row>
    <row r="3">
      <c r="A3" s="51" t="s">
        <v>3598</v>
      </c>
      <c r="B3" s="28">
        <v>44572.0</v>
      </c>
      <c r="C3" s="51" t="s">
        <v>3538</v>
      </c>
      <c r="D3" s="51" t="s">
        <v>3599</v>
      </c>
      <c r="F3" s="51" t="s">
        <v>6</v>
      </c>
      <c r="M3" s="51" t="s">
        <v>3600</v>
      </c>
    </row>
    <row r="4">
      <c r="A4" s="51" t="s">
        <v>3601</v>
      </c>
      <c r="B4" s="28">
        <v>44573.0</v>
      </c>
      <c r="C4" s="51" t="s">
        <v>4</v>
      </c>
      <c r="D4" s="51" t="s">
        <v>3602</v>
      </c>
      <c r="F4" s="51" t="s">
        <v>3603</v>
      </c>
      <c r="M4" s="51" t="s">
        <v>3604</v>
      </c>
    </row>
    <row r="5">
      <c r="A5" s="51" t="s">
        <v>3605</v>
      </c>
      <c r="B5" s="28">
        <v>44579.0</v>
      </c>
      <c r="C5" s="51" t="s">
        <v>3468</v>
      </c>
      <c r="D5" s="51" t="s">
        <v>3606</v>
      </c>
      <c r="F5" s="51" t="s">
        <v>3606</v>
      </c>
      <c r="M5" s="51" t="s">
        <v>3607</v>
      </c>
    </row>
    <row r="6">
      <c r="A6" s="779" t="s">
        <v>3608</v>
      </c>
      <c r="B6" s="780">
        <v>44607.0</v>
      </c>
      <c r="C6" s="779" t="s">
        <v>36</v>
      </c>
      <c r="D6" s="779" t="s">
        <v>3609</v>
      </c>
      <c r="E6" s="68"/>
      <c r="F6" s="779" t="s">
        <v>3610</v>
      </c>
      <c r="G6" s="68"/>
      <c r="H6" s="68"/>
      <c r="I6" s="68"/>
      <c r="J6" s="68"/>
      <c r="K6" s="68"/>
      <c r="L6" s="68"/>
      <c r="M6" s="779" t="s">
        <v>3611</v>
      </c>
    </row>
    <row r="7">
      <c r="A7" s="51" t="s">
        <v>3612</v>
      </c>
      <c r="B7" s="28">
        <v>44608.0</v>
      </c>
      <c r="C7" s="51" t="s">
        <v>36</v>
      </c>
      <c r="D7" s="51" t="s">
        <v>3613</v>
      </c>
      <c r="F7" s="51" t="s">
        <v>20</v>
      </c>
    </row>
    <row r="8">
      <c r="A8" s="51" t="s">
        <v>3612</v>
      </c>
      <c r="B8" s="28">
        <v>44613.0</v>
      </c>
      <c r="C8" s="51" t="s">
        <v>3614</v>
      </c>
      <c r="D8" s="51" t="s">
        <v>3599</v>
      </c>
      <c r="F8" s="51" t="s">
        <v>3615</v>
      </c>
    </row>
    <row r="9">
      <c r="A9" s="51" t="s">
        <v>3616</v>
      </c>
      <c r="B9" s="28">
        <v>44616.0</v>
      </c>
      <c r="C9" s="51" t="s">
        <v>3468</v>
      </c>
      <c r="D9" s="51" t="s">
        <v>3617</v>
      </c>
      <c r="F9" s="51" t="s">
        <v>3618</v>
      </c>
      <c r="M9" s="51" t="s">
        <v>3619</v>
      </c>
    </row>
    <row r="10">
      <c r="A10" s="51" t="s">
        <v>3620</v>
      </c>
      <c r="B10" s="28">
        <v>44620.0</v>
      </c>
      <c r="C10" s="51" t="s">
        <v>3538</v>
      </c>
      <c r="D10" s="51" t="s">
        <v>3621</v>
      </c>
      <c r="F10" s="51" t="s">
        <v>27</v>
      </c>
    </row>
    <row r="11">
      <c r="A11" s="779" t="s">
        <v>3612</v>
      </c>
      <c r="B11" s="780">
        <v>44622.0</v>
      </c>
      <c r="C11" s="779" t="s">
        <v>3468</v>
      </c>
      <c r="D11" s="779" t="s">
        <v>3622</v>
      </c>
      <c r="E11" s="68"/>
      <c r="F11" s="779" t="s">
        <v>3623</v>
      </c>
      <c r="G11" s="68"/>
      <c r="H11" s="68"/>
      <c r="I11" s="68"/>
      <c r="J11" s="68"/>
      <c r="K11" s="68"/>
      <c r="L11" s="68"/>
      <c r="M11" s="68"/>
    </row>
    <row r="12">
      <c r="A12" s="51" t="s">
        <v>3620</v>
      </c>
      <c r="B12" s="28">
        <v>44634.0</v>
      </c>
      <c r="C12" s="51" t="s">
        <v>3538</v>
      </c>
      <c r="D12" s="51" t="s">
        <v>3599</v>
      </c>
      <c r="F12" s="51" t="s">
        <v>3624</v>
      </c>
    </row>
    <row r="13">
      <c r="A13" s="51" t="s">
        <v>3612</v>
      </c>
      <c r="B13" s="28">
        <v>44635.0</v>
      </c>
      <c r="C13" s="51" t="s">
        <v>36</v>
      </c>
      <c r="D13" s="51" t="s">
        <v>3625</v>
      </c>
      <c r="F13" s="51" t="s">
        <v>3626</v>
      </c>
    </row>
    <row r="14">
      <c r="A14" s="51" t="s">
        <v>3627</v>
      </c>
      <c r="B14" s="28">
        <v>44641.0</v>
      </c>
      <c r="C14" s="51" t="s">
        <v>3538</v>
      </c>
      <c r="D14" s="761" t="s">
        <v>3628</v>
      </c>
    </row>
    <row r="15">
      <c r="A15" s="51" t="s">
        <v>3627</v>
      </c>
      <c r="B15" s="28">
        <v>44642.0</v>
      </c>
      <c r="C15" s="51" t="s">
        <v>3538</v>
      </c>
    </row>
    <row r="16">
      <c r="A16" s="51" t="s">
        <v>3627</v>
      </c>
      <c r="B16" s="28">
        <v>44643.0</v>
      </c>
      <c r="C16" s="51" t="s">
        <v>3538</v>
      </c>
    </row>
    <row r="17">
      <c r="A17" s="51" t="s">
        <v>3627</v>
      </c>
      <c r="B17" s="28">
        <v>44644.0</v>
      </c>
      <c r="C17" s="51" t="s">
        <v>3538</v>
      </c>
    </row>
    <row r="18">
      <c r="A18" s="51" t="s">
        <v>3627</v>
      </c>
      <c r="B18" s="28">
        <v>44645.0</v>
      </c>
      <c r="C18" s="51" t="s">
        <v>3538</v>
      </c>
    </row>
    <row r="19">
      <c r="A19" s="781"/>
      <c r="B19" s="781"/>
      <c r="C19" s="782" t="s">
        <v>3629</v>
      </c>
      <c r="D19" s="167"/>
      <c r="E19" s="167"/>
      <c r="F19" s="596"/>
    </row>
    <row r="20">
      <c r="A20" s="779" t="s">
        <v>3630</v>
      </c>
      <c r="B20" s="780">
        <v>44656.0</v>
      </c>
      <c r="C20" s="779" t="s">
        <v>3631</v>
      </c>
      <c r="D20" s="779" t="s">
        <v>3632</v>
      </c>
      <c r="E20" s="68"/>
      <c r="F20" s="779" t="s">
        <v>3618</v>
      </c>
      <c r="G20" s="68"/>
      <c r="H20" s="68"/>
      <c r="I20" s="68"/>
      <c r="J20" s="68"/>
      <c r="K20" s="68"/>
      <c r="L20" s="68"/>
      <c r="M20" s="779" t="s">
        <v>3633</v>
      </c>
    </row>
    <row r="21">
      <c r="A21" s="51" t="s">
        <v>3634</v>
      </c>
      <c r="B21" s="28">
        <v>44658.0</v>
      </c>
      <c r="C21" s="51" t="s">
        <v>3635</v>
      </c>
      <c r="D21" s="51" t="s">
        <v>3636</v>
      </c>
      <c r="F21" s="51" t="s">
        <v>3637</v>
      </c>
    </row>
    <row r="22">
      <c r="A22" s="51" t="s">
        <v>3620</v>
      </c>
      <c r="B22" s="28">
        <v>44662.0</v>
      </c>
      <c r="C22" s="51" t="s">
        <v>3538</v>
      </c>
      <c r="D22" s="51" t="s">
        <v>3638</v>
      </c>
      <c r="F22" s="51" t="s">
        <v>36</v>
      </c>
    </row>
    <row r="23">
      <c r="A23" s="51" t="s">
        <v>3639</v>
      </c>
      <c r="B23" s="28">
        <v>44664.0</v>
      </c>
      <c r="C23" s="51" t="s">
        <v>3640</v>
      </c>
      <c r="D23" s="51" t="s">
        <v>3641</v>
      </c>
      <c r="F23" s="51" t="s">
        <v>3642</v>
      </c>
    </row>
    <row r="24">
      <c r="A24" s="51" t="s">
        <v>3620</v>
      </c>
      <c r="B24" s="28">
        <v>44670.0</v>
      </c>
      <c r="C24" s="51" t="s">
        <v>3538</v>
      </c>
      <c r="D24" s="51" t="s">
        <v>3632</v>
      </c>
      <c r="F24" s="51" t="s">
        <v>36</v>
      </c>
    </row>
    <row r="25">
      <c r="A25" s="51" t="s">
        <v>3643</v>
      </c>
      <c r="B25" s="28">
        <v>44680.0</v>
      </c>
      <c r="C25" s="51" t="s">
        <v>36</v>
      </c>
      <c r="D25" s="51" t="s">
        <v>3638</v>
      </c>
      <c r="F25" s="51" t="s">
        <v>4</v>
      </c>
      <c r="M25" s="51" t="s">
        <v>3644</v>
      </c>
    </row>
    <row r="26">
      <c r="A26" s="51"/>
      <c r="B26" s="28"/>
      <c r="C26" s="782" t="s">
        <v>3645</v>
      </c>
      <c r="D26" s="167"/>
      <c r="E26" s="167"/>
      <c r="F26" s="596"/>
    </row>
    <row r="27">
      <c r="A27" s="779" t="s">
        <v>3646</v>
      </c>
      <c r="B27" s="780">
        <v>44684.0</v>
      </c>
      <c r="C27" s="779" t="s">
        <v>3468</v>
      </c>
      <c r="D27" s="779" t="s">
        <v>3647</v>
      </c>
      <c r="E27" s="68"/>
      <c r="F27" s="779" t="s">
        <v>3624</v>
      </c>
      <c r="G27" s="68"/>
      <c r="H27" s="68"/>
      <c r="I27" s="68"/>
      <c r="J27" s="68"/>
      <c r="K27" s="68"/>
      <c r="L27" s="68"/>
      <c r="M27" s="68"/>
    </row>
    <row r="28">
      <c r="A28" s="51" t="s">
        <v>3620</v>
      </c>
      <c r="B28" s="28">
        <v>44691.0</v>
      </c>
      <c r="C28" s="51" t="s">
        <v>3538</v>
      </c>
      <c r="D28" s="51" t="s">
        <v>3648</v>
      </c>
      <c r="E28" s="51" t="s">
        <v>31</v>
      </c>
      <c r="F28" s="51" t="s">
        <v>3465</v>
      </c>
    </row>
    <row r="29">
      <c r="A29" s="51" t="s">
        <v>3649</v>
      </c>
      <c r="B29" s="28">
        <v>44692.0</v>
      </c>
      <c r="C29" s="51" t="s">
        <v>3468</v>
      </c>
      <c r="D29" s="51" t="s">
        <v>3650</v>
      </c>
      <c r="F29" s="51" t="s">
        <v>3651</v>
      </c>
    </row>
    <row r="30">
      <c r="B30" s="28"/>
    </row>
    <row r="32">
      <c r="A32" s="775">
        <v>2023.0</v>
      </c>
    </row>
    <row r="33" ht="42.75" customHeight="1">
      <c r="A33" s="776" t="s">
        <v>3592</v>
      </c>
      <c r="B33" s="728" t="s">
        <v>243</v>
      </c>
      <c r="C33" s="728" t="s">
        <v>3445</v>
      </c>
      <c r="D33" s="728" t="s">
        <v>3446</v>
      </c>
      <c r="E33" s="728" t="s">
        <v>3447</v>
      </c>
      <c r="F33" s="728" t="s">
        <v>3448</v>
      </c>
      <c r="G33" s="729" t="s">
        <v>3449</v>
      </c>
      <c r="H33" s="777" t="s">
        <v>3593</v>
      </c>
      <c r="I33" s="778" t="s">
        <v>3594</v>
      </c>
      <c r="J33" s="778" t="s">
        <v>3595</v>
      </c>
      <c r="K33" s="778" t="s">
        <v>3596</v>
      </c>
      <c r="L33" s="778" t="s">
        <v>3597</v>
      </c>
      <c r="M33" s="474" t="s">
        <v>50</v>
      </c>
    </row>
    <row r="34">
      <c r="A34" s="51"/>
      <c r="B34" s="28"/>
      <c r="C34" s="781"/>
      <c r="D34" s="781"/>
      <c r="E34" s="781"/>
    </row>
    <row r="35">
      <c r="A35" s="627" t="s">
        <v>3652</v>
      </c>
    </row>
    <row r="36">
      <c r="A36" s="51" t="s">
        <v>3653</v>
      </c>
      <c r="B36" s="28">
        <v>45209.0</v>
      </c>
      <c r="C36" s="781" t="s">
        <v>3617</v>
      </c>
      <c r="D36" s="781" t="s">
        <v>3654</v>
      </c>
      <c r="E36" s="781" t="s">
        <v>3655</v>
      </c>
    </row>
    <row r="37">
      <c r="A37" s="51" t="s">
        <v>3656</v>
      </c>
      <c r="B37" s="28">
        <v>45210.0</v>
      </c>
      <c r="C37" s="781" t="s">
        <v>3640</v>
      </c>
      <c r="D37" s="781" t="s">
        <v>3657</v>
      </c>
      <c r="E37" s="781" t="s">
        <v>3658</v>
      </c>
      <c r="G37" s="51">
        <v>5.25</v>
      </c>
    </row>
    <row r="38">
      <c r="A38" s="51" t="s">
        <v>3656</v>
      </c>
      <c r="B38" s="28">
        <v>45211.0</v>
      </c>
      <c r="C38" s="781" t="s">
        <v>3618</v>
      </c>
      <c r="D38" s="781" t="s">
        <v>3659</v>
      </c>
      <c r="E38" s="781" t="s">
        <v>3658</v>
      </c>
      <c r="G38" s="51">
        <v>7.75</v>
      </c>
    </row>
    <row r="39">
      <c r="A39" s="51" t="s">
        <v>3656</v>
      </c>
      <c r="B39" s="28">
        <v>45212.0</v>
      </c>
      <c r="C39" s="781" t="s">
        <v>3618</v>
      </c>
      <c r="D39" s="781" t="s">
        <v>3621</v>
      </c>
      <c r="E39" s="781" t="s">
        <v>3658</v>
      </c>
      <c r="G39" s="47">
        <v>8.0</v>
      </c>
    </row>
    <row r="40">
      <c r="A40" s="51"/>
      <c r="C40" s="781"/>
      <c r="D40" s="781"/>
      <c r="E40" s="781"/>
    </row>
    <row r="41">
      <c r="A41" s="51" t="s">
        <v>3656</v>
      </c>
      <c r="B41" s="28">
        <v>45215.0</v>
      </c>
      <c r="C41" s="781" t="s">
        <v>3618</v>
      </c>
      <c r="D41" s="781" t="s">
        <v>3660</v>
      </c>
      <c r="E41" s="781" t="s">
        <v>3658</v>
      </c>
      <c r="G41" s="51">
        <v>7.17</v>
      </c>
    </row>
    <row r="42">
      <c r="A42" s="51" t="s">
        <v>3656</v>
      </c>
      <c r="B42" s="28">
        <v>45216.0</v>
      </c>
      <c r="C42" s="781" t="s">
        <v>3618</v>
      </c>
      <c r="D42" s="781" t="s">
        <v>3613</v>
      </c>
      <c r="E42" s="781" t="s">
        <v>3658</v>
      </c>
      <c r="G42" s="51">
        <v>6.75</v>
      </c>
    </row>
    <row r="43">
      <c r="A43" s="51" t="s">
        <v>3656</v>
      </c>
      <c r="B43" s="28">
        <v>45217.0</v>
      </c>
      <c r="C43" s="781" t="s">
        <v>3618</v>
      </c>
      <c r="D43" s="781" t="s">
        <v>3661</v>
      </c>
      <c r="E43" s="781" t="s">
        <v>3658</v>
      </c>
      <c r="G43" s="47">
        <v>7.5</v>
      </c>
    </row>
    <row r="44">
      <c r="A44" s="51" t="s">
        <v>3656</v>
      </c>
      <c r="B44" s="28">
        <v>45218.0</v>
      </c>
      <c r="C44" s="781" t="s">
        <v>3618</v>
      </c>
      <c r="D44" s="781" t="s">
        <v>3661</v>
      </c>
      <c r="E44" s="781" t="s">
        <v>3658</v>
      </c>
      <c r="G44" s="47">
        <v>7.5</v>
      </c>
    </row>
    <row r="45">
      <c r="A45" s="51" t="s">
        <v>3656</v>
      </c>
      <c r="B45" s="28">
        <v>45219.0</v>
      </c>
      <c r="C45" s="781" t="s">
        <v>3618</v>
      </c>
      <c r="D45" s="781" t="s">
        <v>3662</v>
      </c>
      <c r="E45" s="781" t="s">
        <v>3655</v>
      </c>
      <c r="G45" s="47">
        <v>5.0</v>
      </c>
    </row>
    <row r="46">
      <c r="C46" s="783"/>
      <c r="D46" s="783"/>
      <c r="E46" s="783"/>
      <c r="G46" s="622"/>
    </row>
    <row r="47">
      <c r="A47" s="51" t="s">
        <v>3656</v>
      </c>
      <c r="B47" s="28">
        <v>45222.0</v>
      </c>
      <c r="C47" s="781" t="s">
        <v>27</v>
      </c>
      <c r="D47" s="781" t="s">
        <v>3661</v>
      </c>
      <c r="E47" s="781" t="s">
        <v>3658</v>
      </c>
      <c r="G47" s="47">
        <v>6.5</v>
      </c>
    </row>
    <row r="48">
      <c r="A48" s="51" t="s">
        <v>15</v>
      </c>
      <c r="B48" s="28">
        <v>45223.0</v>
      </c>
      <c r="C48" s="783"/>
      <c r="D48" s="783"/>
      <c r="E48" s="783"/>
      <c r="G48" s="622"/>
    </row>
    <row r="49">
      <c r="A49" s="51" t="s">
        <v>3663</v>
      </c>
      <c r="B49" s="28">
        <v>45224.0</v>
      </c>
      <c r="C49" s="781" t="s">
        <v>3664</v>
      </c>
      <c r="D49" s="781" t="s">
        <v>3665</v>
      </c>
      <c r="E49" s="781" t="s">
        <v>3666</v>
      </c>
      <c r="G49" s="47">
        <v>6.0</v>
      </c>
    </row>
    <row r="50">
      <c r="A50" s="51" t="s">
        <v>3663</v>
      </c>
      <c r="B50" s="28">
        <v>45225.0</v>
      </c>
      <c r="C50" s="781" t="s">
        <v>3520</v>
      </c>
      <c r="D50" s="781" t="s">
        <v>3621</v>
      </c>
      <c r="E50" s="781" t="s">
        <v>21</v>
      </c>
      <c r="G50" s="47">
        <v>6.25</v>
      </c>
    </row>
    <row r="51">
      <c r="A51" s="51" t="s">
        <v>3663</v>
      </c>
      <c r="B51" s="28">
        <v>45226.0</v>
      </c>
      <c r="C51" s="781" t="s">
        <v>3520</v>
      </c>
      <c r="D51" s="781" t="s">
        <v>3667</v>
      </c>
      <c r="E51" s="781" t="s">
        <v>3666</v>
      </c>
      <c r="G51" s="47">
        <v>7.5</v>
      </c>
    </row>
    <row r="52">
      <c r="G52" s="622"/>
    </row>
    <row r="53">
      <c r="A53" s="51" t="s">
        <v>3656</v>
      </c>
      <c r="B53" s="28">
        <v>45229.0</v>
      </c>
      <c r="C53" s="781" t="s">
        <v>3647</v>
      </c>
      <c r="D53" s="781" t="s">
        <v>3668</v>
      </c>
      <c r="E53" s="781" t="s">
        <v>3655</v>
      </c>
      <c r="G53" s="51">
        <v>6.25</v>
      </c>
    </row>
    <row r="54">
      <c r="A54" s="51" t="s">
        <v>3656</v>
      </c>
      <c r="B54" s="28">
        <v>45230.0</v>
      </c>
      <c r="C54" s="781" t="s">
        <v>3599</v>
      </c>
      <c r="D54" s="781" t="s">
        <v>3668</v>
      </c>
      <c r="E54" s="781" t="s">
        <v>3655</v>
      </c>
      <c r="G54" s="51">
        <v>6.75</v>
      </c>
    </row>
    <row r="56">
      <c r="A56" s="784" t="s">
        <v>3669</v>
      </c>
      <c r="G56" s="622">
        <f>G37+G38+G39+G41+G42+G43+G44+G45+G47+G49+G50+G53+G54+G51</f>
        <v>94.17</v>
      </c>
    </row>
    <row r="58">
      <c r="A58" s="627" t="s">
        <v>3670</v>
      </c>
    </row>
    <row r="59">
      <c r="A59" s="51" t="s">
        <v>3656</v>
      </c>
      <c r="B59" s="28">
        <v>45232.0</v>
      </c>
      <c r="C59" s="781" t="s">
        <v>3647</v>
      </c>
      <c r="D59" s="781" t="s">
        <v>3654</v>
      </c>
      <c r="E59" s="781" t="s">
        <v>3658</v>
      </c>
      <c r="F59" s="783"/>
      <c r="G59" s="47">
        <v>6.0</v>
      </c>
    </row>
    <row r="60">
      <c r="A60" s="51" t="s">
        <v>3656</v>
      </c>
      <c r="B60" s="28">
        <v>45233.0</v>
      </c>
      <c r="C60" s="781" t="s">
        <v>3647</v>
      </c>
      <c r="D60" s="781" t="s">
        <v>3654</v>
      </c>
      <c r="E60" s="781" t="s">
        <v>3658</v>
      </c>
      <c r="F60" s="783"/>
      <c r="G60" s="47">
        <v>6.0</v>
      </c>
    </row>
    <row r="61">
      <c r="C61" s="783"/>
      <c r="D61" s="783"/>
      <c r="E61" s="783"/>
      <c r="G61" s="622"/>
    </row>
    <row r="62">
      <c r="A62" s="51" t="s">
        <v>3656</v>
      </c>
      <c r="B62" s="28">
        <v>45236.0</v>
      </c>
      <c r="C62" s="783"/>
      <c r="D62" s="783"/>
      <c r="E62" s="783"/>
      <c r="G62" s="622"/>
    </row>
    <row r="63">
      <c r="A63" s="51" t="s">
        <v>3656</v>
      </c>
      <c r="B63" s="28">
        <v>45237.0</v>
      </c>
      <c r="C63" s="783"/>
      <c r="D63" s="783"/>
      <c r="E63" s="783"/>
      <c r="G63" s="622"/>
    </row>
    <row r="64">
      <c r="A64" s="51" t="s">
        <v>3656</v>
      </c>
      <c r="B64" s="28">
        <v>45238.0</v>
      </c>
      <c r="C64" s="783"/>
      <c r="D64" s="783"/>
      <c r="E64" s="783"/>
      <c r="G64" s="622"/>
    </row>
    <row r="65">
      <c r="A65" s="51" t="s">
        <v>3656</v>
      </c>
      <c r="B65" s="28">
        <v>45239.0</v>
      </c>
      <c r="C65" s="783"/>
      <c r="D65" s="783"/>
      <c r="E65" s="783"/>
      <c r="G65" s="622"/>
    </row>
    <row r="66">
      <c r="A66" s="51" t="s">
        <v>3656</v>
      </c>
      <c r="B66" s="28">
        <v>45240.0</v>
      </c>
      <c r="C66" s="783"/>
      <c r="D66" s="783"/>
      <c r="E66" s="783"/>
      <c r="G66" s="622"/>
    </row>
  </sheetData>
  <mergeCells count="8">
    <mergeCell ref="A1:M1"/>
    <mergeCell ref="D14:F18"/>
    <mergeCell ref="C19:F19"/>
    <mergeCell ref="C26:F26"/>
    <mergeCell ref="A32:M32"/>
    <mergeCell ref="A35:F35"/>
    <mergeCell ref="A56:F56"/>
    <mergeCell ref="A58:F5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71"/>
    <col customWidth="1" min="2" max="2" width="9.43"/>
    <col customWidth="1" min="3" max="3" width="9.57"/>
    <col customWidth="1" min="4" max="4" width="7.86"/>
    <col customWidth="1" min="5" max="5" width="7.14"/>
    <col customWidth="1" min="6" max="6" width="11.29"/>
    <col customWidth="1" min="7" max="7" width="15.86"/>
    <col customWidth="1" min="8" max="8" width="13.43"/>
    <col customWidth="1" min="10" max="10" width="24.57"/>
    <col customWidth="1" min="13" max="13" width="11.29"/>
    <col customWidth="1" min="14" max="14" width="10.43"/>
    <col customWidth="1" min="15" max="15" width="13.71"/>
  </cols>
  <sheetData>
    <row r="1">
      <c r="A1" s="1" t="s">
        <v>3534</v>
      </c>
    </row>
    <row r="2">
      <c r="A2" s="728" t="s">
        <v>243</v>
      </c>
      <c r="B2" s="728" t="s">
        <v>3445</v>
      </c>
      <c r="C2" s="728" t="s">
        <v>3446</v>
      </c>
      <c r="D2" s="728" t="s">
        <v>3447</v>
      </c>
      <c r="E2" s="728" t="s">
        <v>3448</v>
      </c>
      <c r="F2" s="729" t="s">
        <v>3449</v>
      </c>
      <c r="G2" s="730" t="s">
        <v>3450</v>
      </c>
      <c r="H2" s="731" t="s">
        <v>3451</v>
      </c>
      <c r="I2" s="732" t="s">
        <v>3452</v>
      </c>
      <c r="J2" s="733" t="s">
        <v>50</v>
      </c>
      <c r="K2" s="734" t="s">
        <v>3671</v>
      </c>
      <c r="M2" s="760"/>
      <c r="N2" s="760"/>
      <c r="O2" s="760"/>
    </row>
    <row r="3">
      <c r="A3" s="28">
        <v>44166.0</v>
      </c>
      <c r="B3" s="29">
        <v>7.3</v>
      </c>
      <c r="C3" s="29">
        <v>17.0</v>
      </c>
      <c r="D3" s="30" t="s">
        <v>3</v>
      </c>
      <c r="E3" s="30" t="s">
        <v>4</v>
      </c>
      <c r="F3" s="29">
        <v>7.75</v>
      </c>
      <c r="G3" s="32"/>
      <c r="M3" s="760"/>
      <c r="N3" s="760"/>
      <c r="O3" s="760"/>
    </row>
    <row r="4">
      <c r="A4" s="28">
        <v>44167.0</v>
      </c>
      <c r="B4" s="29">
        <v>7.3</v>
      </c>
      <c r="C4" s="29">
        <v>17.0</v>
      </c>
      <c r="D4" s="30" t="s">
        <v>3</v>
      </c>
      <c r="E4" s="30" t="s">
        <v>4</v>
      </c>
      <c r="F4" s="29">
        <v>7.75</v>
      </c>
      <c r="G4" s="32"/>
      <c r="M4" s="760"/>
      <c r="N4" s="760"/>
      <c r="O4" s="760"/>
    </row>
    <row r="5">
      <c r="A5" s="28">
        <v>44168.0</v>
      </c>
      <c r="B5" s="29">
        <v>7.3</v>
      </c>
      <c r="C5" s="29">
        <v>17.0</v>
      </c>
      <c r="D5" s="30" t="s">
        <v>3</v>
      </c>
      <c r="E5" s="30" t="s">
        <v>4</v>
      </c>
      <c r="F5" s="29">
        <v>7.75</v>
      </c>
      <c r="G5" s="32"/>
      <c r="M5" s="760"/>
      <c r="N5" s="760"/>
      <c r="O5" s="760"/>
    </row>
    <row r="6">
      <c r="A6" s="28">
        <v>44169.0</v>
      </c>
      <c r="B6" s="756">
        <v>7.3</v>
      </c>
      <c r="C6" s="756">
        <v>16.15</v>
      </c>
      <c r="D6" s="757" t="s">
        <v>3540</v>
      </c>
      <c r="E6" s="757" t="s">
        <v>3515</v>
      </c>
      <c r="F6" s="756">
        <v>7.0</v>
      </c>
      <c r="G6" s="758">
        <v>3.0</v>
      </c>
      <c r="M6" s="760"/>
      <c r="N6" s="760"/>
      <c r="O6" s="760"/>
    </row>
    <row r="7">
      <c r="A7" s="3" t="s">
        <v>7</v>
      </c>
      <c r="B7" s="14"/>
      <c r="C7" s="14"/>
      <c r="D7" s="15"/>
      <c r="E7" s="6"/>
      <c r="F7" s="735">
        <f>F3+F4+F5+F6</f>
        <v>30.25</v>
      </c>
      <c r="M7" s="760"/>
      <c r="N7" s="760"/>
      <c r="O7" s="760"/>
    </row>
    <row r="8">
      <c r="A8" s="28">
        <v>44172.0</v>
      </c>
      <c r="B8" s="749">
        <v>7.3</v>
      </c>
      <c r="C8" s="749">
        <v>17.0</v>
      </c>
      <c r="D8" s="752" t="s">
        <v>3</v>
      </c>
      <c r="E8" s="752" t="s">
        <v>4</v>
      </c>
      <c r="F8" s="749">
        <v>7.75</v>
      </c>
      <c r="G8" s="32"/>
      <c r="M8" s="760"/>
      <c r="N8" s="760"/>
      <c r="O8" s="760"/>
    </row>
    <row r="9">
      <c r="A9" s="28">
        <v>44173.0</v>
      </c>
      <c r="B9" s="29">
        <v>7.3</v>
      </c>
      <c r="C9" s="29">
        <v>17.0</v>
      </c>
      <c r="D9" s="30" t="s">
        <v>3</v>
      </c>
      <c r="E9" s="30" t="s">
        <v>4</v>
      </c>
      <c r="F9" s="29">
        <v>7.75</v>
      </c>
      <c r="G9" s="32"/>
      <c r="M9" s="760"/>
      <c r="N9" s="760"/>
      <c r="O9" s="760"/>
    </row>
    <row r="10">
      <c r="A10" s="28">
        <v>44174.0</v>
      </c>
      <c r="B10" s="29">
        <v>7.3</v>
      </c>
      <c r="C10" s="29">
        <v>17.0</v>
      </c>
      <c r="D10" s="30" t="s">
        <v>3</v>
      </c>
      <c r="E10" s="30" t="s">
        <v>4</v>
      </c>
      <c r="F10" s="29">
        <v>7.75</v>
      </c>
      <c r="G10" s="32"/>
      <c r="M10" s="760"/>
      <c r="N10" s="760"/>
      <c r="O10" s="760"/>
    </row>
    <row r="11">
      <c r="A11" s="28">
        <v>44175.0</v>
      </c>
      <c r="B11" s="34" t="s">
        <v>3556</v>
      </c>
      <c r="G11" s="32"/>
      <c r="H11" s="650" t="s">
        <v>3672</v>
      </c>
      <c r="J11" s="785" t="s">
        <v>3673</v>
      </c>
      <c r="M11" s="760"/>
      <c r="N11" s="760"/>
      <c r="O11" s="760"/>
    </row>
    <row r="12" ht="28.5" customHeight="1">
      <c r="A12" s="28">
        <v>44176.0</v>
      </c>
      <c r="B12" s="34" t="s">
        <v>3556</v>
      </c>
      <c r="G12" s="29"/>
      <c r="M12" s="760"/>
      <c r="N12" s="760"/>
      <c r="O12" s="760"/>
    </row>
    <row r="13">
      <c r="A13" s="3" t="s">
        <v>7</v>
      </c>
      <c r="B13" s="14"/>
      <c r="C13" s="14"/>
      <c r="D13" s="15"/>
      <c r="E13" s="6"/>
      <c r="F13" s="735">
        <f>F8+F9+F10+F11+F12</f>
        <v>23.25</v>
      </c>
      <c r="M13" s="760"/>
      <c r="N13" s="760"/>
      <c r="O13" s="760"/>
    </row>
    <row r="14">
      <c r="A14" s="28">
        <v>44179.0</v>
      </c>
      <c r="B14" s="749">
        <v>7.3</v>
      </c>
      <c r="C14" s="749">
        <v>17.0</v>
      </c>
      <c r="D14" s="752" t="s">
        <v>3</v>
      </c>
      <c r="E14" s="752" t="s">
        <v>4</v>
      </c>
      <c r="F14" s="749">
        <v>7.75</v>
      </c>
      <c r="G14" s="32"/>
      <c r="M14" s="760"/>
      <c r="N14" s="760"/>
      <c r="O14" s="760"/>
    </row>
    <row r="15">
      <c r="A15" s="28">
        <v>44180.0</v>
      </c>
      <c r="B15" s="29">
        <v>7.3</v>
      </c>
      <c r="C15" s="29">
        <v>17.0</v>
      </c>
      <c r="D15" s="30" t="s">
        <v>3</v>
      </c>
      <c r="E15" s="30" t="s">
        <v>4</v>
      </c>
      <c r="F15" s="29">
        <v>7.75</v>
      </c>
      <c r="G15" s="32"/>
      <c r="M15" s="760"/>
      <c r="N15" s="760"/>
      <c r="O15" s="760"/>
    </row>
    <row r="16">
      <c r="A16" s="28">
        <v>44181.0</v>
      </c>
      <c r="B16" s="29">
        <v>7.3</v>
      </c>
      <c r="C16" s="29">
        <v>17.0</v>
      </c>
      <c r="D16" s="30" t="s">
        <v>3</v>
      </c>
      <c r="E16" s="30" t="s">
        <v>4</v>
      </c>
      <c r="F16" s="29">
        <v>7.75</v>
      </c>
      <c r="G16" s="32"/>
      <c r="M16" s="760"/>
      <c r="N16" s="760"/>
      <c r="O16" s="760"/>
    </row>
    <row r="17">
      <c r="A17" s="28">
        <v>44182.0</v>
      </c>
      <c r="B17" s="29">
        <v>7.3</v>
      </c>
      <c r="C17" s="29">
        <v>17.0</v>
      </c>
      <c r="D17" s="30" t="s">
        <v>3</v>
      </c>
      <c r="E17" s="30" t="s">
        <v>4</v>
      </c>
      <c r="F17" s="29">
        <v>7.75</v>
      </c>
      <c r="G17" s="32"/>
      <c r="M17" s="760"/>
      <c r="N17" s="760"/>
      <c r="O17" s="760"/>
    </row>
    <row r="18">
      <c r="A18" s="28">
        <v>44183.0</v>
      </c>
      <c r="B18" s="756">
        <v>7.3</v>
      </c>
      <c r="C18" s="756">
        <v>16.15</v>
      </c>
      <c r="D18" s="757" t="s">
        <v>3540</v>
      </c>
      <c r="E18" s="757" t="s">
        <v>3515</v>
      </c>
      <c r="F18" s="756">
        <v>7.0</v>
      </c>
      <c r="G18" s="758">
        <v>3.0</v>
      </c>
      <c r="M18" s="760"/>
      <c r="N18" s="760"/>
      <c r="O18" s="760"/>
    </row>
    <row r="19">
      <c r="A19" s="3" t="s">
        <v>7</v>
      </c>
      <c r="B19" s="14"/>
      <c r="C19" s="14"/>
      <c r="D19" s="15"/>
      <c r="E19" s="6"/>
      <c r="F19" s="735">
        <f>F14+F15+F16+F17+F18</f>
        <v>38</v>
      </c>
      <c r="M19" s="9" t="s">
        <v>9</v>
      </c>
      <c r="N19" s="10" t="s">
        <v>10</v>
      </c>
      <c r="O19" s="10" t="s">
        <v>1</v>
      </c>
    </row>
    <row r="20">
      <c r="A20" s="13" t="s">
        <v>2</v>
      </c>
      <c r="B20" s="14"/>
      <c r="C20" s="14"/>
      <c r="D20" s="15"/>
      <c r="E20" s="16"/>
      <c r="F20" s="17">
        <f>F7+F13+F19</f>
        <v>91.5</v>
      </c>
      <c r="G20" s="18">
        <v>6.0</v>
      </c>
      <c r="H20" s="19">
        <f>H5+H6</f>
        <v>0</v>
      </c>
      <c r="I20" s="20">
        <v>6.0</v>
      </c>
      <c r="J20" s="21" t="s">
        <v>3674</v>
      </c>
      <c r="K20" s="22" t="s">
        <v>3675</v>
      </c>
      <c r="L20" s="23" t="s">
        <v>14</v>
      </c>
      <c r="M20" s="466">
        <v>1436.15</v>
      </c>
      <c r="N20" s="466">
        <v>966.91</v>
      </c>
      <c r="O20" s="466">
        <v>1175.86</v>
      </c>
    </row>
    <row r="21">
      <c r="M21" s="760"/>
      <c r="N21" s="760"/>
      <c r="O21" s="760"/>
    </row>
    <row r="22">
      <c r="A22" s="33" t="s">
        <v>3676</v>
      </c>
      <c r="G22" s="737" t="s">
        <v>3677</v>
      </c>
      <c r="M22" s="760"/>
      <c r="N22" s="760"/>
      <c r="O22" s="760"/>
    </row>
    <row r="24">
      <c r="A24" s="786">
        <v>2021.0</v>
      </c>
    </row>
    <row r="25">
      <c r="A25" s="728" t="s">
        <v>243</v>
      </c>
      <c r="B25" s="728" t="s">
        <v>3445</v>
      </c>
      <c r="C25" s="728" t="s">
        <v>3446</v>
      </c>
      <c r="D25" s="728" t="s">
        <v>3447</v>
      </c>
      <c r="E25" s="728" t="s">
        <v>3448</v>
      </c>
      <c r="F25" s="729" t="s">
        <v>3449</v>
      </c>
      <c r="G25" s="730" t="s">
        <v>3450</v>
      </c>
      <c r="H25" s="731" t="s">
        <v>3451</v>
      </c>
      <c r="I25" s="732" t="s">
        <v>3452</v>
      </c>
      <c r="J25" s="733" t="s">
        <v>50</v>
      </c>
      <c r="K25" s="734" t="s">
        <v>3678</v>
      </c>
    </row>
    <row r="26">
      <c r="A26" s="28">
        <v>44200.0</v>
      </c>
      <c r="B26" s="749">
        <v>7.3</v>
      </c>
      <c r="C26" s="749">
        <v>17.0</v>
      </c>
      <c r="D26" s="752" t="s">
        <v>3</v>
      </c>
      <c r="E26" s="752" t="s">
        <v>4</v>
      </c>
      <c r="F26" s="749">
        <v>7.75</v>
      </c>
    </row>
    <row r="27">
      <c r="A27" s="28">
        <v>44201.0</v>
      </c>
      <c r="B27" s="29">
        <v>7.3</v>
      </c>
      <c r="C27" s="29">
        <v>17.0</v>
      </c>
      <c r="D27" s="30" t="s">
        <v>3</v>
      </c>
      <c r="E27" s="30" t="s">
        <v>4</v>
      </c>
      <c r="F27" s="29">
        <v>7.75</v>
      </c>
    </row>
    <row r="28">
      <c r="A28" s="28">
        <v>44202.0</v>
      </c>
      <c r="B28" s="29">
        <v>7.3</v>
      </c>
      <c r="C28" s="29">
        <v>17.0</v>
      </c>
      <c r="D28" s="30" t="s">
        <v>3</v>
      </c>
      <c r="E28" s="30" t="s">
        <v>4</v>
      </c>
      <c r="F28" s="29">
        <v>7.75</v>
      </c>
      <c r="G28" s="32"/>
    </row>
    <row r="29">
      <c r="A29" s="28">
        <v>44203.0</v>
      </c>
      <c r="B29" s="29">
        <v>7.3</v>
      </c>
      <c r="C29" s="29">
        <v>17.0</v>
      </c>
      <c r="D29" s="30" t="s">
        <v>3</v>
      </c>
      <c r="E29" s="30" t="s">
        <v>4</v>
      </c>
      <c r="F29" s="29">
        <v>7.75</v>
      </c>
      <c r="G29" s="32"/>
    </row>
    <row r="30">
      <c r="A30" s="28">
        <v>44204.0</v>
      </c>
      <c r="B30" s="756">
        <v>7.3</v>
      </c>
      <c r="C30" s="756">
        <v>16.15</v>
      </c>
      <c r="D30" s="757" t="s">
        <v>3540</v>
      </c>
      <c r="E30" s="757" t="s">
        <v>3515</v>
      </c>
      <c r="F30" s="756">
        <v>7.0</v>
      </c>
      <c r="G30" s="758">
        <v>3.0</v>
      </c>
    </row>
    <row r="31">
      <c r="A31" s="3" t="s">
        <v>7</v>
      </c>
      <c r="B31" s="14"/>
      <c r="C31" s="14"/>
      <c r="D31" s="15"/>
      <c r="E31" s="6"/>
      <c r="F31" s="735">
        <f>F26+F27+F28+F29+F30</f>
        <v>38</v>
      </c>
    </row>
    <row r="32">
      <c r="A32" s="28">
        <v>44207.0</v>
      </c>
      <c r="B32" s="749">
        <v>7.3</v>
      </c>
      <c r="C32" s="749">
        <v>17.0</v>
      </c>
      <c r="D32" s="752" t="s">
        <v>3</v>
      </c>
      <c r="E32" s="752" t="s">
        <v>4</v>
      </c>
      <c r="F32" s="749">
        <v>7.75</v>
      </c>
    </row>
    <row r="33">
      <c r="A33" s="28">
        <v>44208.0</v>
      </c>
      <c r="B33" s="29">
        <v>7.3</v>
      </c>
      <c r="C33" s="29">
        <v>17.0</v>
      </c>
      <c r="D33" s="30" t="s">
        <v>3</v>
      </c>
      <c r="E33" s="30" t="s">
        <v>4</v>
      </c>
      <c r="F33" s="29">
        <v>7.75</v>
      </c>
    </row>
    <row r="34">
      <c r="A34" s="28">
        <v>44209.0</v>
      </c>
      <c r="B34" s="29">
        <v>7.3</v>
      </c>
      <c r="C34" s="29">
        <v>17.0</v>
      </c>
      <c r="D34" s="30" t="s">
        <v>3</v>
      </c>
      <c r="E34" s="30" t="s">
        <v>4</v>
      </c>
      <c r="F34" s="29">
        <v>7.75</v>
      </c>
      <c r="G34" s="32"/>
    </row>
    <row r="35">
      <c r="A35" s="28">
        <v>44210.0</v>
      </c>
      <c r="B35" s="29">
        <v>7.3</v>
      </c>
      <c r="C35" s="29">
        <v>17.0</v>
      </c>
      <c r="D35" s="30" t="s">
        <v>3</v>
      </c>
      <c r="E35" s="30" t="s">
        <v>4</v>
      </c>
      <c r="F35" s="29">
        <v>7.75</v>
      </c>
      <c r="G35" s="32"/>
    </row>
    <row r="36">
      <c r="A36" s="28">
        <v>44211.0</v>
      </c>
      <c r="B36" s="756">
        <v>7.3</v>
      </c>
      <c r="C36" s="756">
        <v>16.15</v>
      </c>
      <c r="D36" s="757" t="s">
        <v>3540</v>
      </c>
      <c r="E36" s="757" t="s">
        <v>3515</v>
      </c>
      <c r="F36" s="756">
        <v>7.0</v>
      </c>
      <c r="G36" s="758">
        <v>3.0</v>
      </c>
    </row>
    <row r="37">
      <c r="A37" s="3" t="s">
        <v>7</v>
      </c>
      <c r="B37" s="14"/>
      <c r="C37" s="14"/>
      <c r="D37" s="15"/>
      <c r="E37" s="6"/>
      <c r="F37" s="735">
        <f>F32+F33+F34+F35+F36</f>
        <v>38</v>
      </c>
    </row>
    <row r="38">
      <c r="A38" s="28">
        <v>44214.0</v>
      </c>
      <c r="B38" s="749">
        <v>7.3</v>
      </c>
      <c r="C38" s="749">
        <v>17.0</v>
      </c>
      <c r="D38" s="752" t="s">
        <v>3</v>
      </c>
      <c r="E38" s="752" t="s">
        <v>4</v>
      </c>
      <c r="F38" s="749">
        <v>7.75</v>
      </c>
    </row>
    <row r="39">
      <c r="A39" s="28">
        <v>44215.0</v>
      </c>
      <c r="B39" s="29">
        <v>7.3</v>
      </c>
      <c r="C39" s="29">
        <v>17.0</v>
      </c>
      <c r="D39" s="30" t="s">
        <v>3</v>
      </c>
      <c r="E39" s="30" t="s">
        <v>4</v>
      </c>
      <c r="F39" s="29">
        <v>7.75</v>
      </c>
    </row>
    <row r="40">
      <c r="A40" s="28">
        <v>44216.0</v>
      </c>
      <c r="B40" s="29">
        <v>7.3</v>
      </c>
      <c r="C40" s="29">
        <v>17.0</v>
      </c>
      <c r="D40" s="30" t="s">
        <v>3</v>
      </c>
      <c r="E40" s="30" t="s">
        <v>4</v>
      </c>
      <c r="F40" s="29">
        <v>7.75</v>
      </c>
      <c r="G40" s="32"/>
    </row>
    <row r="41">
      <c r="A41" s="28">
        <v>44217.0</v>
      </c>
      <c r="B41" s="29">
        <v>7.3</v>
      </c>
      <c r="C41" s="29">
        <v>17.0</v>
      </c>
      <c r="D41" s="30" t="s">
        <v>3</v>
      </c>
      <c r="E41" s="30" t="s">
        <v>4</v>
      </c>
      <c r="F41" s="29">
        <v>7.75</v>
      </c>
      <c r="G41" s="32"/>
    </row>
    <row r="42">
      <c r="A42" s="28">
        <v>44218.0</v>
      </c>
      <c r="B42" s="756">
        <v>7.3</v>
      </c>
      <c r="C42" s="756">
        <v>16.15</v>
      </c>
      <c r="D42" s="757" t="s">
        <v>3540</v>
      </c>
      <c r="E42" s="757" t="s">
        <v>3515</v>
      </c>
      <c r="F42" s="756">
        <v>7.0</v>
      </c>
      <c r="G42" s="758">
        <v>3.0</v>
      </c>
    </row>
    <row r="43">
      <c r="A43" s="3" t="s">
        <v>7</v>
      </c>
      <c r="B43" s="14"/>
      <c r="C43" s="14"/>
      <c r="D43" s="15"/>
      <c r="E43" s="6"/>
      <c r="F43" s="735">
        <f>F38+F39+F40+F41+F42</f>
        <v>38</v>
      </c>
    </row>
    <row r="44">
      <c r="A44" s="28">
        <v>44221.0</v>
      </c>
      <c r="B44" s="749">
        <v>7.3</v>
      </c>
      <c r="C44" s="749">
        <v>17.0</v>
      </c>
      <c r="D44" s="752" t="s">
        <v>3</v>
      </c>
      <c r="E44" s="752" t="s">
        <v>4</v>
      </c>
      <c r="F44" s="749">
        <v>7.75</v>
      </c>
    </row>
    <row r="45">
      <c r="A45" s="28">
        <v>44222.0</v>
      </c>
      <c r="B45" s="29">
        <v>7.3</v>
      </c>
      <c r="C45" s="29">
        <v>17.0</v>
      </c>
      <c r="D45" s="30" t="s">
        <v>3</v>
      </c>
      <c r="E45" s="30" t="s">
        <v>4</v>
      </c>
      <c r="F45" s="29">
        <v>7.75</v>
      </c>
    </row>
    <row r="46">
      <c r="A46" s="28">
        <v>44223.0</v>
      </c>
      <c r="B46" s="29">
        <v>7.3</v>
      </c>
      <c r="C46" s="29">
        <v>17.0</v>
      </c>
      <c r="D46" s="30" t="s">
        <v>3</v>
      </c>
      <c r="E46" s="30" t="s">
        <v>4</v>
      </c>
      <c r="F46" s="29">
        <v>7.75</v>
      </c>
    </row>
    <row r="47">
      <c r="A47" s="28">
        <v>44224.0</v>
      </c>
      <c r="B47" s="29">
        <v>7.3</v>
      </c>
      <c r="C47" s="29">
        <v>17.0</v>
      </c>
      <c r="D47" s="30" t="s">
        <v>3</v>
      </c>
      <c r="E47" s="30" t="s">
        <v>4</v>
      </c>
      <c r="F47" s="29">
        <v>7.75</v>
      </c>
    </row>
    <row r="48">
      <c r="A48" s="28">
        <v>44225.0</v>
      </c>
      <c r="B48" s="756">
        <v>7.3</v>
      </c>
      <c r="C48" s="756">
        <v>16.15</v>
      </c>
      <c r="D48" s="757" t="s">
        <v>3540</v>
      </c>
      <c r="E48" s="757" t="s">
        <v>3515</v>
      </c>
      <c r="F48" s="756">
        <v>7.0</v>
      </c>
      <c r="G48" s="758">
        <v>3.0</v>
      </c>
    </row>
    <row r="49">
      <c r="A49" s="3" t="s">
        <v>7</v>
      </c>
      <c r="B49" s="14"/>
      <c r="C49" s="14"/>
      <c r="D49" s="15"/>
      <c r="E49" s="6"/>
      <c r="F49" s="735">
        <f>F44+F45+F46+F47+F48</f>
        <v>38</v>
      </c>
      <c r="M49" s="9" t="s">
        <v>9</v>
      </c>
      <c r="N49" s="10" t="s">
        <v>10</v>
      </c>
      <c r="O49" s="10" t="s">
        <v>1</v>
      </c>
    </row>
    <row r="50">
      <c r="A50" s="13" t="s">
        <v>2</v>
      </c>
      <c r="B50" s="14"/>
      <c r="C50" s="14"/>
      <c r="D50" s="15"/>
      <c r="E50" s="16"/>
      <c r="F50" s="17">
        <f>F31+F37+F43+F49</f>
        <v>152</v>
      </c>
      <c r="G50" s="18">
        <f>G30+G36+G42+G48</f>
        <v>12</v>
      </c>
      <c r="H50" s="19">
        <f>H34+H35</f>
        <v>0</v>
      </c>
      <c r="I50" s="787">
        <f>G50-H50</f>
        <v>12</v>
      </c>
      <c r="J50" s="21" t="s">
        <v>3679</v>
      </c>
      <c r="K50" s="22" t="s">
        <v>3680</v>
      </c>
      <c r="L50" s="23" t="s">
        <v>14</v>
      </c>
      <c r="M50" s="466">
        <v>1554.62</v>
      </c>
      <c r="N50" s="466">
        <v>1075.14</v>
      </c>
      <c r="O50" s="466">
        <v>1272.85</v>
      </c>
    </row>
    <row r="51">
      <c r="A51" s="728" t="s">
        <v>243</v>
      </c>
      <c r="B51" s="728" t="s">
        <v>3445</v>
      </c>
      <c r="C51" s="728" t="s">
        <v>3446</v>
      </c>
      <c r="D51" s="728" t="s">
        <v>3447</v>
      </c>
      <c r="E51" s="728" t="s">
        <v>3448</v>
      </c>
      <c r="F51" s="729" t="s">
        <v>3449</v>
      </c>
      <c r="G51" s="730" t="s">
        <v>3450</v>
      </c>
      <c r="H51" s="731" t="s">
        <v>3451</v>
      </c>
      <c r="I51" s="732" t="s">
        <v>3452</v>
      </c>
      <c r="J51" s="733" t="s">
        <v>50</v>
      </c>
      <c r="K51" s="734" t="s">
        <v>3681</v>
      </c>
    </row>
    <row r="52">
      <c r="A52" s="28">
        <v>44228.0</v>
      </c>
      <c r="B52" s="749">
        <v>7.3</v>
      </c>
      <c r="C52" s="749">
        <v>17.0</v>
      </c>
      <c r="D52" s="752" t="s">
        <v>3</v>
      </c>
      <c r="E52" s="752" t="s">
        <v>4</v>
      </c>
      <c r="F52" s="749">
        <v>7.75</v>
      </c>
    </row>
    <row r="53">
      <c r="A53" s="28">
        <v>44229.0</v>
      </c>
      <c r="B53" s="29">
        <v>7.3</v>
      </c>
      <c r="C53" s="29">
        <v>17.0</v>
      </c>
      <c r="D53" s="30" t="s">
        <v>3</v>
      </c>
      <c r="E53" s="30" t="s">
        <v>4</v>
      </c>
      <c r="F53" s="29">
        <v>7.75</v>
      </c>
    </row>
    <row r="54">
      <c r="A54" s="28">
        <v>44230.0</v>
      </c>
      <c r="B54" s="29">
        <v>7.3</v>
      </c>
      <c r="C54" s="29">
        <v>17.0</v>
      </c>
      <c r="D54" s="30" t="s">
        <v>3</v>
      </c>
      <c r="E54" s="30" t="s">
        <v>4</v>
      </c>
      <c r="F54" s="29">
        <v>7.75</v>
      </c>
    </row>
    <row r="55">
      <c r="A55" s="28">
        <v>44231.0</v>
      </c>
      <c r="B55" s="29">
        <v>7.3</v>
      </c>
      <c r="C55" s="29">
        <v>17.0</v>
      </c>
      <c r="D55" s="30" t="s">
        <v>3</v>
      </c>
      <c r="E55" s="30" t="s">
        <v>4</v>
      </c>
      <c r="F55" s="29">
        <v>7.75</v>
      </c>
    </row>
    <row r="56">
      <c r="A56" s="28">
        <v>44232.0</v>
      </c>
      <c r="B56" s="756">
        <v>7.3</v>
      </c>
      <c r="C56" s="756">
        <v>16.15</v>
      </c>
      <c r="D56" s="757" t="s">
        <v>3540</v>
      </c>
      <c r="E56" s="757" t="s">
        <v>3515</v>
      </c>
      <c r="F56" s="756">
        <v>7.0</v>
      </c>
      <c r="G56" s="758">
        <v>3.0</v>
      </c>
    </row>
    <row r="57">
      <c r="A57" s="3" t="s">
        <v>7</v>
      </c>
      <c r="B57" s="14"/>
      <c r="C57" s="14"/>
      <c r="D57" s="15"/>
      <c r="E57" s="6"/>
      <c r="F57" s="735">
        <f>F52+F53+F54+F55+F56</f>
        <v>38</v>
      </c>
    </row>
    <row r="58">
      <c r="A58" s="28">
        <v>44235.0</v>
      </c>
      <c r="B58" s="749">
        <v>7.3</v>
      </c>
      <c r="C58" s="749">
        <v>17.0</v>
      </c>
      <c r="D58" s="753" t="s">
        <v>21</v>
      </c>
      <c r="E58" s="753" t="s">
        <v>3520</v>
      </c>
      <c r="F58" s="754">
        <v>6.5</v>
      </c>
      <c r="G58" s="758">
        <v>1.0</v>
      </c>
      <c r="H58" s="19">
        <v>2.25</v>
      </c>
      <c r="J58" s="788" t="s">
        <v>3682</v>
      </c>
    </row>
    <row r="59">
      <c r="A59" s="28">
        <v>44236.0</v>
      </c>
      <c r="B59" s="29">
        <v>7.3</v>
      </c>
      <c r="C59" s="29">
        <v>17.0</v>
      </c>
      <c r="D59" s="42" t="s">
        <v>21</v>
      </c>
      <c r="E59" s="42" t="s">
        <v>22</v>
      </c>
      <c r="F59" s="39">
        <v>8.75</v>
      </c>
      <c r="G59" s="758">
        <v>1.0</v>
      </c>
    </row>
    <row r="60">
      <c r="A60" s="28">
        <v>44237.0</v>
      </c>
      <c r="B60" s="29">
        <v>7.3</v>
      </c>
      <c r="C60" s="29">
        <v>17.0</v>
      </c>
      <c r="D60" s="30" t="s">
        <v>3</v>
      </c>
      <c r="E60" s="30" t="s">
        <v>4</v>
      </c>
      <c r="F60" s="29">
        <v>7.75</v>
      </c>
    </row>
    <row r="61">
      <c r="A61" s="28">
        <v>44238.0</v>
      </c>
      <c r="B61" s="29">
        <v>7.3</v>
      </c>
      <c r="C61" s="29">
        <v>17.0</v>
      </c>
      <c r="D61" s="30" t="s">
        <v>3</v>
      </c>
      <c r="E61" s="30" t="s">
        <v>4</v>
      </c>
      <c r="F61" s="29">
        <v>7.75</v>
      </c>
    </row>
    <row r="62">
      <c r="A62" s="28">
        <v>44239.0</v>
      </c>
      <c r="B62" s="756">
        <v>7.3</v>
      </c>
      <c r="C62" s="756">
        <v>16.15</v>
      </c>
      <c r="D62" s="757" t="s">
        <v>3540</v>
      </c>
      <c r="E62" s="757" t="s">
        <v>3515</v>
      </c>
      <c r="F62" s="756">
        <v>7.0</v>
      </c>
      <c r="G62" s="758">
        <v>3.0</v>
      </c>
    </row>
    <row r="63">
      <c r="A63" s="3" t="s">
        <v>7</v>
      </c>
      <c r="B63" s="14"/>
      <c r="C63" s="14"/>
      <c r="D63" s="15"/>
      <c r="E63" s="6"/>
      <c r="F63" s="735">
        <f>F58+F59+F60+F61+F62</f>
        <v>37.75</v>
      </c>
    </row>
    <row r="64">
      <c r="A64" s="28">
        <v>44242.0</v>
      </c>
      <c r="B64" s="749">
        <v>7.3</v>
      </c>
      <c r="C64" s="749">
        <v>17.0</v>
      </c>
      <c r="D64" s="752" t="s">
        <v>3</v>
      </c>
      <c r="E64" s="752" t="s">
        <v>4</v>
      </c>
      <c r="F64" s="749">
        <v>7.75</v>
      </c>
    </row>
    <row r="65">
      <c r="A65" s="28">
        <v>44243.0</v>
      </c>
      <c r="B65" s="29">
        <v>7.3</v>
      </c>
      <c r="C65" s="29">
        <v>17.0</v>
      </c>
      <c r="D65" s="30" t="s">
        <v>3</v>
      </c>
      <c r="E65" s="30" t="s">
        <v>4</v>
      </c>
      <c r="F65" s="29">
        <v>7.75</v>
      </c>
    </row>
    <row r="66">
      <c r="A66" s="28">
        <v>44244.0</v>
      </c>
      <c r="B66" s="29">
        <v>7.3</v>
      </c>
      <c r="C66" s="29">
        <v>17.0</v>
      </c>
      <c r="D66" s="30" t="s">
        <v>3</v>
      </c>
      <c r="E66" s="30" t="s">
        <v>4</v>
      </c>
      <c r="F66" s="29">
        <v>7.75</v>
      </c>
    </row>
    <row r="67">
      <c r="A67" s="28">
        <v>44245.0</v>
      </c>
      <c r="B67" s="29">
        <v>7.3</v>
      </c>
      <c r="C67" s="29">
        <v>17.0</v>
      </c>
      <c r="D67" s="30" t="s">
        <v>3</v>
      </c>
      <c r="E67" s="30" t="s">
        <v>4</v>
      </c>
      <c r="F67" s="29">
        <v>7.75</v>
      </c>
    </row>
    <row r="68">
      <c r="A68" s="28">
        <v>44246.0</v>
      </c>
      <c r="B68" s="756">
        <v>7.3</v>
      </c>
      <c r="C68" s="762">
        <v>12.15</v>
      </c>
      <c r="D68" s="757"/>
      <c r="E68" s="763" t="s">
        <v>20</v>
      </c>
      <c r="F68" s="762">
        <v>4.75</v>
      </c>
      <c r="G68" s="764">
        <v>0.75</v>
      </c>
      <c r="J68" s="650"/>
    </row>
    <row r="69">
      <c r="A69" s="3" t="s">
        <v>7</v>
      </c>
      <c r="B69" s="14"/>
      <c r="C69" s="14"/>
      <c r="D69" s="15"/>
      <c r="E69" s="6"/>
      <c r="F69" s="735">
        <f>F64+F65+F66+F67+F68</f>
        <v>35.75</v>
      </c>
    </row>
    <row r="70">
      <c r="A70" s="28">
        <v>44249.0</v>
      </c>
      <c r="B70" s="749">
        <v>7.3</v>
      </c>
      <c r="C70" s="749">
        <v>17.0</v>
      </c>
      <c r="D70" s="752" t="s">
        <v>3</v>
      </c>
      <c r="E70" s="752" t="s">
        <v>4</v>
      </c>
      <c r="F70" s="749">
        <v>7.75</v>
      </c>
    </row>
    <row r="71">
      <c r="A71" s="28">
        <v>44250.0</v>
      </c>
      <c r="B71" s="29">
        <v>7.3</v>
      </c>
      <c r="C71" s="29">
        <v>17.0</v>
      </c>
      <c r="D71" s="30" t="s">
        <v>3</v>
      </c>
      <c r="E71" s="30" t="s">
        <v>4</v>
      </c>
      <c r="F71" s="29">
        <v>7.75</v>
      </c>
    </row>
    <row r="72">
      <c r="A72" s="28">
        <v>44251.0</v>
      </c>
      <c r="B72" s="29">
        <v>7.3</v>
      </c>
      <c r="C72" s="29">
        <v>17.0</v>
      </c>
      <c r="D72" s="30" t="s">
        <v>3</v>
      </c>
      <c r="E72" s="30" t="s">
        <v>4</v>
      </c>
      <c r="F72" s="29">
        <v>7.75</v>
      </c>
    </row>
    <row r="73">
      <c r="A73" s="28">
        <v>44252.0</v>
      </c>
      <c r="B73" s="29">
        <v>7.3</v>
      </c>
      <c r="C73" s="29">
        <v>17.0</v>
      </c>
      <c r="D73" s="30" t="s">
        <v>3</v>
      </c>
      <c r="E73" s="30" t="s">
        <v>4</v>
      </c>
      <c r="F73" s="29">
        <v>7.75</v>
      </c>
    </row>
    <row r="74">
      <c r="A74" s="28">
        <v>44253.0</v>
      </c>
      <c r="B74" s="756">
        <v>7.3</v>
      </c>
      <c r="C74" s="756">
        <v>16.15</v>
      </c>
      <c r="D74" s="757" t="s">
        <v>3540</v>
      </c>
      <c r="E74" s="757" t="s">
        <v>3515</v>
      </c>
      <c r="F74" s="756">
        <v>7.0</v>
      </c>
      <c r="G74" s="758">
        <v>3.0</v>
      </c>
    </row>
    <row r="75">
      <c r="A75" s="3" t="s">
        <v>7</v>
      </c>
      <c r="B75" s="14"/>
      <c r="C75" s="14"/>
      <c r="D75" s="15"/>
      <c r="E75" s="6"/>
      <c r="F75" s="735">
        <f>F70+F71+F72+F73+F74</f>
        <v>38</v>
      </c>
      <c r="M75" s="9" t="s">
        <v>9</v>
      </c>
      <c r="N75" s="10" t="s">
        <v>10</v>
      </c>
      <c r="O75" s="10" t="s">
        <v>1</v>
      </c>
    </row>
    <row r="76">
      <c r="A76" s="13" t="s">
        <v>2</v>
      </c>
      <c r="B76" s="14"/>
      <c r="C76" s="14"/>
      <c r="D76" s="15"/>
      <c r="E76" s="16"/>
      <c r="F76" s="17">
        <f>F57+F63+F69+F75</f>
        <v>149.5</v>
      </c>
      <c r="G76" s="18">
        <f>G56+G58+G59+G62+G68+G74</f>
        <v>11.75</v>
      </c>
      <c r="H76" s="19">
        <f>H58</f>
        <v>2.25</v>
      </c>
      <c r="I76" s="787">
        <f>G76-H76</f>
        <v>9.5</v>
      </c>
      <c r="J76" s="21" t="s">
        <v>3683</v>
      </c>
      <c r="K76" s="22" t="s">
        <v>3684</v>
      </c>
      <c r="L76" s="23" t="s">
        <v>14</v>
      </c>
      <c r="M76" s="466">
        <v>1803.16</v>
      </c>
      <c r="N76" s="466">
        <v>1247.53</v>
      </c>
      <c r="O76" s="466">
        <v>1399.47</v>
      </c>
    </row>
    <row r="77">
      <c r="A77" s="728" t="s">
        <v>243</v>
      </c>
      <c r="B77" s="728" t="s">
        <v>3445</v>
      </c>
      <c r="C77" s="728" t="s">
        <v>3446</v>
      </c>
      <c r="D77" s="728" t="s">
        <v>3447</v>
      </c>
      <c r="E77" s="728" t="s">
        <v>3448</v>
      </c>
      <c r="F77" s="729" t="s">
        <v>3449</v>
      </c>
      <c r="G77" s="730" t="s">
        <v>3450</v>
      </c>
      <c r="H77" s="731" t="s">
        <v>3451</v>
      </c>
      <c r="I77" s="732" t="s">
        <v>3452</v>
      </c>
      <c r="J77" s="733" t="s">
        <v>50</v>
      </c>
      <c r="K77" s="734" t="s">
        <v>3685</v>
      </c>
    </row>
    <row r="78">
      <c r="A78" s="28">
        <v>44256.0</v>
      </c>
      <c r="B78" s="749">
        <v>7.3</v>
      </c>
      <c r="C78" s="749">
        <v>17.0</v>
      </c>
      <c r="D78" s="752" t="s">
        <v>3</v>
      </c>
      <c r="E78" s="752" t="s">
        <v>4</v>
      </c>
      <c r="F78" s="749">
        <v>7.75</v>
      </c>
    </row>
    <row r="79">
      <c r="A79" s="28">
        <v>44257.0</v>
      </c>
      <c r="B79" s="29">
        <v>7.3</v>
      </c>
      <c r="C79" s="29">
        <v>17.0</v>
      </c>
      <c r="D79" s="30" t="s">
        <v>3</v>
      </c>
      <c r="E79" s="30" t="s">
        <v>4</v>
      </c>
      <c r="F79" s="29">
        <v>7.75</v>
      </c>
    </row>
    <row r="80">
      <c r="A80" s="28">
        <v>44258.0</v>
      </c>
      <c r="B80" s="29">
        <v>7.3</v>
      </c>
      <c r="C80" s="29">
        <v>17.0</v>
      </c>
      <c r="D80" s="30" t="s">
        <v>3</v>
      </c>
      <c r="E80" s="30" t="s">
        <v>4</v>
      </c>
      <c r="F80" s="29">
        <v>7.75</v>
      </c>
    </row>
    <row r="81">
      <c r="A81" s="28">
        <v>44259.0</v>
      </c>
      <c r="B81" s="29">
        <v>7.3</v>
      </c>
      <c r="C81" s="29">
        <v>17.0</v>
      </c>
      <c r="D81" s="30" t="s">
        <v>3</v>
      </c>
      <c r="E81" s="30" t="s">
        <v>4</v>
      </c>
      <c r="F81" s="29">
        <v>7.75</v>
      </c>
    </row>
    <row r="82">
      <c r="A82" s="28">
        <v>44260.0</v>
      </c>
      <c r="B82" s="756">
        <v>7.3</v>
      </c>
      <c r="C82" s="756">
        <v>16.15</v>
      </c>
      <c r="D82" s="757" t="s">
        <v>3540</v>
      </c>
      <c r="E82" s="757" t="s">
        <v>3515</v>
      </c>
      <c r="F82" s="756">
        <v>7.0</v>
      </c>
      <c r="G82" s="758">
        <v>3.0</v>
      </c>
    </row>
    <row r="83">
      <c r="A83" s="3" t="s">
        <v>7</v>
      </c>
      <c r="B83" s="14"/>
      <c r="C83" s="14"/>
      <c r="D83" s="15"/>
      <c r="E83" s="6"/>
      <c r="F83" s="735">
        <f>F78+F79+F80+F81+F82</f>
        <v>38</v>
      </c>
    </row>
    <row r="84">
      <c r="A84" s="28">
        <v>44263.0</v>
      </c>
      <c r="B84" s="749">
        <v>7.3</v>
      </c>
      <c r="C84" s="749">
        <v>17.0</v>
      </c>
      <c r="D84" s="752" t="s">
        <v>3</v>
      </c>
      <c r="E84" s="752" t="s">
        <v>4</v>
      </c>
      <c r="F84" s="749">
        <v>7.75</v>
      </c>
    </row>
    <row r="85">
      <c r="A85" s="28">
        <v>44264.0</v>
      </c>
      <c r="B85" s="29">
        <v>7.3</v>
      </c>
      <c r="C85" s="29">
        <v>17.0</v>
      </c>
      <c r="D85" s="30" t="s">
        <v>3</v>
      </c>
      <c r="E85" s="30" t="s">
        <v>4</v>
      </c>
      <c r="F85" s="29">
        <v>7.75</v>
      </c>
    </row>
    <row r="86">
      <c r="A86" s="28">
        <v>44265.0</v>
      </c>
      <c r="B86" s="29">
        <v>7.3</v>
      </c>
      <c r="C86" s="29">
        <v>17.0</v>
      </c>
      <c r="D86" s="30" t="s">
        <v>3</v>
      </c>
      <c r="E86" s="30" t="s">
        <v>4</v>
      </c>
      <c r="F86" s="29">
        <v>7.75</v>
      </c>
    </row>
    <row r="87">
      <c r="A87" s="28">
        <v>44266.0</v>
      </c>
      <c r="B87" s="29">
        <v>7.3</v>
      </c>
      <c r="C87" s="29">
        <v>17.0</v>
      </c>
      <c r="D87" s="30" t="s">
        <v>3</v>
      </c>
      <c r="E87" s="30" t="s">
        <v>4</v>
      </c>
      <c r="F87" s="29">
        <v>7.75</v>
      </c>
    </row>
    <row r="88">
      <c r="A88" s="28">
        <v>44267.0</v>
      </c>
      <c r="B88" s="756">
        <v>7.3</v>
      </c>
      <c r="C88" s="756">
        <v>16.15</v>
      </c>
      <c r="D88" s="757" t="s">
        <v>3540</v>
      </c>
      <c r="E88" s="757" t="s">
        <v>3515</v>
      </c>
      <c r="F88" s="756">
        <v>7.0</v>
      </c>
      <c r="G88" s="758">
        <v>3.0</v>
      </c>
    </row>
    <row r="89">
      <c r="A89" s="3" t="s">
        <v>7</v>
      </c>
      <c r="B89" s="14"/>
      <c r="C89" s="14"/>
      <c r="D89" s="15"/>
      <c r="E89" s="6"/>
      <c r="F89" s="735">
        <f>F84+F85+F86+F87+F88</f>
        <v>38</v>
      </c>
    </row>
    <row r="90">
      <c r="A90" s="28">
        <v>44270.0</v>
      </c>
      <c r="B90" s="749">
        <v>7.3</v>
      </c>
      <c r="C90" s="749">
        <v>17.0</v>
      </c>
      <c r="D90" s="752" t="s">
        <v>3</v>
      </c>
      <c r="E90" s="752" t="s">
        <v>4</v>
      </c>
      <c r="F90" s="749">
        <v>7.75</v>
      </c>
    </row>
    <row r="91">
      <c r="A91" s="28">
        <v>44271.0</v>
      </c>
      <c r="B91" s="29">
        <v>7.3</v>
      </c>
      <c r="C91" s="29">
        <v>17.0</v>
      </c>
      <c r="D91" s="30" t="s">
        <v>3</v>
      </c>
      <c r="E91" s="30" t="s">
        <v>4</v>
      </c>
      <c r="F91" s="29">
        <v>7.75</v>
      </c>
    </row>
    <row r="92">
      <c r="A92" s="28">
        <v>44272.0</v>
      </c>
      <c r="B92" s="29">
        <v>7.3</v>
      </c>
      <c r="C92" s="29">
        <v>17.0</v>
      </c>
      <c r="D92" s="30" t="s">
        <v>3</v>
      </c>
      <c r="E92" s="30" t="s">
        <v>4</v>
      </c>
      <c r="F92" s="29">
        <v>7.75</v>
      </c>
    </row>
    <row r="93">
      <c r="A93" s="28">
        <v>44273.0</v>
      </c>
      <c r="B93" s="29">
        <v>7.3</v>
      </c>
      <c r="C93" s="29">
        <v>17.0</v>
      </c>
      <c r="D93" s="30" t="s">
        <v>3</v>
      </c>
      <c r="E93" s="30" t="s">
        <v>4</v>
      </c>
      <c r="F93" s="29">
        <v>7.75</v>
      </c>
    </row>
    <row r="94">
      <c r="A94" s="28">
        <v>44274.0</v>
      </c>
      <c r="B94" s="756">
        <v>7.3</v>
      </c>
      <c r="C94" s="756">
        <v>16.15</v>
      </c>
      <c r="D94" s="757" t="s">
        <v>3540</v>
      </c>
      <c r="E94" s="757" t="s">
        <v>3515</v>
      </c>
      <c r="F94" s="756">
        <v>7.0</v>
      </c>
      <c r="G94" s="758">
        <v>3.0</v>
      </c>
    </row>
    <row r="95">
      <c r="A95" s="3" t="s">
        <v>7</v>
      </c>
      <c r="B95" s="14"/>
      <c r="C95" s="14"/>
      <c r="D95" s="15"/>
      <c r="E95" s="6"/>
      <c r="F95" s="735">
        <f>F90+F91+F92+F93+F94</f>
        <v>38</v>
      </c>
    </row>
    <row r="96">
      <c r="A96" s="28">
        <v>44277.0</v>
      </c>
      <c r="B96" s="749">
        <v>7.3</v>
      </c>
      <c r="C96" s="749">
        <v>17.0</v>
      </c>
      <c r="D96" s="752" t="s">
        <v>3</v>
      </c>
      <c r="E96" s="752" t="s">
        <v>4</v>
      </c>
      <c r="F96" s="749">
        <v>7.75</v>
      </c>
    </row>
    <row r="97">
      <c r="A97" s="28">
        <v>44278.0</v>
      </c>
      <c r="B97" s="29">
        <v>7.3</v>
      </c>
      <c r="C97" s="29">
        <v>17.0</v>
      </c>
      <c r="D97" s="30" t="s">
        <v>3</v>
      </c>
      <c r="E97" s="30" t="s">
        <v>4</v>
      </c>
      <c r="F97" s="29">
        <v>7.75</v>
      </c>
    </row>
    <row r="98">
      <c r="A98" s="28">
        <v>44279.0</v>
      </c>
      <c r="B98" s="29">
        <v>7.3</v>
      </c>
      <c r="C98" s="29">
        <v>17.0</v>
      </c>
      <c r="D98" s="30" t="s">
        <v>3</v>
      </c>
      <c r="E98" s="30" t="s">
        <v>4</v>
      </c>
      <c r="F98" s="29">
        <v>7.75</v>
      </c>
    </row>
    <row r="99">
      <c r="A99" s="28">
        <v>44280.0</v>
      </c>
      <c r="B99" s="29">
        <v>7.3</v>
      </c>
      <c r="C99" s="29">
        <v>17.0</v>
      </c>
      <c r="D99" s="30" t="s">
        <v>3</v>
      </c>
      <c r="E99" s="30" t="s">
        <v>4</v>
      </c>
      <c r="F99" s="29">
        <v>7.75</v>
      </c>
    </row>
    <row r="100">
      <c r="A100" s="28">
        <v>44281.0</v>
      </c>
      <c r="B100" s="756">
        <v>7.3</v>
      </c>
      <c r="C100" s="762">
        <v>12.15</v>
      </c>
      <c r="D100" s="757"/>
      <c r="E100" s="763" t="s">
        <v>20</v>
      </c>
      <c r="F100" s="762">
        <v>4.75</v>
      </c>
      <c r="G100" s="764">
        <v>0.75</v>
      </c>
    </row>
    <row r="101">
      <c r="A101" s="3" t="s">
        <v>7</v>
      </c>
      <c r="B101" s="14"/>
      <c r="C101" s="14"/>
      <c r="D101" s="15"/>
      <c r="E101" s="6"/>
      <c r="F101" s="735">
        <f>F96+F97+F98+F99+F100</f>
        <v>35.75</v>
      </c>
    </row>
    <row r="102">
      <c r="A102" s="28">
        <v>44284.0</v>
      </c>
      <c r="B102" s="749">
        <v>7.3</v>
      </c>
      <c r="C102" s="754">
        <v>16.0</v>
      </c>
      <c r="D102" s="752" t="s">
        <v>3</v>
      </c>
      <c r="E102" s="753" t="s">
        <v>3507</v>
      </c>
      <c r="F102" s="754">
        <v>6.75</v>
      </c>
      <c r="H102" s="19">
        <v>1.0</v>
      </c>
      <c r="J102" s="788" t="s">
        <v>3686</v>
      </c>
    </row>
    <row r="103">
      <c r="A103" s="28">
        <v>44285.0</v>
      </c>
      <c r="B103" s="29">
        <v>7.3</v>
      </c>
      <c r="C103" s="29">
        <v>17.0</v>
      </c>
      <c r="D103" s="30" t="s">
        <v>3</v>
      </c>
      <c r="E103" s="30" t="s">
        <v>4</v>
      </c>
      <c r="F103" s="29">
        <v>7.75</v>
      </c>
    </row>
    <row r="104">
      <c r="A104" s="28">
        <v>44286.0</v>
      </c>
      <c r="B104" s="29">
        <v>7.3</v>
      </c>
      <c r="C104" s="29">
        <v>17.0</v>
      </c>
      <c r="D104" s="30" t="s">
        <v>3</v>
      </c>
      <c r="E104" s="30" t="s">
        <v>4</v>
      </c>
      <c r="F104" s="29">
        <v>7.75</v>
      </c>
    </row>
    <row r="105">
      <c r="A105" s="3" t="s">
        <v>7</v>
      </c>
      <c r="B105" s="14"/>
      <c r="C105" s="14"/>
      <c r="D105" s="15"/>
      <c r="E105" s="6"/>
      <c r="F105" s="735">
        <f>F102+F103+F104</f>
        <v>22.25</v>
      </c>
      <c r="M105" s="9" t="s">
        <v>9</v>
      </c>
      <c r="N105" s="10" t="s">
        <v>10</v>
      </c>
      <c r="O105" s="10" t="s">
        <v>1</v>
      </c>
    </row>
    <row r="106">
      <c r="A106" s="13" t="s">
        <v>2</v>
      </c>
      <c r="B106" s="14"/>
      <c r="C106" s="14"/>
      <c r="D106" s="15"/>
      <c r="E106" s="16"/>
      <c r="F106" s="17">
        <f>F83+F89+F95+F101+F105</f>
        <v>172</v>
      </c>
      <c r="G106" s="18">
        <f>G82+G88+G94+G100</f>
        <v>9.75</v>
      </c>
      <c r="H106" s="19">
        <f>H102</f>
        <v>1</v>
      </c>
      <c r="I106" s="787">
        <f>G106-H106</f>
        <v>8.75</v>
      </c>
      <c r="J106" s="21" t="s">
        <v>3687</v>
      </c>
      <c r="K106" s="22" t="s">
        <v>3688</v>
      </c>
      <c r="L106" s="23" t="s">
        <v>3473</v>
      </c>
      <c r="M106" s="466">
        <v>1862.95</v>
      </c>
      <c r="N106" s="466">
        <v>1316.13</v>
      </c>
      <c r="O106" s="466">
        <v>1418.35</v>
      </c>
    </row>
    <row r="107">
      <c r="A107" s="728" t="s">
        <v>243</v>
      </c>
      <c r="B107" s="728" t="s">
        <v>3445</v>
      </c>
      <c r="C107" s="728" t="s">
        <v>3446</v>
      </c>
      <c r="D107" s="728" t="s">
        <v>3447</v>
      </c>
      <c r="E107" s="728" t="s">
        <v>3448</v>
      </c>
      <c r="F107" s="729" t="s">
        <v>3449</v>
      </c>
      <c r="G107" s="730" t="s">
        <v>3450</v>
      </c>
      <c r="H107" s="731" t="s">
        <v>3451</v>
      </c>
      <c r="I107" s="732" t="s">
        <v>3452</v>
      </c>
      <c r="J107" s="733" t="s">
        <v>50</v>
      </c>
      <c r="K107" s="734" t="s">
        <v>3689</v>
      </c>
    </row>
    <row r="108">
      <c r="A108" s="28">
        <v>44287.0</v>
      </c>
      <c r="B108" s="29">
        <v>7.3</v>
      </c>
      <c r="C108" s="29">
        <v>17.0</v>
      </c>
      <c r="D108" s="30" t="s">
        <v>3</v>
      </c>
      <c r="E108" s="30" t="s">
        <v>4</v>
      </c>
      <c r="F108" s="29">
        <v>7.75</v>
      </c>
    </row>
    <row r="109">
      <c r="A109" s="28">
        <v>44288.0</v>
      </c>
      <c r="B109" s="756">
        <v>7.3</v>
      </c>
      <c r="C109" s="756">
        <v>16.15</v>
      </c>
      <c r="D109" s="757" t="s">
        <v>3540</v>
      </c>
      <c r="E109" s="757" t="s">
        <v>3515</v>
      </c>
      <c r="F109" s="756">
        <v>7.0</v>
      </c>
      <c r="G109" s="758">
        <v>3.0</v>
      </c>
    </row>
    <row r="110">
      <c r="A110" s="3" t="s">
        <v>7</v>
      </c>
      <c r="B110" s="14"/>
      <c r="C110" s="14"/>
      <c r="D110" s="15"/>
      <c r="E110" s="6"/>
      <c r="F110" s="735"/>
    </row>
    <row r="111">
      <c r="A111" s="28">
        <v>44291.0</v>
      </c>
      <c r="B111" s="43" t="s">
        <v>24</v>
      </c>
      <c r="E111" s="44" t="s">
        <v>4</v>
      </c>
      <c r="F111" s="45">
        <v>7.75</v>
      </c>
    </row>
    <row r="112">
      <c r="A112" s="28">
        <v>44292.0</v>
      </c>
      <c r="B112" s="29">
        <v>7.3</v>
      </c>
      <c r="C112" s="29">
        <v>17.0</v>
      </c>
      <c r="D112" s="30" t="s">
        <v>3</v>
      </c>
      <c r="E112" s="30" t="s">
        <v>4</v>
      </c>
      <c r="F112" s="29">
        <v>7.75</v>
      </c>
    </row>
    <row r="113">
      <c r="A113" s="28">
        <v>44293.0</v>
      </c>
      <c r="B113" s="29">
        <v>7.3</v>
      </c>
      <c r="C113" s="29">
        <v>17.0</v>
      </c>
      <c r="D113" s="30" t="s">
        <v>3</v>
      </c>
      <c r="E113" s="30" t="s">
        <v>4</v>
      </c>
      <c r="F113" s="29">
        <v>7.75</v>
      </c>
    </row>
    <row r="114">
      <c r="A114" s="28">
        <v>44294.0</v>
      </c>
      <c r="B114" s="29">
        <v>7.3</v>
      </c>
      <c r="C114" s="29">
        <v>17.0</v>
      </c>
      <c r="D114" s="30" t="s">
        <v>3</v>
      </c>
      <c r="E114" s="30" t="s">
        <v>4</v>
      </c>
      <c r="F114" s="29">
        <v>7.75</v>
      </c>
    </row>
    <row r="115">
      <c r="A115" s="28">
        <v>44295.0</v>
      </c>
      <c r="B115" s="756">
        <v>7.3</v>
      </c>
      <c r="C115" s="756">
        <v>16.15</v>
      </c>
      <c r="D115" s="757" t="s">
        <v>3540</v>
      </c>
      <c r="E115" s="757" t="s">
        <v>3515</v>
      </c>
      <c r="F115" s="756">
        <v>7.0</v>
      </c>
      <c r="G115" s="758">
        <v>3.0</v>
      </c>
    </row>
    <row r="116">
      <c r="A116" s="3" t="s">
        <v>7</v>
      </c>
      <c r="B116" s="14"/>
      <c r="C116" s="14"/>
      <c r="D116" s="15"/>
      <c r="E116" s="6"/>
      <c r="F116" s="735">
        <f>F111+F112+F113+F114+F115</f>
        <v>38</v>
      </c>
    </row>
    <row r="117">
      <c r="A117" s="28">
        <v>44298.0</v>
      </c>
      <c r="B117" s="749">
        <v>7.3</v>
      </c>
      <c r="C117" s="749">
        <v>17.0</v>
      </c>
      <c r="D117" s="752" t="s">
        <v>3</v>
      </c>
      <c r="E117" s="752" t="s">
        <v>4</v>
      </c>
      <c r="F117" s="749">
        <v>7.75</v>
      </c>
    </row>
    <row r="118">
      <c r="A118" s="28">
        <v>44299.0</v>
      </c>
      <c r="B118" s="29">
        <v>7.3</v>
      </c>
      <c r="C118" s="29">
        <v>17.0</v>
      </c>
      <c r="D118" s="30" t="s">
        <v>3</v>
      </c>
      <c r="E118" s="30" t="s">
        <v>4</v>
      </c>
      <c r="F118" s="29">
        <v>7.75</v>
      </c>
    </row>
    <row r="119">
      <c r="A119" s="28">
        <v>44300.0</v>
      </c>
      <c r="B119" s="29">
        <v>7.3</v>
      </c>
      <c r="C119" s="29">
        <v>17.0</v>
      </c>
      <c r="D119" s="30" t="s">
        <v>3</v>
      </c>
      <c r="E119" s="30" t="s">
        <v>4</v>
      </c>
      <c r="F119" s="29">
        <v>7.75</v>
      </c>
    </row>
    <row r="120">
      <c r="A120" s="28">
        <v>44301.0</v>
      </c>
      <c r="B120" s="29">
        <v>7.3</v>
      </c>
      <c r="C120" s="29">
        <v>17.0</v>
      </c>
      <c r="D120" s="30" t="s">
        <v>3</v>
      </c>
      <c r="E120" s="30" t="s">
        <v>4</v>
      </c>
      <c r="F120" s="29">
        <v>7.75</v>
      </c>
    </row>
    <row r="121">
      <c r="A121" s="28">
        <v>44302.0</v>
      </c>
      <c r="B121" s="756">
        <v>7.3</v>
      </c>
      <c r="C121" s="756">
        <v>16.15</v>
      </c>
      <c r="D121" s="757" t="s">
        <v>3540</v>
      </c>
      <c r="E121" s="757" t="s">
        <v>3515</v>
      </c>
      <c r="F121" s="756">
        <v>7.0</v>
      </c>
      <c r="G121" s="758">
        <v>3.0</v>
      </c>
    </row>
    <row r="122">
      <c r="A122" s="3" t="s">
        <v>7</v>
      </c>
      <c r="B122" s="14"/>
      <c r="C122" s="14"/>
      <c r="D122" s="15"/>
      <c r="E122" s="6"/>
      <c r="F122" s="735">
        <f>F117+F118+F119+F120+F121</f>
        <v>38</v>
      </c>
    </row>
    <row r="123">
      <c r="A123" s="28">
        <v>44305.0</v>
      </c>
      <c r="B123" s="749">
        <v>7.3</v>
      </c>
      <c r="C123" s="749">
        <v>17.0</v>
      </c>
      <c r="D123" s="752" t="s">
        <v>3</v>
      </c>
      <c r="E123" s="752" t="s">
        <v>4</v>
      </c>
      <c r="F123" s="749">
        <v>7.75</v>
      </c>
    </row>
    <row r="124">
      <c r="A124" s="28">
        <v>44306.0</v>
      </c>
      <c r="B124" s="29">
        <v>7.3</v>
      </c>
      <c r="C124" s="29">
        <v>17.0</v>
      </c>
      <c r="D124" s="30" t="s">
        <v>3</v>
      </c>
      <c r="E124" s="30" t="s">
        <v>4</v>
      </c>
      <c r="F124" s="29">
        <v>7.75</v>
      </c>
    </row>
    <row r="125">
      <c r="A125" s="28">
        <v>44307.0</v>
      </c>
      <c r="B125" s="29">
        <v>7.3</v>
      </c>
      <c r="C125" s="29">
        <v>17.0</v>
      </c>
      <c r="D125" s="30" t="s">
        <v>3</v>
      </c>
      <c r="E125" s="30" t="s">
        <v>4</v>
      </c>
      <c r="F125" s="29">
        <v>7.75</v>
      </c>
    </row>
    <row r="126">
      <c r="A126" s="28">
        <v>44308.0</v>
      </c>
      <c r="B126" s="29">
        <v>7.3</v>
      </c>
      <c r="C126" s="29">
        <v>17.0</v>
      </c>
      <c r="D126" s="30" t="s">
        <v>3</v>
      </c>
      <c r="E126" s="30" t="s">
        <v>4</v>
      </c>
      <c r="F126" s="29">
        <v>7.75</v>
      </c>
    </row>
    <row r="127">
      <c r="A127" s="28">
        <v>44309.0</v>
      </c>
      <c r="B127" s="756">
        <v>7.3</v>
      </c>
      <c r="C127" s="756">
        <v>16.15</v>
      </c>
      <c r="D127" s="757" t="s">
        <v>3540</v>
      </c>
      <c r="E127" s="757" t="s">
        <v>3515</v>
      </c>
      <c r="F127" s="756">
        <v>7.0</v>
      </c>
      <c r="G127" s="758">
        <v>3.0</v>
      </c>
    </row>
    <row r="128">
      <c r="A128" s="3" t="s">
        <v>7</v>
      </c>
      <c r="B128" s="14"/>
      <c r="C128" s="14"/>
      <c r="D128" s="15"/>
      <c r="E128" s="6"/>
      <c r="F128" s="735">
        <f>F123+F124+F125+F126+F127</f>
        <v>38</v>
      </c>
    </row>
    <row r="129">
      <c r="A129" s="28">
        <v>44312.0</v>
      </c>
      <c r="B129" s="749">
        <v>7.3</v>
      </c>
      <c r="C129" s="749">
        <v>17.0</v>
      </c>
      <c r="D129" s="752" t="s">
        <v>3</v>
      </c>
      <c r="E129" s="752" t="s">
        <v>4</v>
      </c>
      <c r="F129" s="749">
        <v>7.75</v>
      </c>
    </row>
    <row r="130">
      <c r="A130" s="28">
        <v>44313.0</v>
      </c>
      <c r="B130" s="29">
        <v>7.3</v>
      </c>
      <c r="C130" s="29">
        <v>17.0</v>
      </c>
      <c r="D130" s="30" t="s">
        <v>3</v>
      </c>
      <c r="E130" s="30" t="s">
        <v>4</v>
      </c>
      <c r="F130" s="29">
        <v>7.75</v>
      </c>
    </row>
    <row r="131">
      <c r="A131" s="28">
        <v>44314.0</v>
      </c>
      <c r="B131" s="29">
        <v>7.3</v>
      </c>
      <c r="C131" s="29">
        <v>17.0</v>
      </c>
      <c r="D131" s="30" t="s">
        <v>3</v>
      </c>
      <c r="E131" s="30" t="s">
        <v>4</v>
      </c>
      <c r="F131" s="29">
        <v>7.75</v>
      </c>
    </row>
    <row r="132">
      <c r="A132" s="28">
        <v>44315.0</v>
      </c>
      <c r="B132" s="29">
        <v>7.3</v>
      </c>
      <c r="C132" s="29">
        <v>17.0</v>
      </c>
      <c r="D132" s="30" t="s">
        <v>3</v>
      </c>
      <c r="E132" s="30" t="s">
        <v>4</v>
      </c>
      <c r="F132" s="29">
        <v>7.75</v>
      </c>
    </row>
    <row r="133">
      <c r="A133" s="28">
        <v>44316.0</v>
      </c>
      <c r="B133" s="756">
        <v>7.3</v>
      </c>
      <c r="C133" s="762">
        <v>12.15</v>
      </c>
      <c r="D133" s="757"/>
      <c r="E133" s="763" t="s">
        <v>20</v>
      </c>
      <c r="F133" s="762">
        <v>4.75</v>
      </c>
      <c r="G133" s="764">
        <v>0.75</v>
      </c>
      <c r="J133" s="789" t="s">
        <v>3690</v>
      </c>
    </row>
    <row r="134">
      <c r="A134" s="3" t="s">
        <v>7</v>
      </c>
      <c r="B134" s="14"/>
      <c r="C134" s="14"/>
      <c r="D134" s="15"/>
      <c r="E134" s="6"/>
      <c r="F134" s="735">
        <f>F129+F130+F131+F132+F133</f>
        <v>35.75</v>
      </c>
      <c r="M134" s="9" t="s">
        <v>9</v>
      </c>
      <c r="N134" s="10" t="s">
        <v>10</v>
      </c>
      <c r="O134" s="10" t="s">
        <v>1</v>
      </c>
    </row>
    <row r="135">
      <c r="A135" s="13" t="s">
        <v>2</v>
      </c>
      <c r="B135" s="14"/>
      <c r="C135" s="14"/>
      <c r="D135" s="15"/>
      <c r="E135" s="16"/>
      <c r="F135" s="17">
        <f>F116+F122+F128+F134</f>
        <v>149.75</v>
      </c>
      <c r="G135" s="18">
        <f>G109+G115+G121+G127+G133</f>
        <v>12.75</v>
      </c>
      <c r="H135" s="19" t="str">
        <f>H117</f>
        <v/>
      </c>
      <c r="I135" s="787">
        <f>G135-H135</f>
        <v>12.75</v>
      </c>
      <c r="J135" s="21" t="s">
        <v>3691</v>
      </c>
      <c r="K135" s="22" t="s">
        <v>3692</v>
      </c>
      <c r="L135" s="23" t="s">
        <v>14</v>
      </c>
      <c r="M135" s="200">
        <v>1762.95</v>
      </c>
      <c r="N135" s="193">
        <v>1213.91</v>
      </c>
      <c r="O135" s="224">
        <v>1336.22</v>
      </c>
    </row>
    <row r="136">
      <c r="A136" s="728" t="s">
        <v>243</v>
      </c>
      <c r="B136" s="728" t="s">
        <v>3445</v>
      </c>
      <c r="C136" s="728" t="s">
        <v>3446</v>
      </c>
      <c r="D136" s="728" t="s">
        <v>3447</v>
      </c>
      <c r="E136" s="728" t="s">
        <v>3448</v>
      </c>
      <c r="F136" s="729" t="s">
        <v>3449</v>
      </c>
      <c r="G136" s="730" t="s">
        <v>3450</v>
      </c>
      <c r="H136" s="731" t="s">
        <v>3451</v>
      </c>
      <c r="I136" s="732" t="s">
        <v>3452</v>
      </c>
      <c r="J136" s="733" t="s">
        <v>50</v>
      </c>
      <c r="K136" s="734" t="s">
        <v>3693</v>
      </c>
    </row>
    <row r="137">
      <c r="A137" s="28">
        <v>44319.0</v>
      </c>
      <c r="B137" s="29">
        <v>7.3</v>
      </c>
      <c r="C137" s="29">
        <v>17.0</v>
      </c>
      <c r="D137" s="42" t="s">
        <v>21</v>
      </c>
      <c r="E137" s="42" t="s">
        <v>22</v>
      </c>
      <c r="F137" s="39">
        <v>8.75</v>
      </c>
      <c r="G137" s="758">
        <v>1.0</v>
      </c>
      <c r="J137" s="789" t="s">
        <v>3694</v>
      </c>
    </row>
    <row r="138">
      <c r="A138" s="28">
        <v>44320.0</v>
      </c>
      <c r="B138" s="29">
        <v>7.3</v>
      </c>
      <c r="C138" s="29">
        <v>17.0</v>
      </c>
      <c r="D138" s="42" t="s">
        <v>21</v>
      </c>
      <c r="E138" s="42" t="s">
        <v>22</v>
      </c>
      <c r="F138" s="39">
        <v>8.75</v>
      </c>
      <c r="G138" s="758">
        <v>1.0</v>
      </c>
      <c r="J138" s="789" t="s">
        <v>3694</v>
      </c>
    </row>
    <row r="139">
      <c r="A139" s="28">
        <v>44321.0</v>
      </c>
      <c r="B139" s="29">
        <v>7.3</v>
      </c>
      <c r="C139" s="29">
        <v>17.0</v>
      </c>
      <c r="D139" s="42" t="s">
        <v>21</v>
      </c>
      <c r="E139" s="42" t="s">
        <v>22</v>
      </c>
      <c r="F139" s="39">
        <v>8.75</v>
      </c>
      <c r="G139" s="758">
        <v>1.0</v>
      </c>
      <c r="J139" s="789" t="s">
        <v>3694</v>
      </c>
    </row>
    <row r="140">
      <c r="A140" s="28">
        <v>44322.0</v>
      </c>
      <c r="B140" s="29">
        <v>7.3</v>
      </c>
      <c r="C140" s="29">
        <v>17.0</v>
      </c>
      <c r="D140" s="42" t="s">
        <v>21</v>
      </c>
      <c r="E140" s="42" t="s">
        <v>22</v>
      </c>
      <c r="F140" s="39">
        <v>8.75</v>
      </c>
      <c r="G140" s="758">
        <v>1.0</v>
      </c>
      <c r="J140" s="789" t="s">
        <v>3694</v>
      </c>
    </row>
    <row r="141">
      <c r="A141" s="28">
        <v>44323.0</v>
      </c>
      <c r="B141" s="29">
        <v>7.3</v>
      </c>
      <c r="C141" s="39">
        <v>16.15</v>
      </c>
      <c r="D141" s="42" t="s">
        <v>21</v>
      </c>
      <c r="E141" s="42" t="s">
        <v>3562</v>
      </c>
      <c r="F141" s="39">
        <v>8.0</v>
      </c>
      <c r="G141" s="764">
        <v>4.0</v>
      </c>
    </row>
    <row r="142">
      <c r="A142" s="3" t="s">
        <v>7</v>
      </c>
      <c r="B142" s="14"/>
      <c r="C142" s="14"/>
      <c r="D142" s="15"/>
      <c r="E142" s="6"/>
      <c r="F142" s="735">
        <f>F137+F138+F139+F140+F141</f>
        <v>43</v>
      </c>
    </row>
    <row r="143">
      <c r="A143" s="28">
        <v>44326.0</v>
      </c>
      <c r="B143" s="29">
        <v>7.3</v>
      </c>
      <c r="C143" s="29">
        <v>17.0</v>
      </c>
      <c r="D143" s="42" t="s">
        <v>21</v>
      </c>
      <c r="E143" s="42" t="s">
        <v>22</v>
      </c>
      <c r="F143" s="39">
        <v>8.75</v>
      </c>
      <c r="G143" s="758">
        <v>1.0</v>
      </c>
    </row>
    <row r="144">
      <c r="A144" s="28">
        <v>44327.0</v>
      </c>
      <c r="B144" s="29">
        <v>7.3</v>
      </c>
      <c r="C144" s="29">
        <v>17.0</v>
      </c>
      <c r="D144" s="42" t="s">
        <v>21</v>
      </c>
      <c r="E144" s="42" t="s">
        <v>22</v>
      </c>
      <c r="F144" s="39">
        <v>8.75</v>
      </c>
      <c r="G144" s="758">
        <v>1.0</v>
      </c>
    </row>
    <row r="145">
      <c r="A145" s="28">
        <v>44328.0</v>
      </c>
      <c r="B145" s="29">
        <v>7.3</v>
      </c>
      <c r="C145" s="29">
        <v>17.0</v>
      </c>
      <c r="D145" s="42" t="s">
        <v>21</v>
      </c>
      <c r="E145" s="42" t="s">
        <v>22</v>
      </c>
      <c r="F145" s="39">
        <v>8.75</v>
      </c>
      <c r="G145" s="758">
        <v>1.0</v>
      </c>
    </row>
    <row r="146">
      <c r="A146" s="28">
        <v>44329.0</v>
      </c>
      <c r="B146" s="43" t="s">
        <v>24</v>
      </c>
      <c r="E146" s="44" t="s">
        <v>4</v>
      </c>
      <c r="F146" s="45">
        <v>7.75</v>
      </c>
    </row>
    <row r="147">
      <c r="A147" s="28">
        <v>44330.0</v>
      </c>
      <c r="B147" s="648" t="s">
        <v>3695</v>
      </c>
      <c r="F147" s="47">
        <v>0.0</v>
      </c>
      <c r="H147" s="755">
        <v>4.0</v>
      </c>
    </row>
    <row r="148">
      <c r="A148" s="3" t="s">
        <v>7</v>
      </c>
      <c r="B148" s="14"/>
      <c r="C148" s="14"/>
      <c r="D148" s="15"/>
      <c r="E148" s="6"/>
      <c r="F148" s="735">
        <f>F143+F144+F145+F146+F147</f>
        <v>34</v>
      </c>
    </row>
    <row r="149">
      <c r="A149" s="28">
        <v>44333.0</v>
      </c>
      <c r="B149" s="29">
        <v>7.3</v>
      </c>
      <c r="C149" s="29">
        <v>17.0</v>
      </c>
      <c r="D149" s="42" t="s">
        <v>21</v>
      </c>
      <c r="E149" s="42" t="s">
        <v>22</v>
      </c>
      <c r="F149" s="39">
        <v>8.75</v>
      </c>
      <c r="G149" s="758">
        <v>1.0</v>
      </c>
    </row>
    <row r="150">
      <c r="A150" s="28">
        <v>44334.0</v>
      </c>
      <c r="B150" s="29">
        <v>7.3</v>
      </c>
      <c r="C150" s="29">
        <v>17.0</v>
      </c>
      <c r="D150" s="42" t="s">
        <v>21</v>
      </c>
      <c r="E150" s="42" t="s">
        <v>22</v>
      </c>
      <c r="F150" s="39">
        <v>8.75</v>
      </c>
      <c r="G150" s="758">
        <v>1.0</v>
      </c>
    </row>
    <row r="151">
      <c r="A151" s="28">
        <v>44335.0</v>
      </c>
      <c r="B151" s="29">
        <v>7.3</v>
      </c>
      <c r="C151" s="29">
        <v>17.0</v>
      </c>
      <c r="D151" s="42" t="s">
        <v>21</v>
      </c>
      <c r="E151" s="42" t="s">
        <v>22</v>
      </c>
      <c r="F151" s="39">
        <v>8.75</v>
      </c>
      <c r="G151" s="758">
        <v>1.0</v>
      </c>
    </row>
    <row r="152">
      <c r="A152" s="28">
        <v>44336.0</v>
      </c>
      <c r="B152" s="29">
        <v>7.3</v>
      </c>
      <c r="C152" s="29">
        <v>17.0</v>
      </c>
      <c r="D152" s="42" t="s">
        <v>21</v>
      </c>
      <c r="E152" s="42" t="s">
        <v>22</v>
      </c>
      <c r="F152" s="39">
        <v>8.75</v>
      </c>
      <c r="G152" s="758">
        <v>1.0</v>
      </c>
    </row>
    <row r="153">
      <c r="A153" s="28">
        <v>44337.0</v>
      </c>
      <c r="B153" s="29">
        <v>7.3</v>
      </c>
      <c r="C153" s="39">
        <v>16.15</v>
      </c>
      <c r="D153" s="42" t="s">
        <v>21</v>
      </c>
      <c r="E153" s="42" t="s">
        <v>3562</v>
      </c>
      <c r="F153" s="39">
        <v>8.0</v>
      </c>
      <c r="G153" s="764">
        <v>4.0</v>
      </c>
    </row>
    <row r="154">
      <c r="A154" s="3" t="s">
        <v>7</v>
      </c>
      <c r="B154" s="14"/>
      <c r="C154" s="14"/>
      <c r="D154" s="15"/>
      <c r="E154" s="6"/>
      <c r="F154" s="735">
        <f>F149+F150+F151+F152+F153</f>
        <v>43</v>
      </c>
    </row>
    <row r="155">
      <c r="A155" s="28">
        <v>44340.0</v>
      </c>
      <c r="B155" s="29">
        <v>7.3</v>
      </c>
      <c r="C155" s="29">
        <v>17.0</v>
      </c>
      <c r="D155" s="42" t="s">
        <v>21</v>
      </c>
      <c r="E155" s="42" t="s">
        <v>22</v>
      </c>
      <c r="F155" s="39">
        <v>8.75</v>
      </c>
      <c r="G155" s="764">
        <v>1.75</v>
      </c>
      <c r="J155" s="790" t="s">
        <v>3696</v>
      </c>
    </row>
    <row r="156">
      <c r="A156" s="28">
        <v>44341.0</v>
      </c>
      <c r="B156" s="29">
        <v>7.3</v>
      </c>
      <c r="C156" s="29">
        <v>17.0</v>
      </c>
      <c r="D156" s="42" t="s">
        <v>21</v>
      </c>
      <c r="E156" s="42" t="s">
        <v>22</v>
      </c>
      <c r="F156" s="39">
        <v>8.75</v>
      </c>
      <c r="G156" s="758">
        <v>1.0</v>
      </c>
    </row>
    <row r="157">
      <c r="A157" s="28">
        <v>44342.0</v>
      </c>
      <c r="B157" s="29">
        <v>7.3</v>
      </c>
      <c r="C157" s="29">
        <v>17.0</v>
      </c>
      <c r="D157" s="42" t="s">
        <v>21</v>
      </c>
      <c r="E157" s="42" t="s">
        <v>22</v>
      </c>
      <c r="F157" s="39">
        <v>8.75</v>
      </c>
      <c r="G157" s="758">
        <v>1.0</v>
      </c>
    </row>
    <row r="158">
      <c r="A158" s="28">
        <v>44343.0</v>
      </c>
      <c r="B158" s="29">
        <v>7.3</v>
      </c>
      <c r="C158" s="29">
        <v>17.0</v>
      </c>
      <c r="D158" s="42" t="s">
        <v>21</v>
      </c>
      <c r="E158" s="42" t="s">
        <v>22</v>
      </c>
      <c r="F158" s="39">
        <v>8.75</v>
      </c>
      <c r="G158" s="758">
        <v>1.0</v>
      </c>
    </row>
    <row r="159">
      <c r="A159" s="28">
        <v>44344.0</v>
      </c>
      <c r="B159" s="29">
        <v>7.3</v>
      </c>
      <c r="C159" s="39">
        <v>16.15</v>
      </c>
      <c r="D159" s="42" t="s">
        <v>21</v>
      </c>
      <c r="E159" s="42" t="s">
        <v>3562</v>
      </c>
      <c r="F159" s="39">
        <v>8.0</v>
      </c>
      <c r="G159" s="764">
        <v>4.0</v>
      </c>
    </row>
    <row r="160">
      <c r="A160" s="3" t="s">
        <v>7</v>
      </c>
      <c r="B160" s="14"/>
      <c r="C160" s="14"/>
      <c r="D160" s="15"/>
      <c r="E160" s="6"/>
      <c r="F160" s="735">
        <f>F155+F156+F157+F158+F159</f>
        <v>43</v>
      </c>
    </row>
    <row r="161">
      <c r="A161" s="28">
        <v>44347.0</v>
      </c>
      <c r="B161" s="29">
        <v>7.3</v>
      </c>
      <c r="C161" s="29">
        <v>17.0</v>
      </c>
      <c r="D161" s="42" t="s">
        <v>21</v>
      </c>
      <c r="E161" s="42" t="s">
        <v>22</v>
      </c>
      <c r="F161" s="39">
        <v>8.75</v>
      </c>
      <c r="G161" s="758">
        <v>1.0</v>
      </c>
    </row>
    <row r="162">
      <c r="A162" s="3" t="s">
        <v>7</v>
      </c>
      <c r="B162" s="14"/>
      <c r="C162" s="14"/>
      <c r="D162" s="15"/>
      <c r="E162" s="6"/>
      <c r="F162" s="735">
        <f>F161</f>
        <v>8.75</v>
      </c>
      <c r="M162" s="9" t="s">
        <v>9</v>
      </c>
      <c r="N162" s="10" t="s">
        <v>10</v>
      </c>
      <c r="O162" s="10" t="s">
        <v>1</v>
      </c>
    </row>
    <row r="163">
      <c r="A163" s="13" t="s">
        <v>2</v>
      </c>
      <c r="B163" s="14"/>
      <c r="C163" s="14"/>
      <c r="D163" s="15"/>
      <c r="E163" s="16"/>
      <c r="F163" s="17">
        <f>F142+F148+F154+F160+F162</f>
        <v>171.75</v>
      </c>
      <c r="G163" s="18">
        <f>G137+G138+G139+G140+G141+G143+G144+G145+G149+G150+G151+G152+G153+G155+G156+G157+G158+G159+G161</f>
        <v>28.75</v>
      </c>
      <c r="H163" s="19">
        <f>H147</f>
        <v>4</v>
      </c>
      <c r="I163" s="787">
        <f>G163-H163</f>
        <v>24.75</v>
      </c>
      <c r="J163" s="21" t="s">
        <v>3697</v>
      </c>
      <c r="K163" s="22" t="s">
        <v>3698</v>
      </c>
      <c r="L163" s="23" t="s">
        <v>14</v>
      </c>
      <c r="M163" s="791">
        <v>1895.23</v>
      </c>
      <c r="N163" s="792">
        <v>1327.37</v>
      </c>
      <c r="O163" s="793">
        <v>1444.7</v>
      </c>
    </row>
    <row r="164">
      <c r="A164" s="728" t="s">
        <v>243</v>
      </c>
      <c r="B164" s="728" t="s">
        <v>3445</v>
      </c>
      <c r="C164" s="728" t="s">
        <v>3446</v>
      </c>
      <c r="D164" s="728" t="s">
        <v>3447</v>
      </c>
      <c r="E164" s="728" t="s">
        <v>3448</v>
      </c>
      <c r="F164" s="729" t="s">
        <v>3449</v>
      </c>
      <c r="G164" s="730" t="s">
        <v>3450</v>
      </c>
      <c r="H164" s="731" t="s">
        <v>3451</v>
      </c>
      <c r="I164" s="732" t="s">
        <v>3452</v>
      </c>
      <c r="J164" s="733" t="s">
        <v>50</v>
      </c>
      <c r="K164" s="734" t="s">
        <v>3699</v>
      </c>
    </row>
    <row r="165">
      <c r="A165" s="28">
        <v>44348.0</v>
      </c>
      <c r="B165" s="29">
        <v>7.3</v>
      </c>
      <c r="C165" s="29">
        <v>17.0</v>
      </c>
      <c r="D165" s="42" t="s">
        <v>21</v>
      </c>
      <c r="E165" s="42" t="s">
        <v>22</v>
      </c>
      <c r="F165" s="39">
        <v>8.75</v>
      </c>
      <c r="G165" s="758">
        <v>1.0</v>
      </c>
    </row>
    <row r="166">
      <c r="A166" s="28">
        <v>44349.0</v>
      </c>
      <c r="B166" s="29">
        <v>7.3</v>
      </c>
      <c r="C166" s="29">
        <v>17.0</v>
      </c>
      <c r="D166" s="42" t="s">
        <v>21</v>
      </c>
      <c r="E166" s="42" t="s">
        <v>22</v>
      </c>
      <c r="F166" s="39">
        <v>8.75</v>
      </c>
      <c r="G166" s="758">
        <v>1.0</v>
      </c>
    </row>
    <row r="167">
      <c r="A167" s="28">
        <v>44350.0</v>
      </c>
      <c r="B167" s="29">
        <v>7.3</v>
      </c>
      <c r="C167" s="29">
        <v>17.0</v>
      </c>
      <c r="D167" s="42" t="s">
        <v>21</v>
      </c>
      <c r="E167" s="42" t="s">
        <v>22</v>
      </c>
      <c r="F167" s="39">
        <v>8.75</v>
      </c>
      <c r="G167" s="758">
        <v>1.0</v>
      </c>
    </row>
    <row r="168">
      <c r="A168" s="28">
        <v>44351.0</v>
      </c>
      <c r="B168" s="29">
        <v>7.3</v>
      </c>
      <c r="C168" s="39">
        <v>16.15</v>
      </c>
      <c r="D168" s="42" t="s">
        <v>21</v>
      </c>
      <c r="E168" s="42" t="s">
        <v>3562</v>
      </c>
      <c r="F168" s="39">
        <v>8.0</v>
      </c>
      <c r="G168" s="764">
        <v>4.0</v>
      </c>
    </row>
    <row r="169">
      <c r="A169" s="3" t="s">
        <v>7</v>
      </c>
      <c r="B169" s="14"/>
      <c r="C169" s="14"/>
      <c r="D169" s="15"/>
      <c r="E169" s="6"/>
      <c r="F169" s="735">
        <f>F165+F166+F167+F168</f>
        <v>34.25</v>
      </c>
    </row>
    <row r="170">
      <c r="A170" s="28">
        <v>44354.0</v>
      </c>
      <c r="B170" s="29">
        <v>7.3</v>
      </c>
      <c r="C170" s="29">
        <v>17.0</v>
      </c>
      <c r="D170" s="42" t="s">
        <v>21</v>
      </c>
      <c r="E170" s="42" t="s">
        <v>22</v>
      </c>
      <c r="F170" s="39">
        <v>8.75</v>
      </c>
      <c r="G170" s="758">
        <v>1.0</v>
      </c>
    </row>
    <row r="171">
      <c r="A171" s="28">
        <v>44355.0</v>
      </c>
      <c r="B171" s="29">
        <v>7.3</v>
      </c>
      <c r="C171" s="29">
        <v>17.0</v>
      </c>
      <c r="D171" s="42" t="s">
        <v>21</v>
      </c>
      <c r="E171" s="42" t="s">
        <v>22</v>
      </c>
      <c r="F171" s="39">
        <v>8.75</v>
      </c>
      <c r="G171" s="758">
        <v>1.0</v>
      </c>
    </row>
    <row r="172">
      <c r="A172" s="28">
        <v>44356.0</v>
      </c>
      <c r="B172" s="29">
        <v>7.3</v>
      </c>
      <c r="C172" s="29">
        <v>17.0</v>
      </c>
      <c r="D172" s="42" t="s">
        <v>21</v>
      </c>
      <c r="E172" s="42" t="s">
        <v>22</v>
      </c>
      <c r="F172" s="39">
        <v>8.75</v>
      </c>
      <c r="G172" s="758">
        <v>1.0</v>
      </c>
    </row>
    <row r="173">
      <c r="A173" s="28">
        <v>44357.0</v>
      </c>
      <c r="B173" s="29">
        <v>7.3</v>
      </c>
      <c r="C173" s="29">
        <v>17.0</v>
      </c>
      <c r="D173" s="42" t="s">
        <v>21</v>
      </c>
      <c r="E173" s="42" t="s">
        <v>22</v>
      </c>
      <c r="F173" s="39">
        <v>8.75</v>
      </c>
      <c r="G173" s="758">
        <v>1.0</v>
      </c>
    </row>
    <row r="174">
      <c r="A174" s="28">
        <v>44358.0</v>
      </c>
      <c r="B174" s="29">
        <v>7.3</v>
      </c>
      <c r="C174" s="39">
        <v>16.15</v>
      </c>
      <c r="D174" s="42" t="s">
        <v>21</v>
      </c>
      <c r="E174" s="42" t="s">
        <v>3562</v>
      </c>
      <c r="F174" s="39">
        <v>8.0</v>
      </c>
      <c r="G174" s="764">
        <v>4.0</v>
      </c>
    </row>
    <row r="175">
      <c r="A175" s="3" t="s">
        <v>7</v>
      </c>
      <c r="B175" s="14"/>
      <c r="C175" s="14"/>
      <c r="D175" s="15"/>
      <c r="E175" s="6"/>
      <c r="F175" s="735">
        <f>F170+F171+F172+F173+F174</f>
        <v>43</v>
      </c>
    </row>
    <row r="176">
      <c r="A176" s="28">
        <v>44361.0</v>
      </c>
      <c r="B176" s="749">
        <v>7.3</v>
      </c>
      <c r="C176" s="749">
        <v>17.0</v>
      </c>
      <c r="D176" s="752" t="s">
        <v>3</v>
      </c>
      <c r="E176" s="752" t="s">
        <v>4</v>
      </c>
      <c r="F176" s="749">
        <v>7.75</v>
      </c>
    </row>
    <row r="177">
      <c r="A177" s="28">
        <v>44362.0</v>
      </c>
      <c r="B177" s="29">
        <v>7.3</v>
      </c>
      <c r="C177" s="29">
        <v>17.0</v>
      </c>
      <c r="D177" s="30" t="s">
        <v>3</v>
      </c>
      <c r="E177" s="30" t="s">
        <v>4</v>
      </c>
      <c r="F177" s="29">
        <v>7.75</v>
      </c>
    </row>
    <row r="178">
      <c r="A178" s="28">
        <v>44363.0</v>
      </c>
      <c r="B178" s="29">
        <v>7.3</v>
      </c>
      <c r="C178" s="29">
        <v>17.0</v>
      </c>
      <c r="D178" s="30" t="s">
        <v>3</v>
      </c>
      <c r="E178" s="30" t="s">
        <v>4</v>
      </c>
      <c r="F178" s="29">
        <v>7.75</v>
      </c>
    </row>
    <row r="179">
      <c r="A179" s="28">
        <v>44364.0</v>
      </c>
      <c r="B179" s="29">
        <v>7.3</v>
      </c>
      <c r="C179" s="29">
        <v>17.0</v>
      </c>
      <c r="D179" s="30" t="s">
        <v>3</v>
      </c>
      <c r="E179" s="30" t="s">
        <v>4</v>
      </c>
      <c r="F179" s="29">
        <v>7.75</v>
      </c>
    </row>
    <row r="180">
      <c r="A180" s="28">
        <v>44365.0</v>
      </c>
      <c r="B180" s="756">
        <v>7.3</v>
      </c>
      <c r="C180" s="756">
        <v>16.15</v>
      </c>
      <c r="D180" s="757" t="s">
        <v>3540</v>
      </c>
      <c r="E180" s="757" t="s">
        <v>3515</v>
      </c>
      <c r="F180" s="756">
        <v>7.0</v>
      </c>
      <c r="G180" s="758">
        <v>3.0</v>
      </c>
    </row>
    <row r="181">
      <c r="A181" s="3" t="s">
        <v>7</v>
      </c>
      <c r="B181" s="14"/>
      <c r="C181" s="14"/>
      <c r="D181" s="15"/>
      <c r="E181" s="6"/>
      <c r="F181" s="735">
        <f>F176+F177+F178+F179+F180</f>
        <v>38</v>
      </c>
    </row>
    <row r="182">
      <c r="A182" s="28">
        <v>44368.0</v>
      </c>
      <c r="B182" s="29">
        <v>7.3</v>
      </c>
      <c r="C182" s="29">
        <v>17.0</v>
      </c>
      <c r="D182" s="42" t="s">
        <v>21</v>
      </c>
      <c r="E182" s="42" t="s">
        <v>22</v>
      </c>
      <c r="F182" s="39">
        <v>8.75</v>
      </c>
      <c r="G182" s="758">
        <v>1.0</v>
      </c>
    </row>
    <row r="183">
      <c r="A183" s="28">
        <v>44369.0</v>
      </c>
      <c r="B183" s="29">
        <v>7.3</v>
      </c>
      <c r="C183" s="29">
        <v>17.0</v>
      </c>
      <c r="D183" s="42" t="s">
        <v>21</v>
      </c>
      <c r="E183" s="42" t="s">
        <v>22</v>
      </c>
      <c r="F183" s="39">
        <v>8.75</v>
      </c>
      <c r="G183" s="758">
        <v>1.0</v>
      </c>
    </row>
    <row r="184">
      <c r="A184" s="28">
        <v>44370.0</v>
      </c>
      <c r="B184" s="29">
        <v>7.3</v>
      </c>
      <c r="C184" s="29">
        <v>17.0</v>
      </c>
      <c r="D184" s="42" t="s">
        <v>21</v>
      </c>
      <c r="E184" s="42" t="s">
        <v>22</v>
      </c>
      <c r="F184" s="39">
        <v>8.75</v>
      </c>
      <c r="G184" s="758">
        <v>1.0</v>
      </c>
    </row>
    <row r="185">
      <c r="A185" s="28">
        <v>44371.0</v>
      </c>
      <c r="B185" s="29">
        <v>7.3</v>
      </c>
      <c r="C185" s="29">
        <v>17.0</v>
      </c>
      <c r="D185" s="42" t="s">
        <v>21</v>
      </c>
      <c r="E185" s="42" t="s">
        <v>22</v>
      </c>
      <c r="F185" s="39">
        <v>8.75</v>
      </c>
      <c r="G185" s="758">
        <v>1.0</v>
      </c>
    </row>
    <row r="186">
      <c r="A186" s="28">
        <v>44372.0</v>
      </c>
      <c r="B186" s="29">
        <v>7.3</v>
      </c>
      <c r="C186" s="39">
        <v>16.15</v>
      </c>
      <c r="D186" s="42" t="s">
        <v>21</v>
      </c>
      <c r="E186" s="42" t="s">
        <v>3562</v>
      </c>
      <c r="F186" s="39">
        <v>8.0</v>
      </c>
      <c r="G186" s="764">
        <v>4.0</v>
      </c>
    </row>
    <row r="187">
      <c r="A187" s="3" t="s">
        <v>7</v>
      </c>
      <c r="B187" s="14"/>
      <c r="C187" s="14"/>
      <c r="D187" s="15"/>
      <c r="E187" s="6"/>
      <c r="F187" s="735">
        <f>F182+F183+F184+F185+F186</f>
        <v>43</v>
      </c>
    </row>
    <row r="188">
      <c r="A188" s="28">
        <v>44375.0</v>
      </c>
      <c r="B188" s="749">
        <v>7.3</v>
      </c>
      <c r="C188" s="749">
        <v>17.0</v>
      </c>
      <c r="D188" s="752" t="s">
        <v>3</v>
      </c>
      <c r="E188" s="752" t="s">
        <v>4</v>
      </c>
      <c r="F188" s="749">
        <v>7.75</v>
      </c>
    </row>
    <row r="189">
      <c r="A189" s="28">
        <v>44376.0</v>
      </c>
      <c r="B189" s="29">
        <v>7.3</v>
      </c>
      <c r="C189" s="29">
        <v>17.0</v>
      </c>
      <c r="D189" s="30" t="s">
        <v>3</v>
      </c>
      <c r="E189" s="30" t="s">
        <v>4</v>
      </c>
      <c r="F189" s="29">
        <v>7.75</v>
      </c>
    </row>
    <row r="190">
      <c r="A190" s="28">
        <v>44377.0</v>
      </c>
      <c r="B190" s="29">
        <v>7.3</v>
      </c>
      <c r="C190" s="29">
        <v>17.0</v>
      </c>
      <c r="D190" s="30" t="s">
        <v>3</v>
      </c>
      <c r="E190" s="30" t="s">
        <v>4</v>
      </c>
      <c r="F190" s="29">
        <v>7.75</v>
      </c>
    </row>
    <row r="191">
      <c r="A191" s="3" t="s">
        <v>7</v>
      </c>
      <c r="B191" s="14"/>
      <c r="C191" s="14"/>
      <c r="D191" s="15"/>
      <c r="E191" s="6"/>
      <c r="F191" s="735">
        <f>F188+F189+F190</f>
        <v>23.25</v>
      </c>
      <c r="M191" s="9" t="s">
        <v>9</v>
      </c>
      <c r="N191" s="10" t="s">
        <v>10</v>
      </c>
      <c r="O191" s="10" t="s">
        <v>1</v>
      </c>
    </row>
    <row r="192">
      <c r="A192" s="13" t="s">
        <v>2</v>
      </c>
      <c r="B192" s="14"/>
      <c r="C192" s="14"/>
      <c r="D192" s="15"/>
      <c r="E192" s="16"/>
      <c r="F192" s="17">
        <f>F169+F175+F181+F187+F191</f>
        <v>181.5</v>
      </c>
      <c r="G192" s="18">
        <f>G165+G166+G167+G168+G170+G171+G172+G173+G174+G180+G182+G183+G184+G185+G186</f>
        <v>26</v>
      </c>
      <c r="H192" s="19" t="str">
        <f>H176</f>
        <v/>
      </c>
      <c r="I192" s="787">
        <f>G192-H192</f>
        <v>26</v>
      </c>
      <c r="J192" s="21" t="s">
        <v>3700</v>
      </c>
      <c r="K192" s="22" t="s">
        <v>3701</v>
      </c>
      <c r="L192" s="23" t="s">
        <v>14</v>
      </c>
      <c r="M192" s="200">
        <v>1956.61</v>
      </c>
      <c r="N192" s="193">
        <v>1398.57</v>
      </c>
      <c r="O192" s="200">
        <v>1362.68</v>
      </c>
    </row>
    <row r="193">
      <c r="A193" s="728" t="s">
        <v>243</v>
      </c>
      <c r="B193" s="728" t="s">
        <v>3445</v>
      </c>
      <c r="C193" s="728" t="s">
        <v>3446</v>
      </c>
      <c r="D193" s="728" t="s">
        <v>3447</v>
      </c>
      <c r="E193" s="728" t="s">
        <v>3448</v>
      </c>
      <c r="F193" s="729" t="s">
        <v>3449</v>
      </c>
      <c r="G193" s="730" t="s">
        <v>3450</v>
      </c>
      <c r="H193" s="731" t="s">
        <v>3451</v>
      </c>
      <c r="I193" s="732" t="s">
        <v>3452</v>
      </c>
      <c r="J193" s="733" t="s">
        <v>50</v>
      </c>
      <c r="K193" s="734" t="s">
        <v>3702</v>
      </c>
    </row>
    <row r="194">
      <c r="A194" s="28">
        <v>44378.0</v>
      </c>
      <c r="B194" s="29">
        <v>7.3</v>
      </c>
      <c r="C194" s="29">
        <v>17.0</v>
      </c>
      <c r="D194" s="30" t="s">
        <v>3</v>
      </c>
      <c r="E194" s="30" t="s">
        <v>4</v>
      </c>
      <c r="F194" s="29">
        <v>7.75</v>
      </c>
    </row>
    <row r="195">
      <c r="A195" s="28">
        <v>44379.0</v>
      </c>
      <c r="B195" s="756">
        <v>7.3</v>
      </c>
      <c r="C195" s="756">
        <v>16.15</v>
      </c>
      <c r="D195" s="757" t="s">
        <v>3540</v>
      </c>
      <c r="E195" s="757" t="s">
        <v>3515</v>
      </c>
      <c r="F195" s="756">
        <v>7.0</v>
      </c>
      <c r="G195" s="758">
        <v>3.0</v>
      </c>
    </row>
    <row r="196">
      <c r="A196" s="3" t="s">
        <v>7</v>
      </c>
      <c r="B196" s="14"/>
      <c r="C196" s="14"/>
      <c r="D196" s="15"/>
      <c r="E196" s="6"/>
      <c r="F196" s="735">
        <f>F194+F195</f>
        <v>14.75</v>
      </c>
    </row>
    <row r="197">
      <c r="A197" s="28">
        <v>44382.0</v>
      </c>
      <c r="B197" s="749">
        <v>7.3</v>
      </c>
      <c r="C197" s="749">
        <v>17.0</v>
      </c>
      <c r="D197" s="752" t="s">
        <v>3</v>
      </c>
      <c r="E197" s="752" t="s">
        <v>4</v>
      </c>
      <c r="F197" s="749">
        <v>7.75</v>
      </c>
    </row>
    <row r="198">
      <c r="A198" s="28">
        <v>44383.0</v>
      </c>
      <c r="B198" s="29">
        <v>7.3</v>
      </c>
      <c r="C198" s="29">
        <v>17.0</v>
      </c>
      <c r="D198" s="30" t="s">
        <v>3</v>
      </c>
      <c r="E198" s="30" t="s">
        <v>4</v>
      </c>
      <c r="F198" s="29">
        <v>7.75</v>
      </c>
    </row>
    <row r="199">
      <c r="A199" s="28">
        <v>44384.0</v>
      </c>
      <c r="B199" s="29">
        <v>7.3</v>
      </c>
      <c r="C199" s="29">
        <v>17.0</v>
      </c>
      <c r="D199" s="30" t="s">
        <v>3</v>
      </c>
      <c r="E199" s="30" t="s">
        <v>4</v>
      </c>
      <c r="F199" s="29">
        <v>7.75</v>
      </c>
    </row>
    <row r="200">
      <c r="A200" s="28">
        <v>44385.0</v>
      </c>
      <c r="B200" s="29">
        <v>7.3</v>
      </c>
      <c r="C200" s="29">
        <v>17.0</v>
      </c>
      <c r="D200" s="30" t="s">
        <v>3</v>
      </c>
      <c r="E200" s="30" t="s">
        <v>4</v>
      </c>
      <c r="F200" s="29">
        <v>7.75</v>
      </c>
    </row>
    <row r="201">
      <c r="A201" s="28">
        <v>44386.0</v>
      </c>
      <c r="B201" s="756">
        <v>7.3</v>
      </c>
      <c r="C201" s="756">
        <v>16.15</v>
      </c>
      <c r="D201" s="757" t="s">
        <v>3540</v>
      </c>
      <c r="E201" s="757" t="s">
        <v>3515</v>
      </c>
      <c r="F201" s="756">
        <v>7.0</v>
      </c>
      <c r="G201" s="758">
        <v>3.0</v>
      </c>
    </row>
    <row r="202">
      <c r="A202" s="3" t="s">
        <v>7</v>
      </c>
      <c r="B202" s="14"/>
      <c r="C202" s="14"/>
      <c r="D202" s="15"/>
      <c r="E202" s="6"/>
      <c r="F202" s="735">
        <f>F197+F198+F199+F200+F201</f>
        <v>38</v>
      </c>
    </row>
    <row r="203">
      <c r="A203" s="28">
        <v>44389.0</v>
      </c>
      <c r="B203" s="749">
        <v>7.3</v>
      </c>
      <c r="C203" s="749">
        <v>17.0</v>
      </c>
      <c r="D203" s="752" t="s">
        <v>3</v>
      </c>
      <c r="E203" s="752" t="s">
        <v>4</v>
      </c>
      <c r="F203" s="749">
        <v>7.75</v>
      </c>
    </row>
    <row r="204">
      <c r="A204" s="28">
        <v>44390.0</v>
      </c>
      <c r="B204" s="29">
        <v>7.3</v>
      </c>
      <c r="C204" s="29">
        <v>17.0</v>
      </c>
      <c r="D204" s="30" t="s">
        <v>3</v>
      </c>
      <c r="E204" s="30" t="s">
        <v>4</v>
      </c>
      <c r="F204" s="29">
        <v>7.75</v>
      </c>
    </row>
    <row r="205">
      <c r="A205" s="28">
        <v>44391.0</v>
      </c>
      <c r="B205" s="43" t="s">
        <v>24</v>
      </c>
      <c r="E205" s="44" t="s">
        <v>4</v>
      </c>
      <c r="F205" s="45">
        <v>7.75</v>
      </c>
    </row>
    <row r="206">
      <c r="A206" s="28">
        <v>44392.0</v>
      </c>
      <c r="B206" s="29">
        <v>7.3</v>
      </c>
      <c r="C206" s="29">
        <v>17.0</v>
      </c>
      <c r="D206" s="30" t="s">
        <v>3</v>
      </c>
      <c r="E206" s="30" t="s">
        <v>4</v>
      </c>
      <c r="F206" s="29">
        <v>7.75</v>
      </c>
    </row>
    <row r="207">
      <c r="A207" s="28">
        <v>44393.0</v>
      </c>
      <c r="B207" s="756">
        <v>7.3</v>
      </c>
      <c r="C207" s="756">
        <v>16.15</v>
      </c>
      <c r="D207" s="757" t="s">
        <v>3540</v>
      </c>
      <c r="E207" s="757" t="s">
        <v>3515</v>
      </c>
      <c r="F207" s="756">
        <v>7.0</v>
      </c>
      <c r="G207" s="758">
        <v>3.0</v>
      </c>
    </row>
    <row r="208">
      <c r="A208" s="3" t="s">
        <v>7</v>
      </c>
      <c r="B208" s="14"/>
      <c r="C208" s="14"/>
      <c r="D208" s="15"/>
      <c r="E208" s="6"/>
      <c r="F208" s="735">
        <f>F203+F204+F205+F206+F207</f>
        <v>38</v>
      </c>
    </row>
    <row r="209">
      <c r="A209" s="28">
        <v>44396.0</v>
      </c>
      <c r="B209" s="749">
        <v>7.3</v>
      </c>
      <c r="C209" s="749">
        <v>17.0</v>
      </c>
      <c r="D209" s="752" t="s">
        <v>3</v>
      </c>
      <c r="E209" s="752" t="s">
        <v>4</v>
      </c>
      <c r="F209" s="749">
        <v>7.75</v>
      </c>
    </row>
    <row r="210">
      <c r="A210" s="28">
        <v>44397.0</v>
      </c>
      <c r="B210" s="29">
        <v>7.3</v>
      </c>
      <c r="C210" s="29">
        <v>17.0</v>
      </c>
      <c r="D210" s="42" t="s">
        <v>21</v>
      </c>
      <c r="E210" s="42" t="s">
        <v>22</v>
      </c>
      <c r="F210" s="39">
        <v>8.75</v>
      </c>
      <c r="G210" s="764">
        <v>1.0</v>
      </c>
    </row>
    <row r="211">
      <c r="A211" s="28">
        <v>44398.0</v>
      </c>
      <c r="B211" s="29">
        <v>7.3</v>
      </c>
      <c r="C211" s="29">
        <v>17.0</v>
      </c>
      <c r="D211" s="42" t="s">
        <v>21</v>
      </c>
      <c r="E211" s="42" t="s">
        <v>22</v>
      </c>
      <c r="F211" s="39">
        <v>8.75</v>
      </c>
      <c r="G211" s="764">
        <v>1.0</v>
      </c>
    </row>
    <row r="212">
      <c r="A212" s="28">
        <v>44399.0</v>
      </c>
      <c r="B212" s="29">
        <v>7.3</v>
      </c>
      <c r="C212" s="29">
        <v>17.0</v>
      </c>
      <c r="D212" s="42" t="s">
        <v>3703</v>
      </c>
      <c r="E212" s="42" t="s">
        <v>3562</v>
      </c>
      <c r="F212" s="39">
        <v>8.0</v>
      </c>
      <c r="G212" s="764">
        <v>0.25</v>
      </c>
    </row>
    <row r="213">
      <c r="A213" s="28">
        <v>44400.0</v>
      </c>
      <c r="B213" s="756">
        <v>7.3</v>
      </c>
      <c r="C213" s="762">
        <v>12.15</v>
      </c>
      <c r="D213" s="757"/>
      <c r="E213" s="763" t="s">
        <v>20</v>
      </c>
      <c r="F213" s="762">
        <v>4.75</v>
      </c>
      <c r="G213" s="764">
        <v>0.75</v>
      </c>
    </row>
    <row r="214">
      <c r="A214" s="3" t="s">
        <v>7</v>
      </c>
      <c r="B214" s="14"/>
      <c r="C214" s="14"/>
      <c r="D214" s="15"/>
      <c r="E214" s="6"/>
      <c r="F214" s="735">
        <f>F209+F210+F211+F212+F213</f>
        <v>38</v>
      </c>
    </row>
    <row r="215">
      <c r="A215" s="28">
        <v>44403.0</v>
      </c>
      <c r="B215" s="749">
        <v>7.3</v>
      </c>
      <c r="C215" s="749">
        <v>17.0</v>
      </c>
      <c r="D215" s="752" t="s">
        <v>3</v>
      </c>
      <c r="E215" s="752" t="s">
        <v>4</v>
      </c>
      <c r="F215" s="749">
        <v>7.75</v>
      </c>
    </row>
    <row r="216">
      <c r="A216" s="28">
        <v>44404.0</v>
      </c>
      <c r="B216" s="29">
        <v>7.3</v>
      </c>
      <c r="C216" s="29">
        <v>17.0</v>
      </c>
      <c r="D216" s="30" t="s">
        <v>3</v>
      </c>
      <c r="E216" s="30" t="s">
        <v>4</v>
      </c>
      <c r="F216" s="29">
        <v>7.75</v>
      </c>
    </row>
    <row r="217">
      <c r="A217" s="28">
        <v>44405.0</v>
      </c>
      <c r="B217" s="29">
        <v>7.3</v>
      </c>
      <c r="C217" s="29">
        <v>17.0</v>
      </c>
      <c r="D217" s="30" t="s">
        <v>3</v>
      </c>
      <c r="E217" s="30" t="s">
        <v>4</v>
      </c>
      <c r="F217" s="29">
        <v>7.75</v>
      </c>
    </row>
    <row r="218">
      <c r="A218" s="28">
        <v>44406.0</v>
      </c>
      <c r="B218" s="29">
        <v>7.3</v>
      </c>
      <c r="C218" s="29">
        <v>17.0</v>
      </c>
      <c r="D218" s="30" t="s">
        <v>3</v>
      </c>
      <c r="E218" s="30" t="s">
        <v>4</v>
      </c>
      <c r="F218" s="29">
        <v>7.75</v>
      </c>
    </row>
    <row r="219">
      <c r="A219" s="28">
        <v>44407.0</v>
      </c>
      <c r="B219" s="756">
        <v>7.3</v>
      </c>
      <c r="C219" s="762">
        <v>12.15</v>
      </c>
      <c r="D219" s="757"/>
      <c r="E219" s="763" t="s">
        <v>20</v>
      </c>
      <c r="F219" s="762">
        <v>4.75</v>
      </c>
      <c r="G219" s="764">
        <v>0.75</v>
      </c>
    </row>
    <row r="220">
      <c r="A220" s="3" t="s">
        <v>7</v>
      </c>
      <c r="B220" s="14"/>
      <c r="C220" s="14"/>
      <c r="D220" s="15"/>
      <c r="E220" s="6"/>
      <c r="F220" s="735">
        <f>F215+F216+F217+F218+F219</f>
        <v>35.75</v>
      </c>
      <c r="M220" s="9" t="s">
        <v>9</v>
      </c>
      <c r="N220" s="10" t="s">
        <v>10</v>
      </c>
      <c r="O220" s="10" t="s">
        <v>1</v>
      </c>
    </row>
    <row r="221">
      <c r="A221" s="13" t="s">
        <v>2</v>
      </c>
      <c r="B221" s="14"/>
      <c r="C221" s="14"/>
      <c r="D221" s="15"/>
      <c r="E221" s="16"/>
      <c r="F221" s="17">
        <f>F196+F202+F208+F214+F220</f>
        <v>164.5</v>
      </c>
      <c r="G221" s="18">
        <f>G195+G201+G207+G210+G211+G212+G213+G219</f>
        <v>12.75</v>
      </c>
      <c r="H221" s="19" t="str">
        <f>H206</f>
        <v/>
      </c>
      <c r="I221" s="787">
        <f>G221-H221</f>
        <v>12.75</v>
      </c>
      <c r="J221" s="21" t="s">
        <v>3704</v>
      </c>
      <c r="K221" s="22" t="s">
        <v>3705</v>
      </c>
      <c r="L221" s="23" t="s">
        <v>14</v>
      </c>
      <c r="M221" s="200">
        <v>2081.49</v>
      </c>
      <c r="N221" s="193">
        <v>1490.77</v>
      </c>
      <c r="O221" s="200">
        <v>1418.22</v>
      </c>
    </row>
    <row r="222">
      <c r="A222" s="728" t="s">
        <v>243</v>
      </c>
      <c r="B222" s="728" t="s">
        <v>3445</v>
      </c>
      <c r="C222" s="728" t="s">
        <v>3446</v>
      </c>
      <c r="D222" s="728" t="s">
        <v>3447</v>
      </c>
      <c r="E222" s="728" t="s">
        <v>3448</v>
      </c>
      <c r="F222" s="729" t="s">
        <v>3449</v>
      </c>
      <c r="G222" s="730" t="s">
        <v>3450</v>
      </c>
      <c r="H222" s="731" t="s">
        <v>3451</v>
      </c>
      <c r="I222" s="732" t="s">
        <v>3452</v>
      </c>
      <c r="J222" s="733" t="s">
        <v>50</v>
      </c>
      <c r="K222" s="734" t="s">
        <v>3706</v>
      </c>
    </row>
    <row r="223">
      <c r="A223" s="33" t="s">
        <v>3707</v>
      </c>
    </row>
    <row r="224">
      <c r="A224" s="28">
        <v>44431.0</v>
      </c>
      <c r="B224" s="749">
        <v>7.3</v>
      </c>
      <c r="C224" s="749">
        <v>17.0</v>
      </c>
      <c r="D224" s="752" t="s">
        <v>3</v>
      </c>
      <c r="E224" s="752" t="s">
        <v>4</v>
      </c>
      <c r="F224" s="749">
        <v>7.75</v>
      </c>
    </row>
    <row r="225">
      <c r="A225" s="28">
        <v>44432.0</v>
      </c>
      <c r="B225" s="749">
        <v>7.3</v>
      </c>
      <c r="C225" s="749">
        <v>17.0</v>
      </c>
      <c r="D225" s="752" t="s">
        <v>3</v>
      </c>
      <c r="E225" s="752" t="s">
        <v>4</v>
      </c>
      <c r="F225" s="749">
        <v>7.75</v>
      </c>
    </row>
    <row r="226">
      <c r="A226" s="28">
        <v>44433.0</v>
      </c>
      <c r="B226" s="749">
        <v>7.3</v>
      </c>
      <c r="C226" s="749">
        <v>17.0</v>
      </c>
      <c r="D226" s="752" t="s">
        <v>3</v>
      </c>
      <c r="E226" s="752" t="s">
        <v>4</v>
      </c>
      <c r="F226" s="749">
        <v>7.75</v>
      </c>
    </row>
    <row r="227">
      <c r="A227" s="28">
        <v>44434.0</v>
      </c>
      <c r="B227" s="749">
        <v>7.3</v>
      </c>
      <c r="C227" s="749">
        <v>17.0</v>
      </c>
      <c r="D227" s="752" t="s">
        <v>3</v>
      </c>
      <c r="E227" s="752" t="s">
        <v>4</v>
      </c>
      <c r="F227" s="749">
        <v>7.75</v>
      </c>
    </row>
    <row r="228">
      <c r="A228" s="28">
        <v>44435.0</v>
      </c>
      <c r="B228" s="756">
        <v>7.3</v>
      </c>
      <c r="C228" s="762">
        <v>12.15</v>
      </c>
      <c r="D228" s="757"/>
      <c r="E228" s="763" t="s">
        <v>20</v>
      </c>
      <c r="F228" s="762">
        <v>4.75</v>
      </c>
      <c r="G228" s="764">
        <v>0.75</v>
      </c>
    </row>
    <row r="229">
      <c r="A229" s="3" t="s">
        <v>7</v>
      </c>
      <c r="B229" s="14"/>
      <c r="C229" s="14"/>
      <c r="D229" s="15"/>
      <c r="E229" s="6"/>
      <c r="F229" s="735">
        <f>F224+F225+F226+F227+F228</f>
        <v>35.75</v>
      </c>
    </row>
    <row r="230">
      <c r="A230" s="28">
        <v>44438.0</v>
      </c>
      <c r="B230" s="749">
        <v>7.3</v>
      </c>
      <c r="C230" s="749">
        <v>17.0</v>
      </c>
      <c r="D230" s="752" t="s">
        <v>3</v>
      </c>
      <c r="E230" s="752" t="s">
        <v>4</v>
      </c>
      <c r="F230" s="749">
        <v>7.75</v>
      </c>
    </row>
    <row r="231">
      <c r="A231" s="28">
        <v>44439.0</v>
      </c>
      <c r="B231" s="749">
        <v>7.3</v>
      </c>
      <c r="C231" s="749">
        <v>17.0</v>
      </c>
      <c r="D231" s="752" t="s">
        <v>3</v>
      </c>
      <c r="E231" s="752" t="s">
        <v>4</v>
      </c>
      <c r="F231" s="749">
        <v>7.75</v>
      </c>
    </row>
    <row r="232">
      <c r="A232" s="3" t="s">
        <v>7</v>
      </c>
      <c r="B232" s="14"/>
      <c r="C232" s="14"/>
      <c r="D232" s="15"/>
      <c r="E232" s="6"/>
      <c r="F232" s="735"/>
      <c r="M232" s="9" t="s">
        <v>9</v>
      </c>
      <c r="N232" s="10" t="s">
        <v>10</v>
      </c>
      <c r="O232" s="10" t="s">
        <v>1</v>
      </c>
    </row>
    <row r="233">
      <c r="A233" s="13" t="s">
        <v>2</v>
      </c>
      <c r="B233" s="14"/>
      <c r="C233" s="14"/>
      <c r="D233" s="15"/>
      <c r="E233" s="16"/>
      <c r="F233" s="17">
        <f>F211+F217+F223+F229+F232</f>
        <v>52.25</v>
      </c>
      <c r="G233" s="18">
        <f>G228</f>
        <v>0.75</v>
      </c>
      <c r="H233" s="19" t="str">
        <f>H218</f>
        <v/>
      </c>
      <c r="I233" s="787">
        <f>G233-H233</f>
        <v>0.75</v>
      </c>
      <c r="J233" s="21" t="s">
        <v>3708</v>
      </c>
      <c r="K233" s="22" t="s">
        <v>3709</v>
      </c>
      <c r="L233" s="23" t="s">
        <v>14</v>
      </c>
      <c r="M233" s="466">
        <v>1852.68</v>
      </c>
      <c r="N233" s="467">
        <v>1298.06</v>
      </c>
      <c r="O233" s="466">
        <v>1409.81</v>
      </c>
    </row>
    <row r="234">
      <c r="A234" s="728" t="s">
        <v>243</v>
      </c>
      <c r="B234" s="728" t="s">
        <v>3445</v>
      </c>
      <c r="C234" s="728" t="s">
        <v>3446</v>
      </c>
      <c r="D234" s="728" t="s">
        <v>3447</v>
      </c>
      <c r="E234" s="728" t="s">
        <v>3448</v>
      </c>
      <c r="F234" s="729" t="s">
        <v>3449</v>
      </c>
      <c r="G234" s="730" t="s">
        <v>3450</v>
      </c>
      <c r="H234" s="731" t="s">
        <v>3451</v>
      </c>
      <c r="I234" s="732" t="s">
        <v>3452</v>
      </c>
      <c r="J234" s="733" t="s">
        <v>50</v>
      </c>
      <c r="K234" s="734" t="s">
        <v>3710</v>
      </c>
    </row>
    <row r="235">
      <c r="A235" s="28">
        <v>44440.0</v>
      </c>
      <c r="B235" s="749">
        <v>7.3</v>
      </c>
      <c r="C235" s="749">
        <v>17.0</v>
      </c>
      <c r="D235" s="752" t="s">
        <v>3</v>
      </c>
      <c r="E235" s="752" t="s">
        <v>4</v>
      </c>
      <c r="F235" s="749">
        <v>7.75</v>
      </c>
      <c r="G235" s="783"/>
      <c r="H235" s="783"/>
      <c r="I235" s="783"/>
      <c r="J235" s="783"/>
    </row>
    <row r="236">
      <c r="A236" s="28">
        <v>44441.0</v>
      </c>
      <c r="B236" s="47">
        <v>10.0</v>
      </c>
      <c r="C236" s="749">
        <v>17.0</v>
      </c>
      <c r="D236" s="752" t="s">
        <v>3</v>
      </c>
      <c r="E236" s="51" t="s">
        <v>3711</v>
      </c>
      <c r="F236" s="51">
        <v>5.25</v>
      </c>
      <c r="G236" s="783"/>
      <c r="H236" s="794">
        <v>2.5</v>
      </c>
      <c r="I236" s="783"/>
      <c r="J236" s="783"/>
    </row>
    <row r="237">
      <c r="A237" s="28">
        <v>44442.0</v>
      </c>
      <c r="B237" s="756">
        <v>7.3</v>
      </c>
      <c r="C237" s="762">
        <v>12.15</v>
      </c>
      <c r="D237" s="757"/>
      <c r="E237" s="763" t="s">
        <v>20</v>
      </c>
      <c r="F237" s="762">
        <v>4.75</v>
      </c>
      <c r="G237" s="764">
        <v>0.75</v>
      </c>
      <c r="H237" s="783"/>
      <c r="I237" s="783"/>
      <c r="J237" s="783"/>
    </row>
    <row r="238">
      <c r="A238" s="3" t="s">
        <v>7</v>
      </c>
      <c r="B238" s="14"/>
      <c r="C238" s="14"/>
      <c r="D238" s="15"/>
      <c r="E238" s="6"/>
      <c r="F238" s="735"/>
      <c r="G238" s="783"/>
      <c r="H238" s="783"/>
      <c r="I238" s="783"/>
      <c r="J238" s="783"/>
    </row>
    <row r="239">
      <c r="A239" s="28">
        <v>44445.0</v>
      </c>
      <c r="B239" s="749">
        <v>7.3</v>
      </c>
      <c r="C239" s="749">
        <v>17.0</v>
      </c>
      <c r="D239" s="752" t="s">
        <v>3</v>
      </c>
      <c r="E239" s="752" t="s">
        <v>4</v>
      </c>
      <c r="F239" s="749">
        <v>7.75</v>
      </c>
      <c r="G239" s="783"/>
      <c r="H239" s="783"/>
      <c r="I239" s="783"/>
      <c r="J239" s="783"/>
    </row>
    <row r="240">
      <c r="A240" s="28">
        <v>44446.0</v>
      </c>
      <c r="B240" s="749">
        <v>7.3</v>
      </c>
      <c r="C240" s="750">
        <v>17.0</v>
      </c>
      <c r="D240" s="751" t="s">
        <v>3</v>
      </c>
      <c r="E240" s="752" t="s">
        <v>4</v>
      </c>
      <c r="F240" s="749">
        <v>7.75</v>
      </c>
      <c r="G240" s="783"/>
      <c r="H240" s="783"/>
      <c r="I240" s="783"/>
      <c r="J240" s="783"/>
    </row>
    <row r="241">
      <c r="A241" s="28">
        <v>44447.0</v>
      </c>
      <c r="B241" s="749">
        <v>7.3</v>
      </c>
      <c r="C241" s="750">
        <v>17.0</v>
      </c>
      <c r="D241" s="751" t="s">
        <v>3</v>
      </c>
      <c r="E241" s="752" t="s">
        <v>4</v>
      </c>
      <c r="F241" s="749">
        <v>7.75</v>
      </c>
      <c r="G241" s="783"/>
      <c r="H241" s="783"/>
      <c r="I241" s="783"/>
      <c r="J241" s="783"/>
    </row>
    <row r="242">
      <c r="A242" s="28">
        <v>44448.0</v>
      </c>
      <c r="B242" s="749">
        <v>7.3</v>
      </c>
      <c r="C242" s="750">
        <v>17.0</v>
      </c>
      <c r="D242" s="751" t="s">
        <v>3</v>
      </c>
      <c r="E242" s="752" t="s">
        <v>4</v>
      </c>
      <c r="F242" s="749">
        <v>7.75</v>
      </c>
      <c r="G242" s="783"/>
      <c r="H242" s="783"/>
      <c r="I242" s="783"/>
      <c r="J242" s="783"/>
    </row>
    <row r="243">
      <c r="A243" s="28">
        <v>44449.0</v>
      </c>
      <c r="B243" s="756">
        <v>7.3</v>
      </c>
      <c r="C243" s="762">
        <v>12.15</v>
      </c>
      <c r="D243" s="757"/>
      <c r="E243" s="763" t="s">
        <v>20</v>
      </c>
      <c r="F243" s="762">
        <v>4.75</v>
      </c>
      <c r="G243" s="764">
        <v>0.75</v>
      </c>
      <c r="H243" s="783"/>
      <c r="I243" s="783"/>
      <c r="J243" s="783"/>
    </row>
    <row r="244">
      <c r="A244" s="3" t="s">
        <v>7</v>
      </c>
      <c r="B244" s="14"/>
      <c r="C244" s="14"/>
      <c r="D244" s="15"/>
      <c r="E244" s="6"/>
      <c r="F244" s="735">
        <f>F239+F240+F241+F242+F243</f>
        <v>35.75</v>
      </c>
      <c r="G244" s="783"/>
      <c r="H244" s="783"/>
      <c r="I244" s="783"/>
      <c r="J244" s="783"/>
    </row>
    <row r="245">
      <c r="A245" s="28">
        <v>44452.0</v>
      </c>
      <c r="B245" s="749">
        <v>7.3</v>
      </c>
      <c r="C245" s="749">
        <v>17.0</v>
      </c>
      <c r="D245" s="752" t="s">
        <v>3</v>
      </c>
      <c r="E245" s="752" t="s">
        <v>4</v>
      </c>
      <c r="F245" s="749">
        <v>7.75</v>
      </c>
      <c r="G245" s="783"/>
      <c r="H245" s="783"/>
      <c r="I245" s="783"/>
      <c r="J245" s="783"/>
    </row>
    <row r="246">
      <c r="A246" s="28">
        <v>44453.0</v>
      </c>
      <c r="B246" s="749">
        <v>7.3</v>
      </c>
      <c r="C246" s="750">
        <v>17.0</v>
      </c>
      <c r="D246" s="751" t="s">
        <v>3</v>
      </c>
      <c r="E246" s="752" t="s">
        <v>4</v>
      </c>
      <c r="F246" s="749">
        <v>7.75</v>
      </c>
      <c r="G246" s="783"/>
      <c r="H246" s="783"/>
      <c r="I246" s="783"/>
      <c r="J246" s="783"/>
    </row>
    <row r="247">
      <c r="A247" s="28">
        <v>44454.0</v>
      </c>
      <c r="B247" s="749">
        <v>7.3</v>
      </c>
      <c r="C247" s="750">
        <v>17.0</v>
      </c>
      <c r="D247" s="751" t="s">
        <v>3</v>
      </c>
      <c r="E247" s="752" t="s">
        <v>4</v>
      </c>
      <c r="F247" s="749">
        <v>7.75</v>
      </c>
      <c r="G247" s="783"/>
      <c r="H247" s="783"/>
      <c r="I247" s="783"/>
      <c r="J247" s="783"/>
    </row>
    <row r="248">
      <c r="A248" s="28">
        <v>44455.0</v>
      </c>
      <c r="B248" s="749">
        <v>7.3</v>
      </c>
      <c r="C248" s="750">
        <v>17.0</v>
      </c>
      <c r="D248" s="751" t="s">
        <v>3</v>
      </c>
      <c r="E248" s="752" t="s">
        <v>4</v>
      </c>
      <c r="F248" s="749">
        <v>7.75</v>
      </c>
      <c r="G248" s="783"/>
      <c r="H248" s="783"/>
      <c r="I248" s="783"/>
      <c r="J248" s="783"/>
    </row>
    <row r="249">
      <c r="A249" s="28">
        <v>44456.0</v>
      </c>
      <c r="B249" s="756">
        <v>7.3</v>
      </c>
      <c r="C249" s="762">
        <v>12.15</v>
      </c>
      <c r="D249" s="757"/>
      <c r="E249" s="763" t="s">
        <v>20</v>
      </c>
      <c r="F249" s="762">
        <v>4.75</v>
      </c>
      <c r="G249" s="764">
        <v>0.75</v>
      </c>
      <c r="H249" s="783"/>
      <c r="I249" s="783"/>
      <c r="J249" s="783"/>
    </row>
    <row r="250">
      <c r="A250" s="3" t="s">
        <v>7</v>
      </c>
      <c r="B250" s="14"/>
      <c r="C250" s="14"/>
      <c r="D250" s="15"/>
      <c r="E250" s="6"/>
      <c r="F250" s="735">
        <f>F245+F246+F247+F248+F249</f>
        <v>35.75</v>
      </c>
      <c r="G250" s="783"/>
      <c r="H250" s="783"/>
      <c r="I250" s="783"/>
      <c r="J250" s="783"/>
    </row>
    <row r="251">
      <c r="A251" s="28">
        <v>44459.0</v>
      </c>
      <c r="B251" s="749">
        <v>7.3</v>
      </c>
      <c r="C251" s="749">
        <v>17.0</v>
      </c>
      <c r="D251" s="752" t="s">
        <v>3</v>
      </c>
      <c r="E251" s="752" t="s">
        <v>4</v>
      </c>
      <c r="F251" s="749">
        <v>7.75</v>
      </c>
      <c r="G251" s="783"/>
      <c r="H251" s="783"/>
      <c r="I251" s="783"/>
      <c r="J251" s="783"/>
    </row>
    <row r="252">
      <c r="A252" s="28">
        <v>44460.0</v>
      </c>
      <c r="B252" s="749">
        <v>7.3</v>
      </c>
      <c r="C252" s="750">
        <v>17.0</v>
      </c>
      <c r="D252" s="751" t="s">
        <v>3</v>
      </c>
      <c r="E252" s="752" t="s">
        <v>4</v>
      </c>
      <c r="F252" s="749">
        <v>7.75</v>
      </c>
      <c r="G252" s="783"/>
      <c r="H252" s="783"/>
      <c r="I252" s="783"/>
      <c r="J252" s="783"/>
    </row>
    <row r="253">
      <c r="A253" s="28">
        <v>44461.0</v>
      </c>
      <c r="B253" s="749">
        <v>7.3</v>
      </c>
      <c r="C253" s="750">
        <v>17.0</v>
      </c>
      <c r="D253" s="751" t="s">
        <v>3</v>
      </c>
      <c r="E253" s="752" t="s">
        <v>4</v>
      </c>
      <c r="F253" s="749">
        <v>7.75</v>
      </c>
      <c r="G253" s="783"/>
      <c r="H253" s="783"/>
      <c r="I253" s="783"/>
      <c r="J253" s="783"/>
    </row>
    <row r="254">
      <c r="A254" s="28">
        <v>44462.0</v>
      </c>
      <c r="B254" s="754">
        <v>7.45</v>
      </c>
      <c r="C254" s="750">
        <v>17.0</v>
      </c>
      <c r="D254" s="751" t="s">
        <v>3</v>
      </c>
      <c r="E254" s="753" t="s">
        <v>3538</v>
      </c>
      <c r="F254" s="754">
        <v>7.5</v>
      </c>
      <c r="G254" s="783"/>
      <c r="H254" s="794">
        <v>0.25</v>
      </c>
      <c r="I254" s="783"/>
      <c r="J254" s="795" t="s">
        <v>3712</v>
      </c>
    </row>
    <row r="255">
      <c r="A255" s="28">
        <v>44463.0</v>
      </c>
      <c r="B255" s="756">
        <v>7.3</v>
      </c>
      <c r="C255" s="762">
        <v>12.15</v>
      </c>
      <c r="D255" s="757"/>
      <c r="E255" s="763" t="s">
        <v>20</v>
      </c>
      <c r="F255" s="762">
        <v>4.75</v>
      </c>
      <c r="G255" s="764">
        <v>0.75</v>
      </c>
      <c r="H255" s="783"/>
      <c r="I255" s="783"/>
      <c r="J255" s="783"/>
    </row>
    <row r="256">
      <c r="A256" s="3" t="s">
        <v>7</v>
      </c>
      <c r="B256" s="14"/>
      <c r="C256" s="14"/>
      <c r="D256" s="15"/>
      <c r="E256" s="6"/>
      <c r="F256" s="735">
        <f>F251+F252+F253+F254+F255</f>
        <v>35.5</v>
      </c>
      <c r="G256" s="783"/>
      <c r="H256" s="783"/>
      <c r="I256" s="783"/>
      <c r="J256" s="783"/>
    </row>
    <row r="257">
      <c r="A257" s="28">
        <v>44466.0</v>
      </c>
      <c r="B257" s="749">
        <v>7.3</v>
      </c>
      <c r="C257" s="749">
        <v>17.0</v>
      </c>
      <c r="D257" s="752" t="s">
        <v>3</v>
      </c>
      <c r="E257" s="752" t="s">
        <v>4</v>
      </c>
      <c r="F257" s="749">
        <v>7.75</v>
      </c>
      <c r="G257" s="783"/>
      <c r="H257" s="783"/>
      <c r="I257" s="783"/>
      <c r="J257" s="783"/>
    </row>
    <row r="258">
      <c r="A258" s="28">
        <v>44467.0</v>
      </c>
      <c r="B258" s="749">
        <v>7.3</v>
      </c>
      <c r="C258" s="750">
        <v>17.0</v>
      </c>
      <c r="D258" s="751" t="s">
        <v>3</v>
      </c>
      <c r="E258" s="752" t="s">
        <v>4</v>
      </c>
      <c r="F258" s="749">
        <v>7.75</v>
      </c>
      <c r="G258" s="783"/>
      <c r="H258" s="783"/>
      <c r="I258" s="783"/>
      <c r="J258" s="783"/>
    </row>
    <row r="259">
      <c r="A259" s="28">
        <v>44468.0</v>
      </c>
      <c r="B259" s="749">
        <v>7.3</v>
      </c>
      <c r="C259" s="750">
        <v>17.0</v>
      </c>
      <c r="D259" s="751" t="s">
        <v>3</v>
      </c>
      <c r="E259" s="752" t="s">
        <v>4</v>
      </c>
      <c r="F259" s="749">
        <v>7.75</v>
      </c>
      <c r="G259" s="783"/>
      <c r="H259" s="783"/>
      <c r="I259" s="783"/>
      <c r="J259" s="783"/>
    </row>
    <row r="260">
      <c r="A260" s="28">
        <v>44469.0</v>
      </c>
      <c r="B260" s="749">
        <v>7.3</v>
      </c>
      <c r="C260" s="750">
        <v>17.0</v>
      </c>
      <c r="D260" s="751" t="s">
        <v>3</v>
      </c>
      <c r="E260" s="752" t="s">
        <v>4</v>
      </c>
      <c r="F260" s="749">
        <v>7.75</v>
      </c>
      <c r="G260" s="783"/>
      <c r="H260" s="783"/>
      <c r="I260" s="783"/>
      <c r="J260" s="783"/>
    </row>
    <row r="261">
      <c r="A261" s="3" t="s">
        <v>7</v>
      </c>
      <c r="B261" s="14"/>
      <c r="C261" s="14"/>
      <c r="D261" s="15"/>
      <c r="E261" s="6"/>
      <c r="F261" s="735">
        <f>F257+F258+F259+F260</f>
        <v>31</v>
      </c>
      <c r="G261" s="783"/>
      <c r="H261" s="783"/>
      <c r="I261" s="783"/>
      <c r="J261" s="783"/>
      <c r="M261" s="9" t="s">
        <v>9</v>
      </c>
      <c r="N261" s="10" t="s">
        <v>10</v>
      </c>
      <c r="O261" s="10" t="s">
        <v>1</v>
      </c>
    </row>
    <row r="262">
      <c r="A262" s="13" t="s">
        <v>2</v>
      </c>
      <c r="B262" s="14"/>
      <c r="C262" s="14"/>
      <c r="D262" s="15"/>
      <c r="E262" s="16"/>
      <c r="F262" s="17">
        <f>F240+F246+F252+F258+F261</f>
        <v>62</v>
      </c>
      <c r="G262" s="796">
        <f>G237+G243+G249+G255</f>
        <v>3</v>
      </c>
      <c r="H262" s="797">
        <f>H236+H254</f>
        <v>2.75</v>
      </c>
      <c r="I262" s="787">
        <f>G262-H262</f>
        <v>0.25</v>
      </c>
      <c r="J262" s="21" t="s">
        <v>3713</v>
      </c>
      <c r="K262" s="22" t="s">
        <v>3583</v>
      </c>
      <c r="L262" s="23" t="s">
        <v>14</v>
      </c>
      <c r="M262" s="200">
        <v>1631.82</v>
      </c>
      <c r="N262" s="193">
        <v>1165.27</v>
      </c>
      <c r="O262" s="200">
        <v>1336.22</v>
      </c>
    </row>
    <row r="263">
      <c r="A263" s="728" t="s">
        <v>243</v>
      </c>
      <c r="B263" s="728" t="s">
        <v>3445</v>
      </c>
      <c r="C263" s="728" t="s">
        <v>3446</v>
      </c>
      <c r="D263" s="728" t="s">
        <v>3447</v>
      </c>
      <c r="E263" s="728" t="s">
        <v>3448</v>
      </c>
      <c r="F263" s="729" t="s">
        <v>3449</v>
      </c>
      <c r="G263" s="730" t="s">
        <v>3450</v>
      </c>
      <c r="H263" s="731" t="s">
        <v>3451</v>
      </c>
      <c r="I263" s="732" t="s">
        <v>3452</v>
      </c>
      <c r="J263" s="733" t="s">
        <v>50</v>
      </c>
      <c r="K263" s="734" t="s">
        <v>3714</v>
      </c>
    </row>
    <row r="264">
      <c r="A264" s="28">
        <v>44470.0</v>
      </c>
      <c r="B264" s="756">
        <v>7.3</v>
      </c>
      <c r="C264" s="756">
        <v>16.15</v>
      </c>
      <c r="D264" s="757" t="s">
        <v>3540</v>
      </c>
      <c r="E264" s="757" t="s">
        <v>3515</v>
      </c>
      <c r="F264" s="756">
        <v>7.0</v>
      </c>
      <c r="G264" s="758">
        <v>3.0</v>
      </c>
    </row>
    <row r="265">
      <c r="A265" s="3" t="s">
        <v>7</v>
      </c>
      <c r="B265" s="14"/>
      <c r="C265" s="14"/>
      <c r="D265" s="15"/>
      <c r="E265" s="6"/>
      <c r="F265" s="735">
        <f>F264</f>
        <v>7</v>
      </c>
    </row>
    <row r="266">
      <c r="A266" s="28">
        <v>44473.0</v>
      </c>
      <c r="B266" s="749">
        <v>7.3</v>
      </c>
      <c r="C266" s="749">
        <v>17.0</v>
      </c>
      <c r="D266" s="752" t="s">
        <v>3</v>
      </c>
      <c r="E266" s="752" t="s">
        <v>4</v>
      </c>
      <c r="F266" s="749">
        <v>7.75</v>
      </c>
    </row>
    <row r="267">
      <c r="A267" s="28">
        <v>44474.0</v>
      </c>
      <c r="B267" s="749">
        <v>7.3</v>
      </c>
      <c r="C267" s="750">
        <v>17.0</v>
      </c>
      <c r="D267" s="751" t="s">
        <v>3</v>
      </c>
      <c r="E267" s="752" t="s">
        <v>4</v>
      </c>
      <c r="F267" s="749">
        <v>7.75</v>
      </c>
    </row>
    <row r="268">
      <c r="A268" s="28">
        <v>44475.0</v>
      </c>
      <c r="B268" s="749">
        <v>7.3</v>
      </c>
      <c r="C268" s="750">
        <v>17.0</v>
      </c>
      <c r="D268" s="751" t="s">
        <v>3</v>
      </c>
      <c r="E268" s="752" t="s">
        <v>4</v>
      </c>
      <c r="F268" s="749">
        <v>7.75</v>
      </c>
    </row>
    <row r="269">
      <c r="A269" s="28">
        <v>44476.0</v>
      </c>
      <c r="B269" s="749">
        <v>7.3</v>
      </c>
      <c r="C269" s="750">
        <v>17.0</v>
      </c>
      <c r="D269" s="751" t="s">
        <v>3</v>
      </c>
      <c r="E269" s="752" t="s">
        <v>4</v>
      </c>
      <c r="F269" s="749">
        <v>7.75</v>
      </c>
    </row>
    <row r="270">
      <c r="A270" s="28">
        <v>44477.0</v>
      </c>
      <c r="B270" s="749">
        <v>7.3</v>
      </c>
      <c r="C270" s="47">
        <v>11.3</v>
      </c>
      <c r="D270" s="51" t="s">
        <v>5</v>
      </c>
      <c r="E270" s="51" t="s">
        <v>3536</v>
      </c>
      <c r="F270" s="47">
        <v>4.0</v>
      </c>
    </row>
    <row r="271">
      <c r="A271" s="3" t="s">
        <v>7</v>
      </c>
      <c r="B271" s="14"/>
      <c r="C271" s="14"/>
      <c r="D271" s="15"/>
      <c r="E271" s="6"/>
      <c r="F271" s="735">
        <f>SUM(F266:F270)</f>
        <v>35</v>
      </c>
    </row>
    <row r="272">
      <c r="A272" s="28">
        <v>44480.0</v>
      </c>
      <c r="B272" s="749">
        <v>7.3</v>
      </c>
      <c r="C272" s="749">
        <v>17.0</v>
      </c>
      <c r="D272" s="752" t="s">
        <v>3</v>
      </c>
      <c r="E272" s="752" t="s">
        <v>4</v>
      </c>
      <c r="F272" s="749">
        <v>7.75</v>
      </c>
    </row>
    <row r="273">
      <c r="A273" s="28">
        <v>44481.0</v>
      </c>
      <c r="B273" s="749">
        <v>7.3</v>
      </c>
      <c r="C273" s="750">
        <v>17.0</v>
      </c>
      <c r="D273" s="751" t="s">
        <v>3</v>
      </c>
      <c r="E273" s="752" t="s">
        <v>4</v>
      </c>
      <c r="F273" s="749">
        <v>7.75</v>
      </c>
    </row>
    <row r="274">
      <c r="A274" s="28">
        <v>44482.0</v>
      </c>
      <c r="B274" s="749">
        <v>7.3</v>
      </c>
      <c r="C274" s="750">
        <v>17.0</v>
      </c>
      <c r="D274" s="751" t="s">
        <v>3</v>
      </c>
      <c r="E274" s="752" t="s">
        <v>4</v>
      </c>
      <c r="F274" s="749">
        <v>7.75</v>
      </c>
    </row>
    <row r="275">
      <c r="A275" s="28">
        <v>44483.0</v>
      </c>
      <c r="B275" s="754">
        <v>7.45</v>
      </c>
      <c r="C275" s="750">
        <v>17.0</v>
      </c>
      <c r="D275" s="751" t="s">
        <v>3</v>
      </c>
      <c r="E275" s="753" t="s">
        <v>3538</v>
      </c>
      <c r="F275" s="754">
        <v>7.5</v>
      </c>
      <c r="H275" s="794">
        <v>0.25</v>
      </c>
    </row>
    <row r="276">
      <c r="A276" s="28">
        <v>44484.0</v>
      </c>
      <c r="B276" s="756">
        <v>7.3</v>
      </c>
      <c r="C276" s="756">
        <v>16.15</v>
      </c>
      <c r="D276" s="757" t="s">
        <v>3540</v>
      </c>
      <c r="E276" s="757" t="s">
        <v>3515</v>
      </c>
      <c r="F276" s="756">
        <v>7.0</v>
      </c>
      <c r="G276" s="758">
        <v>3.0</v>
      </c>
      <c r="H276" s="798"/>
    </row>
    <row r="277">
      <c r="A277" s="3" t="s">
        <v>7</v>
      </c>
      <c r="B277" s="14"/>
      <c r="C277" s="14"/>
      <c r="D277" s="15"/>
      <c r="E277" s="6"/>
      <c r="F277" s="735">
        <f>SUM(F272:F276)</f>
        <v>37.75</v>
      </c>
    </row>
    <row r="278">
      <c r="A278" s="28">
        <v>44487.0</v>
      </c>
      <c r="B278" s="749">
        <v>7.3</v>
      </c>
      <c r="C278" s="749">
        <v>17.0</v>
      </c>
      <c r="D278" s="752" t="s">
        <v>3</v>
      </c>
      <c r="E278" s="752" t="s">
        <v>4</v>
      </c>
      <c r="F278" s="749">
        <v>7.75</v>
      </c>
    </row>
    <row r="279">
      <c r="A279" s="28">
        <v>44488.0</v>
      </c>
      <c r="B279" s="749">
        <v>7.3</v>
      </c>
      <c r="C279" s="750">
        <v>17.0</v>
      </c>
      <c r="D279" s="751" t="s">
        <v>3</v>
      </c>
      <c r="E279" s="752" t="s">
        <v>4</v>
      </c>
      <c r="F279" s="749">
        <v>7.75</v>
      </c>
    </row>
    <row r="280">
      <c r="A280" s="28">
        <v>44489.0</v>
      </c>
      <c r="B280" s="749">
        <v>7.3</v>
      </c>
      <c r="C280" s="750">
        <v>17.0</v>
      </c>
      <c r="D280" s="751" t="s">
        <v>3</v>
      </c>
      <c r="E280" s="752" t="s">
        <v>4</v>
      </c>
      <c r="F280" s="749">
        <v>7.75</v>
      </c>
    </row>
    <row r="281">
      <c r="A281" s="28">
        <v>44490.0</v>
      </c>
      <c r="B281" s="749">
        <v>7.3</v>
      </c>
      <c r="C281" s="749">
        <v>17.0</v>
      </c>
      <c r="D281" s="752" t="s">
        <v>3</v>
      </c>
      <c r="E281" s="752" t="s">
        <v>4</v>
      </c>
      <c r="F281" s="749">
        <v>7.75</v>
      </c>
    </row>
    <row r="282">
      <c r="A282" s="28">
        <v>44491.0</v>
      </c>
      <c r="B282" s="756">
        <v>7.3</v>
      </c>
      <c r="C282" s="756">
        <v>16.15</v>
      </c>
      <c r="D282" s="757" t="s">
        <v>3540</v>
      </c>
      <c r="E282" s="757" t="s">
        <v>3515</v>
      </c>
      <c r="F282" s="756">
        <v>7.0</v>
      </c>
      <c r="G282" s="758">
        <v>3.0</v>
      </c>
    </row>
    <row r="283">
      <c r="A283" s="3" t="s">
        <v>7</v>
      </c>
      <c r="B283" s="14"/>
      <c r="C283" s="14"/>
      <c r="D283" s="15"/>
      <c r="E283" s="6"/>
      <c r="F283" s="735">
        <f>SUM(F278:F282)</f>
        <v>38</v>
      </c>
    </row>
    <row r="284">
      <c r="A284" s="28">
        <v>44494.0</v>
      </c>
      <c r="B284" s="749">
        <v>7.3</v>
      </c>
      <c r="C284" s="749">
        <v>17.0</v>
      </c>
      <c r="D284" s="752" t="s">
        <v>3</v>
      </c>
      <c r="E284" s="752" t="s">
        <v>4</v>
      </c>
      <c r="F284" s="749">
        <v>7.75</v>
      </c>
    </row>
    <row r="285">
      <c r="A285" s="28">
        <v>44495.0</v>
      </c>
      <c r="B285" s="749">
        <v>7.3</v>
      </c>
      <c r="C285" s="750">
        <v>17.0</v>
      </c>
      <c r="D285" s="751" t="s">
        <v>3</v>
      </c>
      <c r="E285" s="752" t="s">
        <v>4</v>
      </c>
      <c r="F285" s="749">
        <v>7.75</v>
      </c>
    </row>
    <row r="286">
      <c r="A286" s="28">
        <v>44496.0</v>
      </c>
      <c r="B286" s="749">
        <v>7.3</v>
      </c>
      <c r="C286" s="750">
        <v>17.0</v>
      </c>
      <c r="D286" s="751" t="s">
        <v>3</v>
      </c>
      <c r="E286" s="752" t="s">
        <v>4</v>
      </c>
      <c r="F286" s="749">
        <v>7.75</v>
      </c>
    </row>
    <row r="287">
      <c r="A287" s="28">
        <v>44497.0</v>
      </c>
      <c r="B287" s="749">
        <v>7.3</v>
      </c>
      <c r="C287" s="750">
        <v>17.0</v>
      </c>
      <c r="D287" s="751" t="s">
        <v>3</v>
      </c>
      <c r="E287" s="752" t="s">
        <v>4</v>
      </c>
      <c r="F287" s="749">
        <v>7.75</v>
      </c>
    </row>
    <row r="288">
      <c r="A288" s="28">
        <v>44498.0</v>
      </c>
      <c r="B288" s="749">
        <v>7.3</v>
      </c>
      <c r="C288" s="47">
        <v>11.3</v>
      </c>
      <c r="D288" s="51" t="s">
        <v>5</v>
      </c>
      <c r="E288" s="51" t="s">
        <v>3536</v>
      </c>
      <c r="F288" s="47">
        <v>4.0</v>
      </c>
    </row>
    <row r="289">
      <c r="A289" s="3" t="s">
        <v>7</v>
      </c>
      <c r="B289" s="14"/>
      <c r="C289" s="14"/>
      <c r="D289" s="15"/>
      <c r="E289" s="6"/>
      <c r="F289" s="735">
        <f>SUM(F284:F288)</f>
        <v>35</v>
      </c>
      <c r="M289" s="9" t="s">
        <v>9</v>
      </c>
      <c r="N289" s="10" t="s">
        <v>10</v>
      </c>
      <c r="O289" s="10" t="s">
        <v>1</v>
      </c>
    </row>
    <row r="290">
      <c r="A290" s="13" t="s">
        <v>2</v>
      </c>
      <c r="B290" s="14"/>
      <c r="C290" s="14"/>
      <c r="D290" s="15"/>
      <c r="E290" s="16"/>
      <c r="F290" s="17">
        <f>F265+F271+F277+F283+F289</f>
        <v>152.75</v>
      </c>
      <c r="G290" s="18">
        <f>G264+G276+G282</f>
        <v>9</v>
      </c>
      <c r="H290" s="19">
        <f>H275</f>
        <v>0.25</v>
      </c>
      <c r="I290" s="787">
        <f>G290-H290</f>
        <v>8.75</v>
      </c>
      <c r="J290" s="21" t="s">
        <v>3715</v>
      </c>
      <c r="K290" s="22" t="s">
        <v>3716</v>
      </c>
      <c r="L290" s="23" t="s">
        <v>14</v>
      </c>
      <c r="M290" s="466">
        <v>1738.54</v>
      </c>
      <c r="N290" s="467">
        <v>1198.02</v>
      </c>
      <c r="O290" s="466">
        <v>1418.24</v>
      </c>
    </row>
    <row r="291">
      <c r="A291" s="728" t="s">
        <v>243</v>
      </c>
      <c r="B291" s="728" t="s">
        <v>3445</v>
      </c>
      <c r="C291" s="728" t="s">
        <v>3446</v>
      </c>
      <c r="D291" s="728" t="s">
        <v>3447</v>
      </c>
      <c r="E291" s="728" t="s">
        <v>3448</v>
      </c>
      <c r="F291" s="729" t="s">
        <v>3449</v>
      </c>
      <c r="G291" s="730" t="s">
        <v>3450</v>
      </c>
      <c r="H291" s="731" t="s">
        <v>3451</v>
      </c>
      <c r="I291" s="732" t="s">
        <v>3452</v>
      </c>
      <c r="J291" s="733" t="s">
        <v>50</v>
      </c>
      <c r="K291" s="734" t="s">
        <v>3717</v>
      </c>
    </row>
    <row r="292">
      <c r="A292" s="28">
        <v>44501.0</v>
      </c>
      <c r="B292" s="43" t="s">
        <v>24</v>
      </c>
      <c r="E292" s="44" t="s">
        <v>4</v>
      </c>
      <c r="F292" s="45">
        <v>7.75</v>
      </c>
    </row>
    <row r="293">
      <c r="A293" s="28">
        <v>44502.0</v>
      </c>
      <c r="B293" s="749">
        <v>7.3</v>
      </c>
      <c r="C293" s="750">
        <v>17.0</v>
      </c>
      <c r="D293" s="751" t="s">
        <v>3</v>
      </c>
      <c r="E293" s="752" t="s">
        <v>4</v>
      </c>
      <c r="F293" s="749">
        <v>7.75</v>
      </c>
    </row>
    <row r="294">
      <c r="A294" s="28">
        <v>44503.0</v>
      </c>
      <c r="B294" s="749">
        <v>7.3</v>
      </c>
      <c r="C294" s="750">
        <v>17.0</v>
      </c>
      <c r="D294" s="751" t="s">
        <v>3</v>
      </c>
      <c r="E294" s="752" t="s">
        <v>4</v>
      </c>
      <c r="F294" s="749">
        <v>7.75</v>
      </c>
    </row>
    <row r="295">
      <c r="A295" s="28">
        <v>44504.0</v>
      </c>
      <c r="B295" s="749">
        <v>7.3</v>
      </c>
      <c r="C295" s="749">
        <v>17.0</v>
      </c>
      <c r="D295" s="752" t="s">
        <v>3</v>
      </c>
      <c r="E295" s="752" t="s">
        <v>4</v>
      </c>
      <c r="F295" s="749">
        <v>7.75</v>
      </c>
    </row>
    <row r="296">
      <c r="A296" s="28">
        <v>44505.0</v>
      </c>
      <c r="B296" s="756">
        <v>7.3</v>
      </c>
      <c r="C296" s="756">
        <v>16.15</v>
      </c>
      <c r="D296" s="757" t="s">
        <v>3540</v>
      </c>
      <c r="E296" s="757" t="s">
        <v>3515</v>
      </c>
      <c r="F296" s="756">
        <v>7.0</v>
      </c>
      <c r="G296" s="758">
        <f>G308</f>
        <v>3</v>
      </c>
    </row>
    <row r="297">
      <c r="A297" s="3" t="s">
        <v>7</v>
      </c>
      <c r="B297" s="14"/>
      <c r="C297" s="14"/>
      <c r="D297" s="15"/>
      <c r="E297" s="6"/>
      <c r="F297" s="735">
        <f>SUM(F292:F296)</f>
        <v>38</v>
      </c>
    </row>
    <row r="298">
      <c r="A298" s="28">
        <v>44508.0</v>
      </c>
      <c r="B298" s="749">
        <v>7.3</v>
      </c>
      <c r="C298" s="750">
        <v>17.0</v>
      </c>
      <c r="D298" s="751" t="s">
        <v>3</v>
      </c>
      <c r="E298" s="752" t="s">
        <v>4</v>
      </c>
      <c r="F298" s="749">
        <v>7.75</v>
      </c>
    </row>
    <row r="299">
      <c r="A299" s="28">
        <v>44509.0</v>
      </c>
      <c r="B299" s="749">
        <v>7.3</v>
      </c>
      <c r="C299" s="750">
        <v>17.0</v>
      </c>
      <c r="D299" s="751" t="s">
        <v>3</v>
      </c>
      <c r="E299" s="752" t="s">
        <v>4</v>
      </c>
      <c r="F299" s="749">
        <v>7.75</v>
      </c>
    </row>
    <row r="300">
      <c r="A300" s="28">
        <v>44510.0</v>
      </c>
      <c r="B300" s="749">
        <v>7.3</v>
      </c>
      <c r="C300" s="749">
        <v>17.0</v>
      </c>
      <c r="D300" s="752" t="s">
        <v>3</v>
      </c>
      <c r="E300" s="752" t="s">
        <v>4</v>
      </c>
      <c r="F300" s="749">
        <v>7.75</v>
      </c>
    </row>
    <row r="301">
      <c r="A301" s="28">
        <v>44511.0</v>
      </c>
      <c r="B301" s="43" t="s">
        <v>24</v>
      </c>
      <c r="E301" s="44" t="s">
        <v>4</v>
      </c>
      <c r="F301" s="45">
        <v>7.75</v>
      </c>
    </row>
    <row r="302">
      <c r="A302" s="28">
        <v>44512.0</v>
      </c>
      <c r="B302" s="648" t="s">
        <v>3695</v>
      </c>
      <c r="F302" s="47">
        <v>0.0</v>
      </c>
      <c r="H302" s="755">
        <v>4.0</v>
      </c>
    </row>
    <row r="303">
      <c r="A303" s="3" t="s">
        <v>7</v>
      </c>
      <c r="B303" s="14"/>
      <c r="C303" s="14"/>
      <c r="D303" s="15"/>
      <c r="E303" s="6"/>
      <c r="F303" s="735">
        <f>SUM(F298:F302)</f>
        <v>31</v>
      </c>
    </row>
    <row r="304">
      <c r="A304" s="28">
        <v>44515.0</v>
      </c>
      <c r="B304" s="749">
        <v>7.3</v>
      </c>
      <c r="C304" s="749">
        <v>17.0</v>
      </c>
      <c r="D304" s="752" t="s">
        <v>3</v>
      </c>
      <c r="E304" s="752" t="s">
        <v>4</v>
      </c>
      <c r="F304" s="749">
        <v>7.75</v>
      </c>
    </row>
    <row r="305">
      <c r="A305" s="28">
        <v>44516.0</v>
      </c>
      <c r="B305" s="749">
        <v>7.3</v>
      </c>
      <c r="C305" s="750">
        <v>17.0</v>
      </c>
      <c r="D305" s="751" t="s">
        <v>3</v>
      </c>
      <c r="E305" s="752" t="s">
        <v>4</v>
      </c>
      <c r="F305" s="749">
        <v>7.75</v>
      </c>
    </row>
    <row r="306">
      <c r="A306" s="28">
        <v>44517.0</v>
      </c>
      <c r="B306" s="749">
        <v>7.3</v>
      </c>
      <c r="C306" s="750">
        <v>17.0</v>
      </c>
      <c r="D306" s="751" t="s">
        <v>3</v>
      </c>
      <c r="E306" s="752" t="s">
        <v>4</v>
      </c>
      <c r="F306" s="749">
        <v>7.75</v>
      </c>
    </row>
    <row r="307">
      <c r="A307" s="28">
        <v>44518.0</v>
      </c>
      <c r="B307" s="749">
        <v>7.3</v>
      </c>
      <c r="C307" s="749">
        <v>17.0</v>
      </c>
      <c r="D307" s="752" t="s">
        <v>3</v>
      </c>
      <c r="E307" s="752" t="s">
        <v>4</v>
      </c>
      <c r="F307" s="749">
        <v>7.75</v>
      </c>
    </row>
    <row r="308">
      <c r="A308" s="28">
        <v>44519.0</v>
      </c>
      <c r="B308" s="756">
        <v>7.3</v>
      </c>
      <c r="C308" s="756">
        <v>16.15</v>
      </c>
      <c r="D308" s="757" t="s">
        <v>3540</v>
      </c>
      <c r="E308" s="757" t="s">
        <v>3515</v>
      </c>
      <c r="F308" s="756">
        <v>7.0</v>
      </c>
      <c r="G308" s="758">
        <v>3.0</v>
      </c>
    </row>
    <row r="309">
      <c r="A309" s="3" t="s">
        <v>7</v>
      </c>
      <c r="B309" s="14"/>
      <c r="C309" s="14"/>
      <c r="D309" s="15"/>
      <c r="E309" s="6"/>
      <c r="F309" s="735">
        <f>SUM(F304:F308)</f>
        <v>38</v>
      </c>
    </row>
    <row r="310">
      <c r="A310" s="28">
        <v>44522.0</v>
      </c>
      <c r="B310" s="749">
        <v>7.3</v>
      </c>
      <c r="C310" s="749">
        <v>17.0</v>
      </c>
      <c r="D310" s="752" t="s">
        <v>3</v>
      </c>
      <c r="E310" s="752" t="s">
        <v>4</v>
      </c>
      <c r="F310" s="749">
        <v>7.75</v>
      </c>
    </row>
    <row r="311">
      <c r="A311" s="28">
        <v>44523.0</v>
      </c>
      <c r="B311" s="749">
        <v>7.3</v>
      </c>
      <c r="C311" s="750">
        <v>17.0</v>
      </c>
      <c r="D311" s="751" t="s">
        <v>3</v>
      </c>
      <c r="E311" s="752" t="s">
        <v>4</v>
      </c>
      <c r="F311" s="749">
        <v>7.75</v>
      </c>
    </row>
    <row r="312">
      <c r="A312" s="28">
        <v>44524.0</v>
      </c>
      <c r="B312" s="749">
        <v>7.3</v>
      </c>
      <c r="C312" s="750">
        <v>17.0</v>
      </c>
      <c r="D312" s="751" t="s">
        <v>3</v>
      </c>
      <c r="E312" s="752" t="s">
        <v>4</v>
      </c>
      <c r="F312" s="749">
        <v>7.75</v>
      </c>
    </row>
    <row r="313">
      <c r="A313" s="28">
        <v>44525.0</v>
      </c>
      <c r="B313" s="749">
        <v>7.3</v>
      </c>
      <c r="C313" s="750">
        <v>17.0</v>
      </c>
      <c r="D313" s="751" t="s">
        <v>3</v>
      </c>
      <c r="E313" s="752" t="s">
        <v>4</v>
      </c>
      <c r="F313" s="749">
        <v>7.75</v>
      </c>
    </row>
    <row r="314">
      <c r="A314" s="28">
        <v>44526.0</v>
      </c>
      <c r="B314" s="749">
        <v>7.3</v>
      </c>
      <c r="C314" s="47">
        <v>11.3</v>
      </c>
      <c r="D314" s="51" t="s">
        <v>5</v>
      </c>
      <c r="E314" s="51" t="s">
        <v>3536</v>
      </c>
      <c r="F314" s="47">
        <v>4.0</v>
      </c>
    </row>
    <row r="315">
      <c r="A315" s="3" t="s">
        <v>7</v>
      </c>
      <c r="B315" s="14"/>
      <c r="C315" s="14"/>
      <c r="D315" s="15"/>
      <c r="E315" s="6"/>
      <c r="F315" s="735">
        <f>SUM(F310:F314)</f>
        <v>35</v>
      </c>
    </row>
    <row r="316">
      <c r="A316" s="28">
        <v>44529.0</v>
      </c>
      <c r="B316" s="749">
        <v>7.3</v>
      </c>
      <c r="C316" s="749">
        <v>17.0</v>
      </c>
      <c r="D316" s="752" t="s">
        <v>3</v>
      </c>
      <c r="E316" s="752" t="s">
        <v>4</v>
      </c>
      <c r="F316" s="749">
        <v>7.75</v>
      </c>
    </row>
    <row r="317">
      <c r="A317" s="28">
        <v>44530.0</v>
      </c>
      <c r="B317" s="749">
        <v>7.3</v>
      </c>
      <c r="C317" s="750">
        <v>17.0</v>
      </c>
      <c r="D317" s="751" t="s">
        <v>3</v>
      </c>
      <c r="E317" s="752" t="s">
        <v>4</v>
      </c>
      <c r="F317" s="749">
        <v>7.75</v>
      </c>
    </row>
    <row r="318">
      <c r="A318" s="3" t="s">
        <v>7</v>
      </c>
      <c r="B318" s="14"/>
      <c r="C318" s="14"/>
      <c r="D318" s="15"/>
      <c r="E318" s="6"/>
      <c r="F318" s="735">
        <f>SUM(F316:F317)</f>
        <v>15.5</v>
      </c>
      <c r="M318" s="9" t="s">
        <v>9</v>
      </c>
      <c r="N318" s="10" t="s">
        <v>10</v>
      </c>
      <c r="O318" s="10" t="s">
        <v>1</v>
      </c>
    </row>
    <row r="319">
      <c r="A319" s="13" t="s">
        <v>2</v>
      </c>
      <c r="B319" s="14"/>
      <c r="C319" s="14"/>
      <c r="D319" s="15"/>
      <c r="E319" s="16"/>
      <c r="F319" s="17">
        <f>F297+F303+F309+F315+F318</f>
        <v>157.5</v>
      </c>
      <c r="G319" s="18">
        <f>G296+G308</f>
        <v>6</v>
      </c>
      <c r="H319" s="19">
        <f>H302</f>
        <v>4</v>
      </c>
      <c r="I319" s="787">
        <f>G319-H319</f>
        <v>2</v>
      </c>
      <c r="J319" s="21" t="s">
        <v>3718</v>
      </c>
      <c r="K319" s="22" t="s">
        <v>3719</v>
      </c>
      <c r="L319" s="23" t="s">
        <v>14</v>
      </c>
      <c r="M319" s="200">
        <v>1752.86</v>
      </c>
      <c r="N319" s="283" t="s">
        <v>3720</v>
      </c>
      <c r="O319" s="200">
        <v>1336.22</v>
      </c>
    </row>
    <row r="320">
      <c r="A320" s="728" t="s">
        <v>243</v>
      </c>
      <c r="B320" s="728" t="s">
        <v>3445</v>
      </c>
      <c r="C320" s="728" t="s">
        <v>3446</v>
      </c>
      <c r="D320" s="728" t="s">
        <v>3447</v>
      </c>
      <c r="E320" s="728" t="s">
        <v>3448</v>
      </c>
      <c r="F320" s="729" t="s">
        <v>3449</v>
      </c>
      <c r="G320" s="730" t="s">
        <v>3450</v>
      </c>
      <c r="H320" s="731" t="s">
        <v>3451</v>
      </c>
      <c r="I320" s="732" t="s">
        <v>3452</v>
      </c>
      <c r="J320" s="733" t="s">
        <v>50</v>
      </c>
      <c r="K320" s="734" t="s">
        <v>3721</v>
      </c>
    </row>
    <row r="321">
      <c r="A321" s="28">
        <v>44531.0</v>
      </c>
      <c r="B321" s="749">
        <v>7.3</v>
      </c>
      <c r="C321" s="750">
        <v>17.0</v>
      </c>
      <c r="D321" s="751" t="s">
        <v>3</v>
      </c>
      <c r="E321" s="752" t="s">
        <v>4</v>
      </c>
      <c r="F321" s="749">
        <v>7.75</v>
      </c>
    </row>
    <row r="322">
      <c r="A322" s="28">
        <v>44532.0</v>
      </c>
      <c r="B322" s="749">
        <v>7.3</v>
      </c>
      <c r="C322" s="750">
        <v>17.0</v>
      </c>
      <c r="D322" s="751" t="s">
        <v>3</v>
      </c>
      <c r="E322" s="752" t="s">
        <v>4</v>
      </c>
      <c r="F322" s="749">
        <v>7.75</v>
      </c>
    </row>
    <row r="323">
      <c r="A323" s="28">
        <v>44533.0</v>
      </c>
      <c r="B323" s="749">
        <v>7.3</v>
      </c>
      <c r="C323" s="47">
        <v>11.3</v>
      </c>
      <c r="D323" s="51" t="s">
        <v>5</v>
      </c>
      <c r="E323" s="51" t="s">
        <v>3536</v>
      </c>
      <c r="F323" s="47">
        <v>4.0</v>
      </c>
    </row>
    <row r="324">
      <c r="A324" s="3" t="s">
        <v>7</v>
      </c>
      <c r="B324" s="14"/>
      <c r="C324" s="14"/>
      <c r="D324" s="15"/>
      <c r="E324" s="6"/>
      <c r="F324" s="735">
        <f>SUM(F320:F323)</f>
        <v>19.5</v>
      </c>
    </row>
    <row r="325">
      <c r="A325" s="28">
        <v>44536.0</v>
      </c>
      <c r="B325" s="749">
        <v>7.3</v>
      </c>
      <c r="C325" s="749">
        <v>17.0</v>
      </c>
      <c r="D325" s="753" t="s">
        <v>3537</v>
      </c>
      <c r="E325" s="753" t="s">
        <v>3538</v>
      </c>
      <c r="F325" s="754">
        <v>7.5</v>
      </c>
      <c r="H325" s="755">
        <v>0.25</v>
      </c>
      <c r="J325" s="51" t="s">
        <v>3539</v>
      </c>
    </row>
    <row r="326">
      <c r="A326" s="28">
        <v>44537.0</v>
      </c>
      <c r="B326" s="749">
        <v>7.3</v>
      </c>
      <c r="C326" s="750">
        <v>17.0</v>
      </c>
      <c r="D326" s="751" t="s">
        <v>3</v>
      </c>
      <c r="E326" s="752" t="s">
        <v>4</v>
      </c>
      <c r="F326" s="749">
        <v>7.75</v>
      </c>
    </row>
    <row r="327">
      <c r="A327" s="28">
        <v>44538.0</v>
      </c>
      <c r="B327" s="749">
        <v>7.3</v>
      </c>
      <c r="C327" s="750">
        <v>17.0</v>
      </c>
      <c r="D327" s="751" t="s">
        <v>3</v>
      </c>
      <c r="E327" s="752" t="s">
        <v>4</v>
      </c>
      <c r="F327" s="749">
        <v>7.75</v>
      </c>
    </row>
    <row r="328">
      <c r="A328" s="28">
        <v>44539.0</v>
      </c>
      <c r="B328" s="749">
        <v>7.3</v>
      </c>
      <c r="C328" s="750">
        <v>17.0</v>
      </c>
      <c r="D328" s="751" t="s">
        <v>3</v>
      </c>
      <c r="E328" s="752" t="s">
        <v>4</v>
      </c>
      <c r="F328" s="749">
        <v>7.75</v>
      </c>
    </row>
    <row r="329">
      <c r="A329" s="28">
        <v>44540.0</v>
      </c>
      <c r="B329" s="756">
        <v>7.3</v>
      </c>
      <c r="C329" s="756">
        <v>16.15</v>
      </c>
      <c r="D329" s="757" t="s">
        <v>3540</v>
      </c>
      <c r="E329" s="757" t="s">
        <v>3515</v>
      </c>
      <c r="F329" s="756">
        <v>7.0</v>
      </c>
      <c r="G329" s="758">
        <v>3.0</v>
      </c>
    </row>
    <row r="330">
      <c r="A330" s="3" t="s">
        <v>7</v>
      </c>
      <c r="B330" s="14"/>
      <c r="C330" s="14"/>
      <c r="D330" s="15"/>
      <c r="E330" s="6"/>
      <c r="F330" s="735">
        <f>SUM(F325:F329)</f>
        <v>37.75</v>
      </c>
    </row>
    <row r="331">
      <c r="A331" s="28">
        <v>44543.0</v>
      </c>
      <c r="B331" s="749">
        <v>7.3</v>
      </c>
      <c r="C331" s="749">
        <v>17.0</v>
      </c>
      <c r="D331" s="753" t="s">
        <v>3537</v>
      </c>
      <c r="E331" s="753" t="s">
        <v>3538</v>
      </c>
      <c r="F331" s="754">
        <v>7.5</v>
      </c>
    </row>
    <row r="332">
      <c r="A332" s="28">
        <v>44544.0</v>
      </c>
      <c r="B332" s="749">
        <v>7.3</v>
      </c>
      <c r="C332" s="750">
        <v>17.0</v>
      </c>
      <c r="D332" s="751" t="s">
        <v>3</v>
      </c>
      <c r="E332" s="753" t="s">
        <v>3541</v>
      </c>
      <c r="F332" s="754">
        <v>6.0</v>
      </c>
      <c r="H332" s="755">
        <v>1.75</v>
      </c>
      <c r="J332" s="51" t="s">
        <v>3542</v>
      </c>
    </row>
    <row r="333">
      <c r="A333" s="28">
        <v>44545.0</v>
      </c>
      <c r="B333" s="749">
        <v>7.3</v>
      </c>
      <c r="C333" s="750">
        <v>17.0</v>
      </c>
      <c r="D333" s="751" t="s">
        <v>3</v>
      </c>
      <c r="E333" s="752" t="s">
        <v>4</v>
      </c>
      <c r="F333" s="749">
        <v>7.75</v>
      </c>
    </row>
    <row r="334">
      <c r="A334" s="28">
        <v>44546.0</v>
      </c>
      <c r="B334" s="749">
        <v>7.3</v>
      </c>
      <c r="C334" s="750">
        <v>17.0</v>
      </c>
      <c r="D334" s="751" t="s">
        <v>3</v>
      </c>
      <c r="E334" s="752" t="s">
        <v>4</v>
      </c>
      <c r="F334" s="749">
        <v>7.75</v>
      </c>
    </row>
    <row r="335">
      <c r="A335" s="28">
        <v>44547.0</v>
      </c>
      <c r="B335" s="756">
        <v>7.3</v>
      </c>
      <c r="C335" s="756">
        <v>16.15</v>
      </c>
      <c r="D335" s="757" t="s">
        <v>3540</v>
      </c>
      <c r="E335" s="757" t="s">
        <v>3515</v>
      </c>
      <c r="F335" s="756">
        <v>7.0</v>
      </c>
      <c r="G335" s="758">
        <v>3.0</v>
      </c>
    </row>
    <row r="336">
      <c r="A336" s="3" t="s">
        <v>7</v>
      </c>
      <c r="B336" s="14"/>
      <c r="C336" s="14"/>
      <c r="D336" s="15"/>
      <c r="E336" s="6"/>
      <c r="F336" s="735">
        <f>F331+F332+F333+F334+F335</f>
        <v>36</v>
      </c>
      <c r="M336" s="9"/>
      <c r="N336" s="10"/>
      <c r="O336" s="10"/>
    </row>
    <row r="337">
      <c r="A337" s="28">
        <v>44550.0</v>
      </c>
      <c r="B337" s="749">
        <v>7.3</v>
      </c>
      <c r="C337" s="749">
        <v>17.0</v>
      </c>
      <c r="D337" s="752" t="s">
        <v>3</v>
      </c>
      <c r="E337" s="752" t="s">
        <v>4</v>
      </c>
      <c r="F337" s="749">
        <v>7.75</v>
      </c>
    </row>
    <row r="338">
      <c r="A338" s="28">
        <v>44551.0</v>
      </c>
      <c r="B338" s="749">
        <v>7.3</v>
      </c>
      <c r="C338" s="750">
        <v>17.0</v>
      </c>
      <c r="D338" s="751" t="s">
        <v>3</v>
      </c>
      <c r="E338" s="752" t="s">
        <v>4</v>
      </c>
      <c r="F338" s="749">
        <v>7.75</v>
      </c>
    </row>
    <row r="339">
      <c r="A339" s="28">
        <v>44552.0</v>
      </c>
      <c r="B339" s="749">
        <v>7.3</v>
      </c>
      <c r="C339" s="750">
        <v>17.0</v>
      </c>
      <c r="D339" s="751" t="s">
        <v>3</v>
      </c>
      <c r="E339" s="753" t="s">
        <v>3457</v>
      </c>
      <c r="F339" s="754">
        <v>7.25</v>
      </c>
      <c r="H339" s="755">
        <v>0.5</v>
      </c>
      <c r="J339" s="51" t="s">
        <v>3543</v>
      </c>
    </row>
    <row r="340">
      <c r="A340" s="3" t="s">
        <v>7</v>
      </c>
      <c r="B340" s="14"/>
      <c r="C340" s="14"/>
      <c r="D340" s="15"/>
      <c r="E340" s="6"/>
      <c r="F340" s="735">
        <f>F337+F338+F339</f>
        <v>22.75</v>
      </c>
      <c r="M340" s="9" t="s">
        <v>9</v>
      </c>
      <c r="N340" s="10" t="s">
        <v>10</v>
      </c>
      <c r="O340" s="10" t="s">
        <v>1</v>
      </c>
    </row>
    <row r="341">
      <c r="A341" s="13" t="s">
        <v>2</v>
      </c>
      <c r="B341" s="14"/>
      <c r="C341" s="14"/>
      <c r="D341" s="15"/>
      <c r="E341" s="16"/>
      <c r="F341" s="17">
        <f>F324+F330+F336+F340</f>
        <v>116</v>
      </c>
      <c r="G341" s="18">
        <f>G329+G335</f>
        <v>6</v>
      </c>
      <c r="H341" s="19">
        <f>H325+H332+H339</f>
        <v>2.5</v>
      </c>
      <c r="I341" s="20">
        <f>G341-H341</f>
        <v>3.5</v>
      </c>
      <c r="J341" s="21" t="s">
        <v>3544</v>
      </c>
      <c r="K341" s="22" t="s">
        <v>3722</v>
      </c>
      <c r="L341" s="23" t="s">
        <v>14</v>
      </c>
      <c r="M341" s="466">
        <v>1677.86</v>
      </c>
      <c r="N341" s="522" t="s">
        <v>3546</v>
      </c>
      <c r="O341" s="466">
        <v>1351.92</v>
      </c>
    </row>
    <row r="342">
      <c r="M342" s="760"/>
      <c r="N342" s="760"/>
      <c r="O342" s="760"/>
    </row>
    <row r="343">
      <c r="A343" s="33" t="s">
        <v>3499</v>
      </c>
      <c r="G343" s="737" t="s">
        <v>3547</v>
      </c>
      <c r="M343" s="760"/>
      <c r="N343" s="760"/>
      <c r="O343" s="760"/>
    </row>
  </sheetData>
  <mergeCells count="87">
    <mergeCell ref="A202:D202"/>
    <mergeCell ref="B205:D205"/>
    <mergeCell ref="A208:D208"/>
    <mergeCell ref="A214:D214"/>
    <mergeCell ref="A220:D220"/>
    <mergeCell ref="A221:D221"/>
    <mergeCell ref="A223:J223"/>
    <mergeCell ref="A229:D229"/>
    <mergeCell ref="A232:D232"/>
    <mergeCell ref="A233:D233"/>
    <mergeCell ref="A238:D238"/>
    <mergeCell ref="A244:D244"/>
    <mergeCell ref="A250:D250"/>
    <mergeCell ref="A256:D256"/>
    <mergeCell ref="A261:D261"/>
    <mergeCell ref="A262:D262"/>
    <mergeCell ref="A265:D265"/>
    <mergeCell ref="A271:D271"/>
    <mergeCell ref="A277:D277"/>
    <mergeCell ref="A283:D283"/>
    <mergeCell ref="A289:D289"/>
    <mergeCell ref="A290:D290"/>
    <mergeCell ref="B292:D292"/>
    <mergeCell ref="A297:D297"/>
    <mergeCell ref="B301:D301"/>
    <mergeCell ref="B302:E302"/>
    <mergeCell ref="A303:D303"/>
    <mergeCell ref="A309:D309"/>
    <mergeCell ref="A341:D341"/>
    <mergeCell ref="A343:F343"/>
    <mergeCell ref="G343:I343"/>
    <mergeCell ref="A315:D315"/>
    <mergeCell ref="A318:D318"/>
    <mergeCell ref="A319:D319"/>
    <mergeCell ref="A324:D324"/>
    <mergeCell ref="A330:D330"/>
    <mergeCell ref="A336:D336"/>
    <mergeCell ref="A340:D340"/>
    <mergeCell ref="A1:K1"/>
    <mergeCell ref="A7:D7"/>
    <mergeCell ref="B11:F11"/>
    <mergeCell ref="H11:H12"/>
    <mergeCell ref="B12:F12"/>
    <mergeCell ref="A13:D13"/>
    <mergeCell ref="A19:D19"/>
    <mergeCell ref="A20:D20"/>
    <mergeCell ref="A22:F22"/>
    <mergeCell ref="G22:I22"/>
    <mergeCell ref="A24:O24"/>
    <mergeCell ref="A31:D31"/>
    <mergeCell ref="A37:D37"/>
    <mergeCell ref="A43:D43"/>
    <mergeCell ref="A49:D49"/>
    <mergeCell ref="A50:D50"/>
    <mergeCell ref="A57:D57"/>
    <mergeCell ref="A63:D63"/>
    <mergeCell ref="A69:D69"/>
    <mergeCell ref="A75:D75"/>
    <mergeCell ref="A76:D76"/>
    <mergeCell ref="A83:D83"/>
    <mergeCell ref="A89:D89"/>
    <mergeCell ref="A95:D95"/>
    <mergeCell ref="A101:D101"/>
    <mergeCell ref="A105:D105"/>
    <mergeCell ref="A106:D106"/>
    <mergeCell ref="A110:D110"/>
    <mergeCell ref="B111:D111"/>
    <mergeCell ref="A116:D116"/>
    <mergeCell ref="A122:D122"/>
    <mergeCell ref="A128:D128"/>
    <mergeCell ref="A134:D134"/>
    <mergeCell ref="A135:D135"/>
    <mergeCell ref="A142:D142"/>
    <mergeCell ref="B146:D146"/>
    <mergeCell ref="B147:E147"/>
    <mergeCell ref="A148:D148"/>
    <mergeCell ref="A154:D154"/>
    <mergeCell ref="A160:D160"/>
    <mergeCell ref="A162:D162"/>
    <mergeCell ref="A163:D163"/>
    <mergeCell ref="A169:D169"/>
    <mergeCell ref="A175:D175"/>
    <mergeCell ref="A181:D181"/>
    <mergeCell ref="A187:D187"/>
    <mergeCell ref="A191:D191"/>
    <mergeCell ref="A192:D192"/>
    <mergeCell ref="A196:D19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12.57"/>
    <col customWidth="1" min="2" max="2" width="7.86"/>
    <col customWidth="1" min="3" max="3" width="7.57"/>
    <col customWidth="1" min="4" max="4" width="9.0"/>
    <col customWidth="1" min="5" max="5" width="8.14"/>
    <col customWidth="1" min="6" max="6" width="10.14"/>
    <col customWidth="1" min="7" max="7" width="15.57"/>
    <col customWidth="1" min="8" max="8" width="12.86"/>
    <col customWidth="1" min="9" max="9" width="9.43"/>
    <col customWidth="1" min="10" max="10" width="23.57"/>
    <col customWidth="1" min="11" max="11" width="17.86"/>
    <col customWidth="1" min="12" max="12" width="12.43"/>
    <col customWidth="1" min="13" max="13" width="10.71"/>
    <col customWidth="1" min="14" max="14" width="11.71"/>
    <col customWidth="1" min="15" max="15" width="13.14"/>
  </cols>
  <sheetData>
    <row r="1" ht="26.25" customHeight="1">
      <c r="A1" s="1" t="s">
        <v>3723</v>
      </c>
      <c r="M1" s="760"/>
      <c r="N1" s="760"/>
      <c r="O1" s="760"/>
    </row>
    <row r="2">
      <c r="A2" s="728" t="s">
        <v>243</v>
      </c>
      <c r="B2" s="728" t="s">
        <v>3445</v>
      </c>
      <c r="C2" s="728" t="s">
        <v>3446</v>
      </c>
      <c r="D2" s="728" t="s">
        <v>3447</v>
      </c>
      <c r="E2" s="728" t="s">
        <v>3448</v>
      </c>
      <c r="F2" s="729" t="s">
        <v>3449</v>
      </c>
      <c r="G2" s="736" t="s">
        <v>3450</v>
      </c>
      <c r="H2" s="736" t="s">
        <v>3451</v>
      </c>
      <c r="I2" s="736" t="s">
        <v>3452</v>
      </c>
      <c r="J2" s="729" t="s">
        <v>50</v>
      </c>
      <c r="K2" s="734" t="s">
        <v>3724</v>
      </c>
      <c r="L2" s="603"/>
      <c r="M2" s="799"/>
      <c r="N2" s="467"/>
      <c r="O2" s="467"/>
    </row>
    <row r="3">
      <c r="A3" s="28">
        <v>43801.0</v>
      </c>
      <c r="B3" s="47">
        <v>7.3</v>
      </c>
      <c r="C3" s="47">
        <v>17.0</v>
      </c>
      <c r="D3" s="47" t="s">
        <v>3</v>
      </c>
      <c r="E3" s="47" t="s">
        <v>4</v>
      </c>
      <c r="F3" s="47">
        <v>7.75</v>
      </c>
      <c r="M3" s="760"/>
      <c r="N3" s="760"/>
      <c r="O3" s="760"/>
    </row>
    <row r="4">
      <c r="A4" s="28">
        <v>43802.0</v>
      </c>
      <c r="B4" s="47">
        <v>7.3</v>
      </c>
      <c r="C4" s="47">
        <v>17.0</v>
      </c>
      <c r="D4" s="47" t="s">
        <v>3</v>
      </c>
      <c r="E4" s="47" t="s">
        <v>4</v>
      </c>
      <c r="F4" s="47">
        <v>7.75</v>
      </c>
      <c r="M4" s="760"/>
      <c r="N4" s="760"/>
      <c r="O4" s="760"/>
    </row>
    <row r="5">
      <c r="A5" s="28">
        <v>43803.0</v>
      </c>
      <c r="B5" s="47">
        <v>7.3</v>
      </c>
      <c r="C5" s="47">
        <v>17.0</v>
      </c>
      <c r="D5" s="47" t="s">
        <v>3</v>
      </c>
      <c r="E5" s="47" t="s">
        <v>4</v>
      </c>
      <c r="F5" s="47">
        <v>7.75</v>
      </c>
      <c r="M5" s="760"/>
      <c r="N5" s="760"/>
      <c r="O5" s="760"/>
    </row>
    <row r="6">
      <c r="A6" s="28">
        <v>43804.0</v>
      </c>
      <c r="B6" s="800" t="s">
        <v>3504</v>
      </c>
      <c r="F6" s="47">
        <v>0.0</v>
      </c>
      <c r="H6" s="801">
        <v>7.75</v>
      </c>
      <c r="M6" s="760"/>
      <c r="N6" s="760"/>
      <c r="O6" s="760"/>
    </row>
    <row r="7">
      <c r="A7" s="28">
        <v>43805.0</v>
      </c>
      <c r="B7" s="800" t="s">
        <v>3504</v>
      </c>
      <c r="F7" s="47">
        <v>0.0</v>
      </c>
      <c r="G7" s="47"/>
      <c r="H7" s="801">
        <v>4.0</v>
      </c>
      <c r="M7" s="760"/>
      <c r="N7" s="760"/>
      <c r="O7" s="760"/>
    </row>
    <row r="8">
      <c r="A8" s="3" t="s">
        <v>7</v>
      </c>
      <c r="B8" s="14"/>
      <c r="C8" s="14"/>
      <c r="D8" s="15"/>
      <c r="E8" s="6"/>
      <c r="F8" s="7">
        <f>F4+F5+F6+F7+F3</f>
        <v>23.25</v>
      </c>
      <c r="I8" s="801">
        <v>11.75</v>
      </c>
      <c r="M8" s="760"/>
      <c r="N8" s="760"/>
      <c r="O8" s="760"/>
    </row>
    <row r="9">
      <c r="A9" s="28">
        <v>43808.0</v>
      </c>
      <c r="B9" s="47">
        <v>7.3</v>
      </c>
      <c r="C9" s="47">
        <v>17.0</v>
      </c>
      <c r="D9" s="47" t="s">
        <v>21</v>
      </c>
      <c r="E9" s="47" t="s">
        <v>22</v>
      </c>
      <c r="F9" s="47">
        <v>8.75</v>
      </c>
      <c r="G9" s="41">
        <v>1.0</v>
      </c>
      <c r="J9" s="738" t="s">
        <v>3725</v>
      </c>
      <c r="M9" s="760"/>
      <c r="N9" s="760"/>
      <c r="O9" s="760"/>
    </row>
    <row r="10">
      <c r="A10" s="28">
        <v>43809.0</v>
      </c>
      <c r="B10" s="47">
        <v>7.3</v>
      </c>
      <c r="C10" s="47">
        <v>17.0</v>
      </c>
      <c r="D10" s="47" t="s">
        <v>21</v>
      </c>
      <c r="E10" s="47" t="s">
        <v>22</v>
      </c>
      <c r="F10" s="47">
        <v>8.75</v>
      </c>
      <c r="G10" s="41">
        <v>1.0</v>
      </c>
      <c r="J10" s="738" t="s">
        <v>3725</v>
      </c>
      <c r="M10" s="760"/>
      <c r="N10" s="760"/>
      <c r="O10" s="760"/>
    </row>
    <row r="11">
      <c r="A11" s="28">
        <v>43810.0</v>
      </c>
      <c r="B11" s="47">
        <v>7.3</v>
      </c>
      <c r="C11" s="47">
        <v>17.0</v>
      </c>
      <c r="D11" s="47" t="s">
        <v>21</v>
      </c>
      <c r="E11" s="47" t="s">
        <v>22</v>
      </c>
      <c r="F11" s="47">
        <v>8.75</v>
      </c>
      <c r="G11" s="41">
        <v>1.0</v>
      </c>
      <c r="J11" s="738" t="s">
        <v>3725</v>
      </c>
      <c r="M11" s="760"/>
      <c r="N11" s="760"/>
      <c r="O11" s="760"/>
    </row>
    <row r="12">
      <c r="A12" s="28">
        <v>43811.0</v>
      </c>
      <c r="B12" s="47">
        <v>7.3</v>
      </c>
      <c r="C12" s="47">
        <v>17.0</v>
      </c>
      <c r="D12" s="47" t="s">
        <v>21</v>
      </c>
      <c r="E12" s="47" t="s">
        <v>22</v>
      </c>
      <c r="F12" s="47">
        <v>8.75</v>
      </c>
      <c r="G12" s="41">
        <v>1.0</v>
      </c>
      <c r="J12" s="738" t="s">
        <v>3725</v>
      </c>
      <c r="M12" s="760"/>
      <c r="N12" s="760"/>
      <c r="O12" s="760"/>
    </row>
    <row r="13">
      <c r="A13" s="28">
        <v>43812.0</v>
      </c>
      <c r="B13" s="47">
        <v>7.3</v>
      </c>
      <c r="C13" s="51">
        <v>16.15</v>
      </c>
      <c r="D13" s="47" t="s">
        <v>21</v>
      </c>
      <c r="E13" s="51" t="s">
        <v>3562</v>
      </c>
      <c r="F13" s="47">
        <v>8.0</v>
      </c>
      <c r="G13" s="41">
        <v>4.0</v>
      </c>
      <c r="J13" s="738" t="s">
        <v>3725</v>
      </c>
      <c r="M13" s="760"/>
      <c r="N13" s="760"/>
      <c r="O13" s="760"/>
    </row>
    <row r="14">
      <c r="A14" s="3" t="s">
        <v>7</v>
      </c>
      <c r="B14" s="14"/>
      <c r="C14" s="14"/>
      <c r="D14" s="15"/>
      <c r="E14" s="6"/>
      <c r="F14" s="7">
        <f>F10+F11+F12+F13+F9</f>
        <v>43</v>
      </c>
      <c r="I14" s="41">
        <v>8.0</v>
      </c>
      <c r="M14" s="760"/>
      <c r="N14" s="760"/>
      <c r="O14" s="760"/>
    </row>
    <row r="15">
      <c r="A15" s="28">
        <v>43815.0</v>
      </c>
      <c r="B15" s="47">
        <v>7.3</v>
      </c>
      <c r="C15" s="47">
        <v>17.0</v>
      </c>
      <c r="D15" s="47" t="s">
        <v>21</v>
      </c>
      <c r="E15" s="47" t="s">
        <v>22</v>
      </c>
      <c r="F15" s="47">
        <v>8.75</v>
      </c>
      <c r="G15" s="41">
        <v>1.0</v>
      </c>
      <c r="J15" s="738" t="s">
        <v>3725</v>
      </c>
      <c r="M15" s="760"/>
      <c r="N15" s="760"/>
      <c r="O15" s="760"/>
    </row>
    <row r="16">
      <c r="A16" s="28">
        <v>43816.0</v>
      </c>
      <c r="B16" s="47">
        <v>7.3</v>
      </c>
      <c r="C16" s="47">
        <v>17.0</v>
      </c>
      <c r="D16" s="47" t="s">
        <v>21</v>
      </c>
      <c r="E16" s="47" t="s">
        <v>22</v>
      </c>
      <c r="F16" s="47">
        <v>8.75</v>
      </c>
      <c r="G16" s="41">
        <v>1.0</v>
      </c>
      <c r="J16" s="738" t="s">
        <v>3725</v>
      </c>
      <c r="M16" s="760"/>
      <c r="N16" s="760"/>
      <c r="O16" s="760"/>
    </row>
    <row r="17">
      <c r="A17" s="28">
        <v>43817.0</v>
      </c>
      <c r="B17" s="47">
        <v>7.3</v>
      </c>
      <c r="C17" s="47">
        <v>17.0</v>
      </c>
      <c r="D17" s="47" t="s">
        <v>21</v>
      </c>
      <c r="E17" s="47" t="s">
        <v>22</v>
      </c>
      <c r="F17" s="47">
        <v>8.75</v>
      </c>
      <c r="G17" s="41">
        <v>1.0</v>
      </c>
      <c r="J17" s="738" t="s">
        <v>3725</v>
      </c>
      <c r="M17" s="760"/>
      <c r="N17" s="760"/>
      <c r="O17" s="760"/>
    </row>
    <row r="18">
      <c r="A18" s="28">
        <v>43818.0</v>
      </c>
      <c r="B18" s="47">
        <v>7.3</v>
      </c>
      <c r="C18" s="47">
        <v>17.0</v>
      </c>
      <c r="D18" s="47" t="s">
        <v>21</v>
      </c>
      <c r="E18" s="47" t="s">
        <v>22</v>
      </c>
      <c r="F18" s="47">
        <v>8.75</v>
      </c>
      <c r="G18" s="41">
        <v>1.0</v>
      </c>
      <c r="J18" s="738" t="s">
        <v>3725</v>
      </c>
      <c r="M18" s="760"/>
      <c r="N18" s="760"/>
      <c r="O18" s="760"/>
    </row>
    <row r="19">
      <c r="A19" s="28">
        <v>43819.0</v>
      </c>
      <c r="B19" s="47">
        <v>7.3</v>
      </c>
      <c r="C19" s="51">
        <v>16.15</v>
      </c>
      <c r="D19" s="47" t="s">
        <v>21</v>
      </c>
      <c r="E19" s="51" t="s">
        <v>3562</v>
      </c>
      <c r="F19" s="47">
        <v>8.0</v>
      </c>
      <c r="G19" s="41">
        <v>4.0</v>
      </c>
      <c r="J19" s="738" t="s">
        <v>3725</v>
      </c>
      <c r="M19" s="760"/>
      <c r="N19" s="760"/>
      <c r="O19" s="760"/>
    </row>
    <row r="20">
      <c r="A20" s="3" t="s">
        <v>7</v>
      </c>
      <c r="B20" s="14"/>
      <c r="C20" s="14"/>
      <c r="D20" s="15"/>
      <c r="E20" s="6"/>
      <c r="F20" s="7">
        <f>F16+F17+F18+F19+F15</f>
        <v>43</v>
      </c>
      <c r="I20" s="41">
        <v>8.0</v>
      </c>
      <c r="M20" s="9" t="s">
        <v>9</v>
      </c>
      <c r="N20" s="10" t="s">
        <v>10</v>
      </c>
      <c r="O20" s="10" t="s">
        <v>1</v>
      </c>
    </row>
    <row r="21">
      <c r="A21" s="13" t="s">
        <v>2</v>
      </c>
      <c r="B21" s="14"/>
      <c r="C21" s="14"/>
      <c r="D21" s="15"/>
      <c r="E21" s="16"/>
      <c r="F21" s="17">
        <f>F8+F14+F20</f>
        <v>109.25</v>
      </c>
      <c r="G21" s="18">
        <f>G9+G10+G11+G12+G13+G15+G16+G17+G18+G19</f>
        <v>16</v>
      </c>
      <c r="H21" s="19">
        <f>H6+H7</f>
        <v>11.75</v>
      </c>
      <c r="I21" s="20">
        <f>I14+I20-I8</f>
        <v>4.25</v>
      </c>
      <c r="J21" s="21" t="s">
        <v>3726</v>
      </c>
      <c r="K21" s="22" t="s">
        <v>3727</v>
      </c>
      <c r="L21" s="23" t="s">
        <v>14</v>
      </c>
      <c r="M21" s="200">
        <v>1786.92</v>
      </c>
      <c r="N21" s="200">
        <v>1244.69</v>
      </c>
      <c r="O21" s="200">
        <v>1463.59</v>
      </c>
    </row>
    <row r="22">
      <c r="M22" s="799"/>
      <c r="N22" s="467"/>
      <c r="O22" s="467"/>
    </row>
    <row r="23">
      <c r="A23" s="33" t="s">
        <v>3728</v>
      </c>
      <c r="G23" s="802" t="s">
        <v>3729</v>
      </c>
      <c r="M23" s="760"/>
      <c r="N23" s="760"/>
      <c r="O23" s="760"/>
    </row>
    <row r="24">
      <c r="M24" s="760"/>
      <c r="N24" s="760"/>
      <c r="O24" s="760"/>
    </row>
    <row r="25">
      <c r="A25" s="786">
        <v>2020.0</v>
      </c>
    </row>
    <row r="26">
      <c r="A26" s="728" t="s">
        <v>243</v>
      </c>
      <c r="B26" s="728" t="s">
        <v>3445</v>
      </c>
      <c r="C26" s="728" t="s">
        <v>3446</v>
      </c>
      <c r="D26" s="728" t="s">
        <v>3447</v>
      </c>
      <c r="E26" s="728" t="s">
        <v>3448</v>
      </c>
      <c r="F26" s="729" t="s">
        <v>3449</v>
      </c>
      <c r="G26" s="730" t="s">
        <v>3450</v>
      </c>
      <c r="H26" s="731" t="s">
        <v>3451</v>
      </c>
      <c r="I26" s="732" t="s">
        <v>3452</v>
      </c>
      <c r="J26" s="733" t="s">
        <v>50</v>
      </c>
      <c r="K26" s="734" t="s">
        <v>3724</v>
      </c>
      <c r="M26" s="760"/>
      <c r="N26" s="760"/>
      <c r="O26" s="760"/>
    </row>
    <row r="27">
      <c r="A27" s="28">
        <v>43836.0</v>
      </c>
      <c r="B27" s="648" t="s">
        <v>3730</v>
      </c>
      <c r="F27" s="47">
        <v>7.75</v>
      </c>
      <c r="J27" s="803" t="s">
        <v>3731</v>
      </c>
      <c r="M27" s="760"/>
      <c r="N27" s="760"/>
      <c r="O27" s="760"/>
    </row>
    <row r="28">
      <c r="A28" s="28">
        <v>43837.0</v>
      </c>
      <c r="B28" s="648" t="s">
        <v>3730</v>
      </c>
      <c r="F28" s="47">
        <v>7.75</v>
      </c>
      <c r="M28" s="760"/>
      <c r="N28" s="760"/>
      <c r="O28" s="760"/>
    </row>
    <row r="29">
      <c r="A29" s="28">
        <v>43838.0</v>
      </c>
      <c r="B29" s="648" t="s">
        <v>3730</v>
      </c>
      <c r="F29" s="47">
        <v>7.75</v>
      </c>
      <c r="M29" s="760"/>
      <c r="N29" s="760"/>
      <c r="O29" s="760"/>
    </row>
    <row r="30">
      <c r="A30" s="28">
        <v>43839.0</v>
      </c>
      <c r="B30" s="648" t="s">
        <v>3732</v>
      </c>
      <c r="F30" s="47">
        <v>0.0</v>
      </c>
      <c r="H30" s="801">
        <v>7.75</v>
      </c>
      <c r="M30" s="760"/>
      <c r="N30" s="760"/>
      <c r="O30" s="760"/>
    </row>
    <row r="31">
      <c r="A31" s="28">
        <v>43840.0</v>
      </c>
      <c r="B31" s="648" t="s">
        <v>3732</v>
      </c>
      <c r="F31" s="47">
        <v>0.0</v>
      </c>
      <c r="H31" s="801">
        <v>4.0</v>
      </c>
      <c r="M31" s="760"/>
      <c r="N31" s="760"/>
      <c r="O31" s="760"/>
    </row>
    <row r="32">
      <c r="A32" s="3" t="s">
        <v>7</v>
      </c>
      <c r="B32" s="14"/>
      <c r="C32" s="14"/>
      <c r="D32" s="15"/>
      <c r="E32" s="6"/>
      <c r="F32" s="7">
        <f>F28+F29+F30+F31+F27</f>
        <v>23.25</v>
      </c>
      <c r="I32" s="630">
        <f>0-H30-H31</f>
        <v>-11.75</v>
      </c>
      <c r="M32" s="760"/>
      <c r="N32" s="760"/>
      <c r="O32" s="760"/>
    </row>
    <row r="33">
      <c r="A33" s="28">
        <v>43843.0</v>
      </c>
      <c r="B33" s="47">
        <v>7.3</v>
      </c>
      <c r="C33" s="47">
        <v>17.0</v>
      </c>
      <c r="D33" s="47" t="s">
        <v>21</v>
      </c>
      <c r="E33" s="47" t="s">
        <v>22</v>
      </c>
      <c r="F33" s="47">
        <v>8.75</v>
      </c>
      <c r="G33" s="41">
        <v>1.0</v>
      </c>
      <c r="J33" s="738" t="s">
        <v>3725</v>
      </c>
      <c r="M33" s="760"/>
      <c r="N33" s="760"/>
      <c r="O33" s="760"/>
    </row>
    <row r="34">
      <c r="A34" s="28">
        <v>43844.0</v>
      </c>
      <c r="B34" s="47">
        <v>7.3</v>
      </c>
      <c r="C34" s="47">
        <v>17.0</v>
      </c>
      <c r="D34" s="47" t="s">
        <v>21</v>
      </c>
      <c r="E34" s="47" t="s">
        <v>22</v>
      </c>
      <c r="F34" s="47">
        <v>8.75</v>
      </c>
      <c r="G34" s="41">
        <v>1.0</v>
      </c>
      <c r="J34" s="738" t="s">
        <v>3725</v>
      </c>
      <c r="M34" s="760"/>
      <c r="N34" s="760"/>
      <c r="O34" s="760"/>
    </row>
    <row r="35">
      <c r="A35" s="28">
        <v>43845.0</v>
      </c>
      <c r="B35" s="47">
        <v>7.3</v>
      </c>
      <c r="C35" s="47">
        <v>17.0</v>
      </c>
      <c r="D35" s="47" t="s">
        <v>21</v>
      </c>
      <c r="E35" s="47" t="s">
        <v>22</v>
      </c>
      <c r="F35" s="47">
        <v>8.75</v>
      </c>
      <c r="G35" s="41">
        <v>1.0</v>
      </c>
      <c r="J35" s="738" t="s">
        <v>3725</v>
      </c>
      <c r="M35" s="760"/>
      <c r="N35" s="760"/>
      <c r="O35" s="760"/>
    </row>
    <row r="36">
      <c r="A36" s="28">
        <v>43846.0</v>
      </c>
      <c r="B36" s="47">
        <v>7.3</v>
      </c>
      <c r="C36" s="47">
        <v>17.0</v>
      </c>
      <c r="D36" s="47" t="s">
        <v>21</v>
      </c>
      <c r="E36" s="47" t="s">
        <v>22</v>
      </c>
      <c r="F36" s="47">
        <v>8.75</v>
      </c>
      <c r="G36" s="41">
        <v>1.0</v>
      </c>
      <c r="J36" s="738" t="s">
        <v>3725</v>
      </c>
      <c r="M36" s="760"/>
      <c r="N36" s="760"/>
      <c r="O36" s="760"/>
    </row>
    <row r="37">
      <c r="A37" s="28">
        <v>43847.0</v>
      </c>
      <c r="B37" s="47">
        <v>7.3</v>
      </c>
      <c r="C37" s="51">
        <v>16.15</v>
      </c>
      <c r="D37" s="47" t="s">
        <v>21</v>
      </c>
      <c r="E37" s="51" t="s">
        <v>3562</v>
      </c>
      <c r="F37" s="47">
        <v>8.0</v>
      </c>
      <c r="G37" s="41">
        <v>4.0</v>
      </c>
      <c r="J37" s="738" t="s">
        <v>3725</v>
      </c>
      <c r="M37" s="760"/>
      <c r="N37" s="760"/>
      <c r="O37" s="760"/>
    </row>
    <row r="38">
      <c r="A38" s="3" t="s">
        <v>7</v>
      </c>
      <c r="B38" s="14"/>
      <c r="C38" s="14"/>
      <c r="D38" s="15"/>
      <c r="E38" s="6"/>
      <c r="F38" s="7">
        <f>F34+F35+F36+F37+F33</f>
        <v>43</v>
      </c>
      <c r="I38" s="630">
        <f>G33+G34+G35+G36+G37</f>
        <v>8</v>
      </c>
      <c r="M38" s="760"/>
      <c r="N38" s="760"/>
      <c r="O38" s="760"/>
    </row>
    <row r="39">
      <c r="A39" s="28">
        <v>43850.0</v>
      </c>
      <c r="B39" s="47">
        <v>7.3</v>
      </c>
      <c r="C39" s="47">
        <v>17.0</v>
      </c>
      <c r="D39" s="47" t="s">
        <v>3</v>
      </c>
      <c r="E39" s="47" t="s">
        <v>4</v>
      </c>
      <c r="F39" s="47">
        <v>7.75</v>
      </c>
      <c r="M39" s="760"/>
      <c r="N39" s="760"/>
      <c r="O39" s="760"/>
    </row>
    <row r="40">
      <c r="A40" s="28">
        <v>43851.0</v>
      </c>
      <c r="B40" s="47">
        <v>7.3</v>
      </c>
      <c r="C40" s="47">
        <v>17.0</v>
      </c>
      <c r="D40" s="47" t="s">
        <v>3</v>
      </c>
      <c r="E40" s="47" t="s">
        <v>4</v>
      </c>
      <c r="F40" s="47">
        <v>7.75</v>
      </c>
      <c r="M40" s="760"/>
      <c r="N40" s="760"/>
      <c r="O40" s="760"/>
    </row>
    <row r="41">
      <c r="A41" s="28">
        <v>43852.0</v>
      </c>
      <c r="B41" s="47">
        <v>7.3</v>
      </c>
      <c r="C41" s="47">
        <v>17.0</v>
      </c>
      <c r="D41" s="47" t="s">
        <v>3</v>
      </c>
      <c r="E41" s="47" t="s">
        <v>4</v>
      </c>
      <c r="F41" s="47">
        <v>7.75</v>
      </c>
      <c r="M41" s="760"/>
      <c r="N41" s="760"/>
      <c r="O41" s="760"/>
    </row>
    <row r="42">
      <c r="A42" s="28">
        <v>43853.0</v>
      </c>
      <c r="B42" s="47">
        <v>7.3</v>
      </c>
      <c r="C42" s="47">
        <v>17.0</v>
      </c>
      <c r="D42" s="47" t="s">
        <v>3</v>
      </c>
      <c r="E42" s="47" t="s">
        <v>4</v>
      </c>
      <c r="F42" s="47">
        <v>7.75</v>
      </c>
      <c r="M42" s="760"/>
      <c r="N42" s="760"/>
      <c r="O42" s="760"/>
    </row>
    <row r="43">
      <c r="A43" s="28">
        <v>43854.0</v>
      </c>
      <c r="B43" s="47">
        <v>7.3</v>
      </c>
      <c r="C43" s="51">
        <v>16.15</v>
      </c>
      <c r="D43" s="47" t="s">
        <v>3</v>
      </c>
      <c r="E43" s="51" t="s">
        <v>3515</v>
      </c>
      <c r="F43" s="47">
        <v>7.0</v>
      </c>
      <c r="G43" s="41">
        <v>3.0</v>
      </c>
      <c r="M43" s="760"/>
      <c r="N43" s="760"/>
      <c r="O43" s="760"/>
    </row>
    <row r="44">
      <c r="A44" s="3" t="s">
        <v>7</v>
      </c>
      <c r="B44" s="14"/>
      <c r="C44" s="14"/>
      <c r="D44" s="15"/>
      <c r="E44" s="6"/>
      <c r="F44" s="7">
        <f>F40+F41+F42+F43+F39</f>
        <v>38</v>
      </c>
      <c r="I44" s="804">
        <v>3.0</v>
      </c>
      <c r="M44" s="760"/>
      <c r="N44" s="760"/>
      <c r="O44" s="760"/>
    </row>
    <row r="45">
      <c r="A45" s="28">
        <v>43857.0</v>
      </c>
      <c r="B45" s="47">
        <v>7.3</v>
      </c>
      <c r="C45" s="47">
        <v>17.0</v>
      </c>
      <c r="D45" s="47" t="s">
        <v>3</v>
      </c>
      <c r="E45" s="47" t="s">
        <v>4</v>
      </c>
      <c r="F45" s="47">
        <v>7.75</v>
      </c>
      <c r="M45" s="760"/>
      <c r="N45" s="760"/>
      <c r="O45" s="760"/>
    </row>
    <row r="46">
      <c r="A46" s="28">
        <v>43858.0</v>
      </c>
      <c r="B46" s="47">
        <v>7.3</v>
      </c>
      <c r="C46" s="47">
        <v>17.0</v>
      </c>
      <c r="D46" s="47" t="s">
        <v>3</v>
      </c>
      <c r="E46" s="47" t="s">
        <v>4</v>
      </c>
      <c r="F46" s="47">
        <v>7.75</v>
      </c>
      <c r="M46" s="760"/>
      <c r="N46" s="760"/>
      <c r="O46" s="760"/>
    </row>
    <row r="47">
      <c r="A47" s="28">
        <v>43859.0</v>
      </c>
      <c r="B47" s="47">
        <v>7.3</v>
      </c>
      <c r="C47" s="47">
        <v>17.0</v>
      </c>
      <c r="D47" s="47" t="s">
        <v>3</v>
      </c>
      <c r="E47" s="47" t="s">
        <v>4</v>
      </c>
      <c r="F47" s="47">
        <v>7.75</v>
      </c>
      <c r="M47" s="760"/>
      <c r="N47" s="760"/>
      <c r="O47" s="760"/>
    </row>
    <row r="48">
      <c r="A48" s="28">
        <v>43860.0</v>
      </c>
      <c r="B48" s="47">
        <v>7.3</v>
      </c>
      <c r="C48" s="47">
        <v>14.3</v>
      </c>
      <c r="D48" s="47" t="s">
        <v>3</v>
      </c>
      <c r="E48" s="47" t="s">
        <v>3711</v>
      </c>
      <c r="F48" s="47">
        <v>5.25</v>
      </c>
      <c r="H48" s="801">
        <v>2.25</v>
      </c>
      <c r="J48" s="788" t="s">
        <v>3733</v>
      </c>
      <c r="M48" s="760"/>
      <c r="N48" s="760"/>
      <c r="O48" s="760"/>
    </row>
    <row r="49">
      <c r="A49" s="28">
        <v>43861.0</v>
      </c>
      <c r="B49" s="47">
        <v>7.3</v>
      </c>
      <c r="C49" s="51">
        <v>16.15</v>
      </c>
      <c r="D49" s="47" t="s">
        <v>3</v>
      </c>
      <c r="E49" s="51" t="s">
        <v>3515</v>
      </c>
      <c r="F49" s="47">
        <v>7.0</v>
      </c>
      <c r="G49" s="41">
        <v>3.0</v>
      </c>
      <c r="M49" s="760"/>
      <c r="N49" s="760"/>
      <c r="O49" s="760"/>
    </row>
    <row r="50">
      <c r="A50" s="3" t="s">
        <v>7</v>
      </c>
      <c r="B50" s="14"/>
      <c r="C50" s="14"/>
      <c r="D50" s="15"/>
      <c r="E50" s="6"/>
      <c r="F50" s="7">
        <f>F46+F47+F48+F49+F45</f>
        <v>35.5</v>
      </c>
      <c r="I50" s="804">
        <f>G49-H48</f>
        <v>0.75</v>
      </c>
      <c r="M50" s="9" t="s">
        <v>9</v>
      </c>
      <c r="N50" s="10" t="s">
        <v>10</v>
      </c>
      <c r="O50" s="10" t="s">
        <v>1</v>
      </c>
    </row>
    <row r="51">
      <c r="A51" s="13" t="s">
        <v>2</v>
      </c>
      <c r="B51" s="14"/>
      <c r="C51" s="14"/>
      <c r="D51" s="15"/>
      <c r="E51" s="16"/>
      <c r="F51" s="17">
        <f>F38+F44+F50</f>
        <v>116.5</v>
      </c>
      <c r="G51" s="18">
        <f>G33+G34+G35+G36+G37+G43+G49</f>
        <v>14</v>
      </c>
      <c r="H51" s="19">
        <f>H30+H31+H48</f>
        <v>14</v>
      </c>
      <c r="I51" s="20">
        <f>I32+I38+I44+I50</f>
        <v>0</v>
      </c>
      <c r="J51" s="21" t="s">
        <v>3734</v>
      </c>
      <c r="K51" s="22" t="s">
        <v>3735</v>
      </c>
      <c r="L51" s="23" t="s">
        <v>14</v>
      </c>
      <c r="M51" s="200">
        <v>1720.25</v>
      </c>
      <c r="N51" s="200">
        <v>1229.74</v>
      </c>
      <c r="O51" s="200">
        <v>1260.57</v>
      </c>
    </row>
    <row r="52">
      <c r="A52" s="728" t="s">
        <v>243</v>
      </c>
      <c r="B52" s="728" t="s">
        <v>3445</v>
      </c>
      <c r="C52" s="728" t="s">
        <v>3446</v>
      </c>
      <c r="D52" s="728" t="s">
        <v>3447</v>
      </c>
      <c r="E52" s="728" t="s">
        <v>3448</v>
      </c>
      <c r="F52" s="729" t="s">
        <v>3449</v>
      </c>
      <c r="G52" s="730" t="s">
        <v>3450</v>
      </c>
      <c r="H52" s="731" t="s">
        <v>3451</v>
      </c>
      <c r="I52" s="732" t="s">
        <v>3452</v>
      </c>
      <c r="J52" s="733" t="s">
        <v>50</v>
      </c>
      <c r="K52" s="734" t="s">
        <v>3671</v>
      </c>
      <c r="M52" s="760"/>
      <c r="N52" s="760"/>
      <c r="O52" s="760"/>
    </row>
    <row r="53">
      <c r="A53" s="28">
        <v>43864.0</v>
      </c>
      <c r="B53" s="47">
        <v>5.0</v>
      </c>
      <c r="C53" s="47">
        <v>13.0</v>
      </c>
      <c r="D53" s="47" t="s">
        <v>3658</v>
      </c>
      <c r="E53" s="47" t="s">
        <v>3538</v>
      </c>
      <c r="F53" s="47">
        <v>7.5</v>
      </c>
      <c r="G53" s="51"/>
      <c r="H53" s="801">
        <v>0.25</v>
      </c>
      <c r="M53" s="760"/>
      <c r="N53" s="760"/>
      <c r="O53" s="760"/>
    </row>
    <row r="54">
      <c r="A54" s="28">
        <v>43865.0</v>
      </c>
      <c r="B54" s="47">
        <v>5.0</v>
      </c>
      <c r="C54" s="47">
        <v>13.0</v>
      </c>
      <c r="D54" s="47" t="s">
        <v>3658</v>
      </c>
      <c r="E54" s="47" t="s">
        <v>3538</v>
      </c>
      <c r="F54" s="47">
        <v>7.5</v>
      </c>
      <c r="G54" s="51"/>
      <c r="H54" s="801">
        <v>0.25</v>
      </c>
      <c r="M54" s="760"/>
      <c r="N54" s="760"/>
      <c r="O54" s="760"/>
    </row>
    <row r="55">
      <c r="A55" s="28">
        <v>43866.0</v>
      </c>
      <c r="B55" s="47">
        <v>5.0</v>
      </c>
      <c r="C55" s="47">
        <v>13.0</v>
      </c>
      <c r="D55" s="47" t="s">
        <v>3658</v>
      </c>
      <c r="E55" s="47" t="s">
        <v>3538</v>
      </c>
      <c r="F55" s="47">
        <v>7.5</v>
      </c>
      <c r="G55" s="51"/>
      <c r="H55" s="801">
        <v>0.25</v>
      </c>
      <c r="M55" s="760"/>
      <c r="N55" s="760"/>
      <c r="O55" s="760"/>
    </row>
    <row r="56">
      <c r="A56" s="28">
        <v>43867.0</v>
      </c>
      <c r="B56" s="47">
        <v>5.0</v>
      </c>
      <c r="C56" s="47">
        <v>13.0</v>
      </c>
      <c r="D56" s="47" t="s">
        <v>3658</v>
      </c>
      <c r="E56" s="47" t="s">
        <v>3538</v>
      </c>
      <c r="F56" s="47">
        <v>7.5</v>
      </c>
      <c r="G56" s="51"/>
      <c r="H56" s="801">
        <v>0.25</v>
      </c>
      <c r="M56" s="760"/>
      <c r="N56" s="760"/>
      <c r="O56" s="760"/>
    </row>
    <row r="57">
      <c r="A57" s="28">
        <v>43868.0</v>
      </c>
      <c r="B57" s="47">
        <v>5.0</v>
      </c>
      <c r="C57" s="47">
        <v>13.0</v>
      </c>
      <c r="D57" s="47" t="s">
        <v>3658</v>
      </c>
      <c r="E57" s="47" t="s">
        <v>3538</v>
      </c>
      <c r="F57" s="47">
        <v>7.5</v>
      </c>
      <c r="G57" s="41">
        <v>3.5</v>
      </c>
      <c r="M57" s="760"/>
      <c r="N57" s="760"/>
      <c r="O57" s="760"/>
    </row>
    <row r="58">
      <c r="A58" s="3" t="s">
        <v>7</v>
      </c>
      <c r="B58" s="14"/>
      <c r="C58" s="14"/>
      <c r="D58" s="15"/>
      <c r="E58" s="6"/>
      <c r="F58" s="7">
        <f>F54+F55+F56+F57+F53</f>
        <v>37.5</v>
      </c>
      <c r="I58" s="804">
        <f>G57-H53-H54-H55-H56</f>
        <v>2.5</v>
      </c>
      <c r="M58" s="760"/>
      <c r="N58" s="760"/>
      <c r="O58" s="760"/>
    </row>
    <row r="59">
      <c r="A59" s="28">
        <v>43871.0</v>
      </c>
      <c r="B59" s="47">
        <v>7.3</v>
      </c>
      <c r="C59" s="47">
        <v>17.0</v>
      </c>
      <c r="D59" s="47" t="s">
        <v>3</v>
      </c>
      <c r="E59" s="47" t="s">
        <v>4</v>
      </c>
      <c r="F59" s="47">
        <v>7.75</v>
      </c>
      <c r="M59" s="760"/>
      <c r="N59" s="760"/>
      <c r="O59" s="760"/>
    </row>
    <row r="60">
      <c r="A60" s="28">
        <v>43872.0</v>
      </c>
      <c r="B60" s="47">
        <v>7.3</v>
      </c>
      <c r="C60" s="47">
        <v>17.0</v>
      </c>
      <c r="D60" s="47" t="s">
        <v>3</v>
      </c>
      <c r="E60" s="47" t="s">
        <v>4</v>
      </c>
      <c r="F60" s="47">
        <v>7.75</v>
      </c>
      <c r="M60" s="760"/>
      <c r="N60" s="760"/>
      <c r="O60" s="760"/>
    </row>
    <row r="61">
      <c r="A61" s="28">
        <v>43873.0</v>
      </c>
      <c r="B61" s="47">
        <v>7.3</v>
      </c>
      <c r="C61" s="47">
        <v>17.0</v>
      </c>
      <c r="D61" s="47" t="s">
        <v>3</v>
      </c>
      <c r="E61" s="47" t="s">
        <v>4</v>
      </c>
      <c r="F61" s="47">
        <v>7.75</v>
      </c>
      <c r="M61" s="760"/>
      <c r="N61" s="760"/>
      <c r="O61" s="760"/>
    </row>
    <row r="62">
      <c r="A62" s="28">
        <v>43874.0</v>
      </c>
      <c r="B62" s="47">
        <v>7.3</v>
      </c>
      <c r="C62" s="47">
        <v>17.0</v>
      </c>
      <c r="D62" s="47" t="s">
        <v>21</v>
      </c>
      <c r="E62" s="47" t="s">
        <v>22</v>
      </c>
      <c r="F62" s="47">
        <v>8.75</v>
      </c>
      <c r="G62" s="41">
        <v>1.0</v>
      </c>
      <c r="J62" s="738" t="s">
        <v>3725</v>
      </c>
      <c r="M62" s="760"/>
      <c r="N62" s="760"/>
      <c r="O62" s="760"/>
    </row>
    <row r="63">
      <c r="A63" s="28">
        <v>43875.0</v>
      </c>
      <c r="B63" s="648" t="s">
        <v>3548</v>
      </c>
      <c r="F63" s="47">
        <v>0.0</v>
      </c>
      <c r="H63" s="801">
        <v>4.0</v>
      </c>
      <c r="J63" s="738" t="s">
        <v>3736</v>
      </c>
      <c r="M63" s="760"/>
      <c r="N63" s="760"/>
      <c r="O63" s="760"/>
    </row>
    <row r="64">
      <c r="A64" s="3" t="s">
        <v>7</v>
      </c>
      <c r="B64" s="14"/>
      <c r="C64" s="14"/>
      <c r="D64" s="15"/>
      <c r="E64" s="6"/>
      <c r="F64" s="7">
        <f>F60+F61+F62+F63+F59</f>
        <v>32</v>
      </c>
      <c r="I64" s="804">
        <f>G62-H63</f>
        <v>-3</v>
      </c>
      <c r="M64" s="760"/>
      <c r="N64" s="760"/>
      <c r="O64" s="760"/>
    </row>
    <row r="65">
      <c r="A65" s="28">
        <v>43878.0</v>
      </c>
      <c r="B65" s="47">
        <v>7.3</v>
      </c>
      <c r="C65" s="47">
        <v>17.0</v>
      </c>
      <c r="D65" s="47" t="s">
        <v>3</v>
      </c>
      <c r="E65" s="47" t="s">
        <v>4</v>
      </c>
      <c r="F65" s="47">
        <v>7.75</v>
      </c>
      <c r="M65" s="760"/>
      <c r="N65" s="760"/>
      <c r="O65" s="760"/>
    </row>
    <row r="66">
      <c r="A66" s="28">
        <v>43879.0</v>
      </c>
      <c r="B66" s="47">
        <v>7.3</v>
      </c>
      <c r="C66" s="47">
        <v>17.0</v>
      </c>
      <c r="D66" s="47" t="s">
        <v>3</v>
      </c>
      <c r="E66" s="47" t="s">
        <v>4</v>
      </c>
      <c r="F66" s="47">
        <v>7.75</v>
      </c>
      <c r="M66" s="760"/>
      <c r="N66" s="760"/>
      <c r="O66" s="760"/>
    </row>
    <row r="67">
      <c r="A67" s="28">
        <v>43880.0</v>
      </c>
      <c r="B67" s="47">
        <v>7.3</v>
      </c>
      <c r="C67" s="47">
        <v>17.0</v>
      </c>
      <c r="D67" s="47" t="s">
        <v>3</v>
      </c>
      <c r="E67" s="47" t="s">
        <v>4</v>
      </c>
      <c r="F67" s="47">
        <v>7.75</v>
      </c>
      <c r="M67" s="760"/>
      <c r="N67" s="760"/>
      <c r="O67" s="760"/>
    </row>
    <row r="68">
      <c r="A68" s="28">
        <v>43881.0</v>
      </c>
      <c r="B68" s="47">
        <v>7.3</v>
      </c>
      <c r="C68" s="47">
        <v>17.0</v>
      </c>
      <c r="D68" s="47" t="s">
        <v>3</v>
      </c>
      <c r="E68" s="47" t="s">
        <v>4</v>
      </c>
      <c r="F68" s="47">
        <v>7.75</v>
      </c>
      <c r="M68" s="760"/>
      <c r="N68" s="760"/>
      <c r="O68" s="760"/>
    </row>
    <row r="69">
      <c r="A69" s="28">
        <v>43882.0</v>
      </c>
      <c r="B69" s="47">
        <v>7.3</v>
      </c>
      <c r="C69" s="51">
        <v>16.15</v>
      </c>
      <c r="D69" s="47" t="s">
        <v>3</v>
      </c>
      <c r="E69" s="51" t="s">
        <v>3515</v>
      </c>
      <c r="F69" s="47">
        <v>7.0</v>
      </c>
      <c r="G69" s="41">
        <v>3.0</v>
      </c>
      <c r="M69" s="760"/>
      <c r="N69" s="760"/>
      <c r="O69" s="760"/>
    </row>
    <row r="70">
      <c r="A70" s="3" t="s">
        <v>7</v>
      </c>
      <c r="B70" s="14"/>
      <c r="C70" s="14"/>
      <c r="D70" s="15"/>
      <c r="E70" s="6"/>
      <c r="F70" s="7">
        <f>F66+F67+F68+F69+F65</f>
        <v>38</v>
      </c>
      <c r="I70" s="804">
        <v>3.0</v>
      </c>
      <c r="M70" s="760"/>
      <c r="N70" s="760"/>
      <c r="O70" s="760"/>
    </row>
    <row r="71">
      <c r="A71" s="28">
        <v>43885.0</v>
      </c>
      <c r="B71" s="47">
        <v>7.3</v>
      </c>
      <c r="C71" s="47">
        <v>17.0</v>
      </c>
      <c r="D71" s="47" t="s">
        <v>3</v>
      </c>
      <c r="E71" s="47" t="s">
        <v>4</v>
      </c>
      <c r="F71" s="47">
        <v>7.75</v>
      </c>
      <c r="M71" s="760"/>
      <c r="N71" s="760"/>
      <c r="O71" s="760"/>
    </row>
    <row r="72">
      <c r="A72" s="28">
        <v>43886.0</v>
      </c>
      <c r="B72" s="47">
        <v>7.3</v>
      </c>
      <c r="C72" s="47">
        <v>17.0</v>
      </c>
      <c r="D72" s="47" t="s">
        <v>3</v>
      </c>
      <c r="E72" s="47" t="s">
        <v>4</v>
      </c>
      <c r="F72" s="47">
        <v>7.75</v>
      </c>
      <c r="M72" s="760"/>
      <c r="N72" s="760"/>
      <c r="O72" s="760"/>
    </row>
    <row r="73">
      <c r="A73" s="28">
        <v>43887.0</v>
      </c>
      <c r="B73" s="47">
        <v>7.3</v>
      </c>
      <c r="C73" s="47">
        <v>17.0</v>
      </c>
      <c r="D73" s="47" t="s">
        <v>3</v>
      </c>
      <c r="E73" s="47" t="s">
        <v>4</v>
      </c>
      <c r="F73" s="47">
        <v>7.75</v>
      </c>
      <c r="M73" s="760"/>
      <c r="N73" s="760"/>
      <c r="O73" s="760"/>
    </row>
    <row r="74">
      <c r="A74" s="28">
        <v>43888.0</v>
      </c>
      <c r="B74" s="47">
        <v>7.3</v>
      </c>
      <c r="C74" s="47">
        <v>17.0</v>
      </c>
      <c r="D74" s="47" t="s">
        <v>3</v>
      </c>
      <c r="E74" s="47" t="s">
        <v>4</v>
      </c>
      <c r="F74" s="47">
        <v>7.75</v>
      </c>
      <c r="M74" s="760"/>
      <c r="N74" s="760"/>
      <c r="O74" s="760"/>
    </row>
    <row r="75">
      <c r="A75" s="28">
        <v>43889.0</v>
      </c>
      <c r="B75" s="47">
        <v>7.3</v>
      </c>
      <c r="C75" s="51">
        <v>16.15</v>
      </c>
      <c r="D75" s="47" t="s">
        <v>3</v>
      </c>
      <c r="E75" s="51" t="s">
        <v>3515</v>
      </c>
      <c r="F75" s="47">
        <v>7.0</v>
      </c>
      <c r="G75" s="41">
        <v>3.0</v>
      </c>
      <c r="M75" s="760"/>
      <c r="N75" s="760"/>
      <c r="O75" s="760"/>
    </row>
    <row r="76">
      <c r="A76" s="3" t="s">
        <v>7</v>
      </c>
      <c r="B76" s="14"/>
      <c r="C76" s="14"/>
      <c r="D76" s="15"/>
      <c r="E76" s="6"/>
      <c r="F76" s="7">
        <f>F72+F73+F74+F75+F71</f>
        <v>38</v>
      </c>
      <c r="I76" s="804">
        <v>3.0</v>
      </c>
      <c r="M76" s="9" t="s">
        <v>9</v>
      </c>
      <c r="N76" s="10" t="s">
        <v>10</v>
      </c>
      <c r="O76" s="10" t="s">
        <v>1</v>
      </c>
    </row>
    <row r="77">
      <c r="A77" s="13" t="s">
        <v>2</v>
      </c>
      <c r="B77" s="14"/>
      <c r="C77" s="14"/>
      <c r="D77" s="15"/>
      <c r="E77" s="16"/>
      <c r="F77" s="17">
        <f>F58+F64+F70+F76</f>
        <v>145.5</v>
      </c>
      <c r="G77" s="18">
        <f>G57+G62+G69+G75</f>
        <v>10.5</v>
      </c>
      <c r="H77" s="19">
        <f>H53+H54+H55+H56+H63</f>
        <v>5</v>
      </c>
      <c r="I77" s="787">
        <f>I58+I64+I70+I76</f>
        <v>5.5</v>
      </c>
      <c r="J77" s="21" t="s">
        <v>3737</v>
      </c>
      <c r="K77" s="22" t="s">
        <v>3738</v>
      </c>
      <c r="L77" s="23" t="s">
        <v>14</v>
      </c>
      <c r="M77" s="466">
        <v>1539.45</v>
      </c>
      <c r="N77" s="466">
        <v>1057.42</v>
      </c>
      <c r="O77" s="466">
        <v>1260.57</v>
      </c>
    </row>
    <row r="78">
      <c r="A78" s="728" t="s">
        <v>243</v>
      </c>
      <c r="B78" s="728" t="s">
        <v>3445</v>
      </c>
      <c r="C78" s="728" t="s">
        <v>3446</v>
      </c>
      <c r="D78" s="728" t="s">
        <v>3447</v>
      </c>
      <c r="E78" s="728" t="s">
        <v>3448</v>
      </c>
      <c r="F78" s="729" t="s">
        <v>3449</v>
      </c>
      <c r="G78" s="730" t="s">
        <v>3450</v>
      </c>
      <c r="H78" s="731" t="s">
        <v>3451</v>
      </c>
      <c r="I78" s="732" t="s">
        <v>3452</v>
      </c>
      <c r="J78" s="733" t="s">
        <v>50</v>
      </c>
      <c r="K78" s="734" t="s">
        <v>3671</v>
      </c>
      <c r="M78" s="760"/>
      <c r="N78" s="760"/>
      <c r="O78" s="760"/>
    </row>
    <row r="79">
      <c r="A79" s="28">
        <v>43892.0</v>
      </c>
      <c r="B79" s="648" t="s">
        <v>3548</v>
      </c>
      <c r="F79" s="47">
        <v>0.0</v>
      </c>
      <c r="H79" s="801">
        <v>7.75</v>
      </c>
      <c r="J79" s="738" t="s">
        <v>3739</v>
      </c>
      <c r="M79" s="760"/>
      <c r="N79" s="760"/>
      <c r="O79" s="760"/>
    </row>
    <row r="80">
      <c r="A80" s="28">
        <v>43893.0</v>
      </c>
      <c r="B80" s="47">
        <v>7.3</v>
      </c>
      <c r="C80" s="47">
        <v>17.0</v>
      </c>
      <c r="D80" s="47" t="s">
        <v>3</v>
      </c>
      <c r="E80" s="47" t="s">
        <v>4</v>
      </c>
      <c r="F80" s="47">
        <v>7.75</v>
      </c>
      <c r="M80" s="760"/>
      <c r="N80" s="760"/>
      <c r="O80" s="760"/>
    </row>
    <row r="81">
      <c r="A81" s="28">
        <v>43894.0</v>
      </c>
      <c r="B81" s="47">
        <v>7.3</v>
      </c>
      <c r="C81" s="51">
        <v>12.15</v>
      </c>
      <c r="E81" s="51" t="s">
        <v>3626</v>
      </c>
      <c r="F81" s="51">
        <v>4.25</v>
      </c>
      <c r="H81" s="801">
        <v>3.0</v>
      </c>
      <c r="J81" s="738" t="s">
        <v>3739</v>
      </c>
      <c r="M81" s="760"/>
      <c r="N81" s="760"/>
      <c r="O81" s="760"/>
    </row>
    <row r="82">
      <c r="A82" s="28">
        <v>43895.0</v>
      </c>
      <c r="B82" s="648" t="s">
        <v>3556</v>
      </c>
      <c r="F82" s="47">
        <v>0.0</v>
      </c>
      <c r="J82" s="738" t="s">
        <v>3739</v>
      </c>
      <c r="M82" s="760"/>
      <c r="N82" s="760"/>
      <c r="O82" s="760"/>
    </row>
    <row r="83">
      <c r="A83" s="28">
        <v>43896.0</v>
      </c>
      <c r="B83" s="648" t="s">
        <v>3556</v>
      </c>
      <c r="F83" s="47">
        <v>0.0</v>
      </c>
      <c r="J83" s="738" t="s">
        <v>3739</v>
      </c>
      <c r="M83" s="760"/>
      <c r="N83" s="760"/>
      <c r="O83" s="760"/>
    </row>
    <row r="84">
      <c r="A84" s="3" t="s">
        <v>7</v>
      </c>
      <c r="B84" s="14"/>
      <c r="C84" s="14"/>
      <c r="D84" s="15"/>
      <c r="E84" s="6"/>
      <c r="F84" s="7">
        <f>F80+F81+F82+F83+F79</f>
        <v>12</v>
      </c>
      <c r="I84" s="804">
        <f>G83-H79-H81</f>
        <v>-10.75</v>
      </c>
      <c r="M84" s="760"/>
      <c r="N84" s="760"/>
      <c r="O84" s="760"/>
    </row>
    <row r="85">
      <c r="A85" s="28">
        <v>43899.0</v>
      </c>
      <c r="B85" s="648" t="s">
        <v>3556</v>
      </c>
      <c r="F85" s="47">
        <v>0.0</v>
      </c>
      <c r="J85" s="738" t="s">
        <v>3739</v>
      </c>
      <c r="M85" s="760"/>
      <c r="N85" s="760"/>
      <c r="O85" s="760"/>
    </row>
    <row r="86">
      <c r="A86" s="28">
        <v>43900.0</v>
      </c>
      <c r="B86" s="648" t="s">
        <v>3556</v>
      </c>
      <c r="F86" s="47">
        <v>0.0</v>
      </c>
      <c r="J86" s="738" t="s">
        <v>3739</v>
      </c>
      <c r="M86" s="760"/>
      <c r="N86" s="760"/>
      <c r="O86" s="760"/>
    </row>
    <row r="87">
      <c r="A87" s="28">
        <v>43901.0</v>
      </c>
      <c r="B87" s="648" t="s">
        <v>3556</v>
      </c>
      <c r="F87" s="47">
        <v>0.0</v>
      </c>
      <c r="J87" s="738" t="s">
        <v>3739</v>
      </c>
      <c r="M87" s="760"/>
      <c r="N87" s="760"/>
      <c r="O87" s="760"/>
    </row>
    <row r="88">
      <c r="A88" s="28">
        <v>43902.0</v>
      </c>
      <c r="B88" s="648" t="s">
        <v>3556</v>
      </c>
      <c r="F88" s="47">
        <v>0.0</v>
      </c>
      <c r="J88" s="738" t="s">
        <v>3739</v>
      </c>
      <c r="M88" s="760"/>
      <c r="N88" s="760"/>
      <c r="O88" s="760"/>
    </row>
    <row r="89">
      <c r="A89" s="28">
        <v>43903.0</v>
      </c>
      <c r="B89" s="648" t="s">
        <v>3556</v>
      </c>
      <c r="F89" s="47">
        <v>0.0</v>
      </c>
      <c r="J89" s="738" t="s">
        <v>3739</v>
      </c>
      <c r="M89" s="760"/>
      <c r="N89" s="760"/>
      <c r="O89" s="760"/>
    </row>
    <row r="90">
      <c r="A90" s="3" t="s">
        <v>7</v>
      </c>
      <c r="B90" s="14"/>
      <c r="C90" s="14"/>
      <c r="D90" s="15"/>
      <c r="E90" s="6"/>
      <c r="F90" s="7">
        <f>F86+F87+F88+F89+F85</f>
        <v>0</v>
      </c>
      <c r="I90" s="804">
        <v>0.0</v>
      </c>
      <c r="M90" s="760"/>
      <c r="N90" s="760"/>
      <c r="O90" s="760"/>
    </row>
    <row r="91">
      <c r="A91" s="28">
        <v>43906.0</v>
      </c>
      <c r="B91" s="648" t="s">
        <v>3556</v>
      </c>
      <c r="F91" s="47">
        <v>0.0</v>
      </c>
      <c r="J91" s="738" t="s">
        <v>3739</v>
      </c>
      <c r="M91" s="760"/>
      <c r="N91" s="760"/>
      <c r="O91" s="760"/>
    </row>
    <row r="92">
      <c r="A92" s="28">
        <v>43907.0</v>
      </c>
      <c r="B92" s="648" t="s">
        <v>3556</v>
      </c>
      <c r="F92" s="47">
        <v>0.0</v>
      </c>
      <c r="J92" s="738" t="s">
        <v>3739</v>
      </c>
      <c r="M92" s="760"/>
      <c r="N92" s="760"/>
      <c r="O92" s="760"/>
    </row>
    <row r="93">
      <c r="A93" s="28">
        <v>43908.0</v>
      </c>
      <c r="B93" s="648" t="s">
        <v>3556</v>
      </c>
      <c r="F93" s="47">
        <v>0.0</v>
      </c>
      <c r="J93" s="738" t="s">
        <v>3739</v>
      </c>
      <c r="M93" s="760"/>
      <c r="N93" s="760"/>
      <c r="O93" s="760"/>
    </row>
    <row r="94">
      <c r="A94" s="28">
        <v>43909.0</v>
      </c>
      <c r="B94" s="648" t="s">
        <v>3556</v>
      </c>
      <c r="F94" s="47">
        <v>0.0</v>
      </c>
      <c r="J94" s="738" t="s">
        <v>3556</v>
      </c>
      <c r="M94" s="760"/>
      <c r="N94" s="760"/>
      <c r="O94" s="760"/>
    </row>
    <row r="95">
      <c r="A95" s="28">
        <v>43910.0</v>
      </c>
      <c r="B95" s="648" t="s">
        <v>3556</v>
      </c>
      <c r="F95" s="47">
        <v>0.0</v>
      </c>
      <c r="J95" s="738" t="s">
        <v>3556</v>
      </c>
      <c r="M95" s="760"/>
      <c r="N95" s="760"/>
      <c r="O95" s="760"/>
    </row>
    <row r="96">
      <c r="A96" s="3" t="s">
        <v>7</v>
      </c>
      <c r="B96" s="14"/>
      <c r="C96" s="14"/>
      <c r="D96" s="15"/>
      <c r="E96" s="6"/>
      <c r="F96" s="7">
        <f>F92+F93+F94+F95+F91</f>
        <v>0</v>
      </c>
      <c r="I96" s="804">
        <v>0.0</v>
      </c>
      <c r="M96" s="760"/>
      <c r="N96" s="760"/>
      <c r="O96" s="760"/>
    </row>
    <row r="97">
      <c r="A97" s="28">
        <v>43913.0</v>
      </c>
      <c r="B97" s="648" t="s">
        <v>3556</v>
      </c>
      <c r="F97" s="47">
        <v>0.0</v>
      </c>
      <c r="J97" s="738" t="s">
        <v>3556</v>
      </c>
      <c r="M97" s="760"/>
      <c r="N97" s="760"/>
      <c r="O97" s="760"/>
    </row>
    <row r="98">
      <c r="A98" s="28">
        <v>43914.0</v>
      </c>
      <c r="B98" s="648" t="s">
        <v>3556</v>
      </c>
      <c r="F98" s="47">
        <v>0.0</v>
      </c>
      <c r="J98" s="738" t="s">
        <v>3556</v>
      </c>
      <c r="M98" s="760"/>
      <c r="N98" s="760"/>
      <c r="O98" s="760"/>
    </row>
    <row r="99">
      <c r="A99" s="28">
        <v>43915.0</v>
      </c>
      <c r="B99" s="648" t="s">
        <v>3556</v>
      </c>
      <c r="F99" s="47">
        <v>0.0</v>
      </c>
      <c r="J99" s="738" t="s">
        <v>3556</v>
      </c>
      <c r="M99" s="760"/>
      <c r="N99" s="760"/>
      <c r="O99" s="760"/>
    </row>
    <row r="100">
      <c r="A100" s="28">
        <v>43916.0</v>
      </c>
      <c r="B100" s="648" t="s">
        <v>3556</v>
      </c>
      <c r="F100" s="47">
        <v>0.0</v>
      </c>
      <c r="J100" s="738" t="s">
        <v>3556</v>
      </c>
      <c r="M100" s="760"/>
      <c r="N100" s="760"/>
      <c r="O100" s="760"/>
    </row>
    <row r="101">
      <c r="A101" s="28">
        <v>43917.0</v>
      </c>
      <c r="B101" s="648" t="s">
        <v>3556</v>
      </c>
      <c r="F101" s="47">
        <v>0.0</v>
      </c>
      <c r="J101" s="738" t="s">
        <v>3556</v>
      </c>
      <c r="M101" s="760"/>
      <c r="N101" s="760"/>
      <c r="O101" s="760"/>
    </row>
    <row r="102">
      <c r="A102" s="3" t="s">
        <v>7</v>
      </c>
      <c r="B102" s="14"/>
      <c r="C102" s="14"/>
      <c r="D102" s="15"/>
      <c r="E102" s="6"/>
      <c r="F102" s="7">
        <f>F98+F99+F100+F101+F97</f>
        <v>0</v>
      </c>
      <c r="I102" s="804">
        <v>0.0</v>
      </c>
      <c r="M102" s="805" t="s">
        <v>3740</v>
      </c>
    </row>
    <row r="103">
      <c r="A103" s="28">
        <v>43920.0</v>
      </c>
      <c r="B103" s="648" t="s">
        <v>3556</v>
      </c>
      <c r="F103" s="47">
        <v>0.0</v>
      </c>
      <c r="J103" s="738" t="s">
        <v>3556</v>
      </c>
    </row>
    <row r="104">
      <c r="A104" s="28">
        <v>43921.0</v>
      </c>
      <c r="B104" s="648" t="s">
        <v>3556</v>
      </c>
      <c r="F104" s="47">
        <v>0.0</v>
      </c>
      <c r="J104" s="738" t="s">
        <v>3556</v>
      </c>
    </row>
    <row r="105">
      <c r="A105" s="3" t="s">
        <v>7</v>
      </c>
      <c r="B105" s="14"/>
      <c r="C105" s="14"/>
      <c r="D105" s="15"/>
      <c r="E105" s="6"/>
      <c r="F105" s="7">
        <f>F101+F102+F103+F104+F100</f>
        <v>0</v>
      </c>
      <c r="I105" s="804">
        <v>0.0</v>
      </c>
      <c r="M105" s="9" t="s">
        <v>9</v>
      </c>
      <c r="N105" s="10" t="s">
        <v>10</v>
      </c>
      <c r="O105" s="10" t="s">
        <v>1</v>
      </c>
    </row>
    <row r="106">
      <c r="A106" s="13" t="s">
        <v>2</v>
      </c>
      <c r="B106" s="14"/>
      <c r="C106" s="14"/>
      <c r="D106" s="15"/>
      <c r="E106" s="16"/>
      <c r="F106" s="17">
        <f>F84</f>
        <v>12</v>
      </c>
      <c r="G106" s="18">
        <f>G94+G95+G96+G97+G98+G100+G101+G102+G103+G104</f>
        <v>0</v>
      </c>
      <c r="H106" s="19">
        <f>H79+H81</f>
        <v>10.75</v>
      </c>
      <c r="I106" s="806">
        <v>-10.75</v>
      </c>
      <c r="J106" s="21" t="s">
        <v>3741</v>
      </c>
      <c r="K106" s="22" t="s">
        <v>3742</v>
      </c>
      <c r="L106" s="23" t="s">
        <v>14</v>
      </c>
      <c r="M106" s="466">
        <v>640.97</v>
      </c>
      <c r="N106" s="466">
        <v>328.69</v>
      </c>
      <c r="O106" s="466">
        <v>523.74</v>
      </c>
    </row>
    <row r="107">
      <c r="A107" s="728" t="s">
        <v>243</v>
      </c>
      <c r="B107" s="728" t="s">
        <v>3445</v>
      </c>
      <c r="C107" s="728" t="s">
        <v>3446</v>
      </c>
      <c r="D107" s="728" t="s">
        <v>3447</v>
      </c>
      <c r="E107" s="728" t="s">
        <v>3448</v>
      </c>
      <c r="F107" s="729" t="s">
        <v>3449</v>
      </c>
      <c r="G107" s="730" t="s">
        <v>3450</v>
      </c>
      <c r="H107" s="731" t="s">
        <v>3451</v>
      </c>
      <c r="I107" s="732" t="s">
        <v>3452</v>
      </c>
      <c r="J107" s="733" t="s">
        <v>50</v>
      </c>
      <c r="K107" s="734" t="s">
        <v>3671</v>
      </c>
      <c r="M107" s="761" t="s">
        <v>3743</v>
      </c>
    </row>
    <row r="108">
      <c r="A108" s="28">
        <v>43922.0</v>
      </c>
      <c r="B108" s="648" t="s">
        <v>3556</v>
      </c>
      <c r="F108" s="47">
        <v>0.0</v>
      </c>
      <c r="J108" s="738" t="s">
        <v>3556</v>
      </c>
      <c r="M108" s="760"/>
      <c r="N108" s="760"/>
      <c r="O108" s="760"/>
    </row>
    <row r="109">
      <c r="A109" s="28">
        <v>43923.0</v>
      </c>
      <c r="B109" s="648" t="s">
        <v>3556</v>
      </c>
      <c r="F109" s="47">
        <v>0.0</v>
      </c>
      <c r="J109" s="738" t="s">
        <v>3556</v>
      </c>
      <c r="M109" s="760"/>
      <c r="N109" s="760"/>
      <c r="O109" s="760"/>
    </row>
    <row r="110">
      <c r="A110" s="28">
        <v>43924.0</v>
      </c>
      <c r="B110" s="648" t="s">
        <v>3556</v>
      </c>
      <c r="F110" s="47">
        <v>0.0</v>
      </c>
      <c r="J110" s="738" t="s">
        <v>3556</v>
      </c>
      <c r="M110" s="760"/>
      <c r="N110" s="760"/>
      <c r="O110" s="760"/>
    </row>
    <row r="111">
      <c r="A111" s="3" t="s">
        <v>7</v>
      </c>
      <c r="B111" s="14"/>
      <c r="C111" s="14"/>
      <c r="D111" s="15"/>
      <c r="E111" s="6"/>
      <c r="F111" s="735">
        <v>0.0</v>
      </c>
      <c r="I111" s="804">
        <v>0.0</v>
      </c>
      <c r="M111" s="760"/>
      <c r="N111" s="760"/>
      <c r="O111" s="760"/>
    </row>
    <row r="112">
      <c r="A112" s="28">
        <v>43927.0</v>
      </c>
      <c r="B112" s="648" t="s">
        <v>3556</v>
      </c>
      <c r="F112" s="47">
        <v>0.0</v>
      </c>
      <c r="J112" s="738" t="s">
        <v>3556</v>
      </c>
      <c r="M112" s="760"/>
      <c r="N112" s="760"/>
      <c r="O112" s="760"/>
    </row>
    <row r="113">
      <c r="A113" s="28">
        <v>43928.0</v>
      </c>
      <c r="B113" s="648" t="s">
        <v>3556</v>
      </c>
      <c r="F113" s="47">
        <v>0.0</v>
      </c>
      <c r="J113" s="738" t="s">
        <v>3556</v>
      </c>
      <c r="M113" s="760"/>
      <c r="N113" s="760"/>
      <c r="O113" s="760"/>
    </row>
    <row r="114">
      <c r="A114" s="28">
        <v>43929.0</v>
      </c>
      <c r="B114" s="648" t="s">
        <v>3556</v>
      </c>
      <c r="F114" s="47">
        <v>0.0</v>
      </c>
      <c r="J114" s="738" t="s">
        <v>3556</v>
      </c>
      <c r="M114" s="760"/>
      <c r="N114" s="760"/>
      <c r="O114" s="760"/>
    </row>
    <row r="115">
      <c r="A115" s="28">
        <v>43930.0</v>
      </c>
      <c r="B115" s="648" t="s">
        <v>3556</v>
      </c>
      <c r="F115" s="47">
        <v>0.0</v>
      </c>
      <c r="J115" s="738" t="s">
        <v>3556</v>
      </c>
      <c r="M115" s="760"/>
      <c r="N115" s="760"/>
      <c r="O115" s="760"/>
    </row>
    <row r="116">
      <c r="A116" s="28">
        <v>43931.0</v>
      </c>
      <c r="B116" s="648" t="s">
        <v>3556</v>
      </c>
      <c r="F116" s="47">
        <v>0.0</v>
      </c>
      <c r="J116" s="738" t="s">
        <v>3556</v>
      </c>
      <c r="M116" s="760"/>
      <c r="N116" s="760"/>
      <c r="O116" s="760"/>
    </row>
    <row r="117">
      <c r="A117" s="3" t="s">
        <v>7</v>
      </c>
      <c r="B117" s="14"/>
      <c r="C117" s="14"/>
      <c r="D117" s="15"/>
      <c r="E117" s="6"/>
      <c r="F117" s="7">
        <f>F113+F114+F115+F116+F112</f>
        <v>0</v>
      </c>
      <c r="I117" s="804">
        <v>0.0</v>
      </c>
      <c r="M117" s="760"/>
      <c r="N117" s="760"/>
      <c r="O117" s="760"/>
    </row>
    <row r="118">
      <c r="A118" s="28">
        <v>43934.0</v>
      </c>
      <c r="B118" s="648" t="s">
        <v>3556</v>
      </c>
      <c r="F118" s="47">
        <v>0.0</v>
      </c>
      <c r="J118" s="738" t="s">
        <v>3556</v>
      </c>
      <c r="M118" s="760"/>
      <c r="N118" s="760"/>
      <c r="O118" s="760"/>
    </row>
    <row r="119">
      <c r="A119" s="28">
        <v>43935.0</v>
      </c>
      <c r="B119" s="648" t="s">
        <v>3556</v>
      </c>
      <c r="F119" s="47">
        <v>0.0</v>
      </c>
      <c r="J119" s="738" t="s">
        <v>3556</v>
      </c>
      <c r="M119" s="760"/>
      <c r="N119" s="760"/>
      <c r="O119" s="760"/>
    </row>
    <row r="120">
      <c r="A120" s="28">
        <v>43936.0</v>
      </c>
      <c r="B120" s="648" t="s">
        <v>3556</v>
      </c>
      <c r="F120" s="47">
        <v>0.0</v>
      </c>
      <c r="J120" s="738" t="s">
        <v>3556</v>
      </c>
      <c r="M120" s="760"/>
      <c r="N120" s="760"/>
      <c r="O120" s="760"/>
    </row>
    <row r="121">
      <c r="A121" s="28">
        <v>43937.0</v>
      </c>
      <c r="B121" s="648" t="s">
        <v>3556</v>
      </c>
      <c r="F121" s="47">
        <v>0.0</v>
      </c>
      <c r="J121" s="738" t="s">
        <v>3556</v>
      </c>
      <c r="M121" s="760"/>
      <c r="N121" s="760"/>
      <c r="O121" s="760"/>
    </row>
    <row r="122">
      <c r="A122" s="28">
        <v>43938.0</v>
      </c>
      <c r="B122" s="648" t="s">
        <v>3556</v>
      </c>
      <c r="F122" s="47">
        <v>0.0</v>
      </c>
      <c r="J122" s="738" t="s">
        <v>3556</v>
      </c>
      <c r="M122" s="760"/>
      <c r="N122" s="760"/>
      <c r="O122" s="760"/>
    </row>
    <row r="123">
      <c r="A123" s="3" t="s">
        <v>7</v>
      </c>
      <c r="B123" s="14"/>
      <c r="C123" s="14"/>
      <c r="D123" s="15"/>
      <c r="E123" s="6"/>
      <c r="F123" s="7">
        <f>F119+F120+F121+F122+F118</f>
        <v>0</v>
      </c>
      <c r="I123" s="804">
        <v>0.0</v>
      </c>
      <c r="M123" s="760"/>
      <c r="N123" s="760"/>
      <c r="O123" s="760"/>
    </row>
    <row r="124">
      <c r="A124" s="28">
        <v>43941.0</v>
      </c>
      <c r="B124" s="648" t="s">
        <v>3556</v>
      </c>
      <c r="F124" s="47">
        <v>0.0</v>
      </c>
      <c r="J124" s="738" t="s">
        <v>3556</v>
      </c>
      <c r="M124" s="760"/>
      <c r="N124" s="760"/>
      <c r="O124" s="760"/>
    </row>
    <row r="125">
      <c r="A125" s="28">
        <v>43942.0</v>
      </c>
      <c r="B125" s="648" t="s">
        <v>3556</v>
      </c>
      <c r="F125" s="47">
        <v>0.0</v>
      </c>
      <c r="J125" s="738" t="s">
        <v>3556</v>
      </c>
      <c r="M125" s="760"/>
      <c r="N125" s="760"/>
      <c r="O125" s="760"/>
    </row>
    <row r="126">
      <c r="A126" s="28">
        <v>43943.0</v>
      </c>
      <c r="B126" s="648" t="s">
        <v>3556</v>
      </c>
      <c r="F126" s="47">
        <v>0.0</v>
      </c>
      <c r="J126" s="738" t="s">
        <v>3556</v>
      </c>
      <c r="M126" s="760"/>
      <c r="N126" s="760"/>
      <c r="O126" s="760"/>
    </row>
    <row r="127">
      <c r="A127" s="28">
        <v>43944.0</v>
      </c>
      <c r="B127" s="648" t="s">
        <v>3556</v>
      </c>
      <c r="F127" s="47">
        <v>0.0</v>
      </c>
      <c r="J127" s="738" t="s">
        <v>3556</v>
      </c>
      <c r="M127" s="760"/>
      <c r="N127" s="760"/>
      <c r="O127" s="760"/>
    </row>
    <row r="128">
      <c r="A128" s="28">
        <v>43945.0</v>
      </c>
      <c r="B128" s="648" t="s">
        <v>3556</v>
      </c>
      <c r="F128" s="47">
        <v>0.0</v>
      </c>
      <c r="J128" s="738" t="s">
        <v>3556</v>
      </c>
      <c r="M128" s="760"/>
      <c r="N128" s="760"/>
      <c r="O128" s="760"/>
    </row>
    <row r="129">
      <c r="A129" s="3" t="s">
        <v>7</v>
      </c>
      <c r="B129" s="14"/>
      <c r="C129" s="14"/>
      <c r="D129" s="15"/>
      <c r="E129" s="6"/>
      <c r="F129" s="7">
        <f>F125+F126+F127+F128+F124</f>
        <v>0</v>
      </c>
      <c r="I129" s="804">
        <v>0.0</v>
      </c>
      <c r="M129" s="760"/>
      <c r="N129" s="760"/>
      <c r="O129" s="760"/>
    </row>
    <row r="130">
      <c r="A130" s="28">
        <v>43948.0</v>
      </c>
      <c r="B130" s="47">
        <v>7.3</v>
      </c>
      <c r="C130" s="47">
        <v>17.0</v>
      </c>
      <c r="D130" s="47" t="s">
        <v>3</v>
      </c>
      <c r="E130" s="47" t="s">
        <v>4</v>
      </c>
      <c r="F130" s="47">
        <v>7.75</v>
      </c>
      <c r="M130" s="760"/>
      <c r="N130" s="760"/>
      <c r="O130" s="760"/>
    </row>
    <row r="131">
      <c r="A131" s="28">
        <v>43949.0</v>
      </c>
      <c r="B131" s="47">
        <v>7.3</v>
      </c>
      <c r="C131" s="47">
        <v>17.0</v>
      </c>
      <c r="D131" s="47" t="s">
        <v>3</v>
      </c>
      <c r="E131" s="47" t="s">
        <v>4</v>
      </c>
      <c r="F131" s="47">
        <v>7.75</v>
      </c>
      <c r="M131" s="760"/>
      <c r="N131" s="760"/>
      <c r="O131" s="760"/>
    </row>
    <row r="132">
      <c r="A132" s="28">
        <v>43950.0</v>
      </c>
      <c r="B132" s="47">
        <v>7.3</v>
      </c>
      <c r="C132" s="47">
        <v>17.0</v>
      </c>
      <c r="D132" s="47" t="s">
        <v>3</v>
      </c>
      <c r="E132" s="47" t="s">
        <v>4</v>
      </c>
      <c r="F132" s="47">
        <v>7.75</v>
      </c>
      <c r="M132" s="760"/>
      <c r="N132" s="760"/>
      <c r="O132" s="760"/>
    </row>
    <row r="133">
      <c r="A133" s="28">
        <v>43951.0</v>
      </c>
      <c r="B133" s="47">
        <v>7.3</v>
      </c>
      <c r="C133" s="47">
        <v>17.0</v>
      </c>
      <c r="D133" s="47" t="s">
        <v>3</v>
      </c>
      <c r="E133" s="47" t="s">
        <v>4</v>
      </c>
      <c r="F133" s="47">
        <v>7.75</v>
      </c>
      <c r="M133" s="760"/>
      <c r="N133" s="760"/>
      <c r="O133" s="760"/>
    </row>
    <row r="134">
      <c r="A134" s="3" t="s">
        <v>7</v>
      </c>
      <c r="B134" s="14"/>
      <c r="C134" s="14"/>
      <c r="D134" s="15"/>
      <c r="E134" s="6"/>
      <c r="F134" s="7">
        <f>F130+F131+F132+F133+F129</f>
        <v>31</v>
      </c>
      <c r="I134" s="804">
        <v>0.0</v>
      </c>
      <c r="M134" s="9" t="s">
        <v>9</v>
      </c>
      <c r="N134" s="10" t="s">
        <v>10</v>
      </c>
      <c r="O134" s="10" t="s">
        <v>1</v>
      </c>
    </row>
    <row r="135">
      <c r="A135" s="13" t="s">
        <v>2</v>
      </c>
      <c r="B135" s="14"/>
      <c r="C135" s="14"/>
      <c r="D135" s="15"/>
      <c r="E135" s="16"/>
      <c r="F135" s="17">
        <f>F116+F122+F128+F134</f>
        <v>31</v>
      </c>
      <c r="G135" s="18">
        <f>G123+G124+G125+G126+G127+G129+G130+G131+G132+G133</f>
        <v>0</v>
      </c>
      <c r="H135" s="19">
        <f>H120+H121</f>
        <v>0</v>
      </c>
      <c r="I135" s="20" t="s">
        <v>3744</v>
      </c>
      <c r="J135" s="21" t="s">
        <v>3745</v>
      </c>
      <c r="K135" s="22" t="s">
        <v>3746</v>
      </c>
      <c r="L135" s="23" t="s">
        <v>14</v>
      </c>
      <c r="M135" s="466">
        <v>617.83</v>
      </c>
      <c r="N135" s="466">
        <v>389.12</v>
      </c>
      <c r="O135" s="466">
        <v>504.76</v>
      </c>
    </row>
    <row r="136">
      <c r="A136" s="728" t="s">
        <v>243</v>
      </c>
      <c r="B136" s="728" t="s">
        <v>3445</v>
      </c>
      <c r="C136" s="728" t="s">
        <v>3446</v>
      </c>
      <c r="D136" s="728" t="s">
        <v>3447</v>
      </c>
      <c r="E136" s="728" t="s">
        <v>3448</v>
      </c>
      <c r="F136" s="729" t="s">
        <v>3449</v>
      </c>
      <c r="G136" s="730" t="s">
        <v>3450</v>
      </c>
      <c r="H136" s="731" t="s">
        <v>3451</v>
      </c>
      <c r="I136" s="732" t="s">
        <v>3452</v>
      </c>
      <c r="J136" s="733" t="s">
        <v>50</v>
      </c>
      <c r="K136" s="734" t="s">
        <v>3671</v>
      </c>
      <c r="M136" s="761" t="s">
        <v>3743</v>
      </c>
    </row>
    <row r="137">
      <c r="A137" s="28">
        <v>43952.0</v>
      </c>
      <c r="B137" s="43" t="s">
        <v>24</v>
      </c>
      <c r="E137" s="44" t="s">
        <v>3536</v>
      </c>
      <c r="F137" s="45">
        <v>4.0</v>
      </c>
      <c r="I137" s="804">
        <v>0.0</v>
      </c>
      <c r="M137" s="760"/>
      <c r="N137" s="760"/>
      <c r="O137" s="760"/>
    </row>
    <row r="138">
      <c r="A138" s="3" t="s">
        <v>7</v>
      </c>
      <c r="B138" s="14"/>
      <c r="C138" s="14"/>
      <c r="D138" s="15"/>
      <c r="E138" s="6"/>
      <c r="F138" s="7"/>
      <c r="M138" s="760"/>
      <c r="N138" s="760"/>
      <c r="O138" s="760"/>
    </row>
    <row r="139">
      <c r="A139" s="28">
        <v>43955.0</v>
      </c>
      <c r="B139" s="47">
        <v>7.3</v>
      </c>
      <c r="C139" s="47">
        <v>17.0</v>
      </c>
      <c r="D139" s="47" t="s">
        <v>3</v>
      </c>
      <c r="E139" s="47" t="s">
        <v>4</v>
      </c>
      <c r="F139" s="47">
        <v>7.75</v>
      </c>
      <c r="M139" s="760"/>
      <c r="N139" s="760"/>
      <c r="O139" s="760"/>
    </row>
    <row r="140">
      <c r="A140" s="28">
        <v>43956.0</v>
      </c>
      <c r="B140" s="47">
        <v>7.3</v>
      </c>
      <c r="C140" s="47">
        <v>17.0</v>
      </c>
      <c r="D140" s="47" t="s">
        <v>3</v>
      </c>
      <c r="E140" s="47" t="s">
        <v>4</v>
      </c>
      <c r="F140" s="47">
        <v>7.75</v>
      </c>
      <c r="M140" s="760"/>
      <c r="N140" s="760"/>
      <c r="O140" s="760"/>
    </row>
    <row r="141">
      <c r="A141" s="28">
        <v>43957.0</v>
      </c>
      <c r="B141" s="47">
        <v>7.3</v>
      </c>
      <c r="C141" s="47">
        <v>17.0</v>
      </c>
      <c r="D141" s="47" t="s">
        <v>3</v>
      </c>
      <c r="E141" s="47" t="s">
        <v>4</v>
      </c>
      <c r="F141" s="47">
        <v>7.75</v>
      </c>
      <c r="M141" s="760"/>
      <c r="N141" s="760"/>
      <c r="O141" s="760"/>
    </row>
    <row r="142">
      <c r="A142" s="28">
        <v>43958.0</v>
      </c>
      <c r="B142" s="47">
        <v>7.3</v>
      </c>
      <c r="C142" s="47">
        <v>17.0</v>
      </c>
      <c r="D142" s="47" t="s">
        <v>3</v>
      </c>
      <c r="E142" s="47" t="s">
        <v>4</v>
      </c>
      <c r="F142" s="47">
        <v>7.75</v>
      </c>
      <c r="M142" s="760"/>
      <c r="N142" s="760"/>
      <c r="O142" s="760"/>
    </row>
    <row r="143">
      <c r="A143" s="28">
        <v>43959.0</v>
      </c>
      <c r="B143" s="43" t="s">
        <v>24</v>
      </c>
      <c r="E143" s="44" t="s">
        <v>3536</v>
      </c>
      <c r="F143" s="45">
        <v>4.0</v>
      </c>
      <c r="M143" s="760"/>
      <c r="N143" s="760"/>
      <c r="O143" s="760"/>
    </row>
    <row r="144">
      <c r="A144" s="3" t="s">
        <v>7</v>
      </c>
      <c r="B144" s="14"/>
      <c r="C144" s="14"/>
      <c r="D144" s="15"/>
      <c r="E144" s="6"/>
      <c r="F144" s="7">
        <f>F140+F141+F142+F143+F139</f>
        <v>35</v>
      </c>
      <c r="I144" s="804">
        <v>0.0</v>
      </c>
      <c r="M144" s="760"/>
      <c r="N144" s="760"/>
      <c r="O144" s="760"/>
    </row>
    <row r="145">
      <c r="A145" s="28">
        <v>43962.0</v>
      </c>
      <c r="B145" s="47">
        <v>7.3</v>
      </c>
      <c r="C145" s="47">
        <v>17.0</v>
      </c>
      <c r="D145" s="47" t="s">
        <v>3</v>
      </c>
      <c r="E145" s="47" t="s">
        <v>4</v>
      </c>
      <c r="F145" s="47">
        <v>7.75</v>
      </c>
      <c r="M145" s="760"/>
      <c r="N145" s="760"/>
      <c r="O145" s="760"/>
    </row>
    <row r="146">
      <c r="A146" s="28">
        <v>43963.0</v>
      </c>
      <c r="B146" s="47">
        <v>7.3</v>
      </c>
      <c r="C146" s="47">
        <v>17.0</v>
      </c>
      <c r="D146" s="47" t="s">
        <v>3</v>
      </c>
      <c r="E146" s="47" t="s">
        <v>4</v>
      </c>
      <c r="F146" s="47">
        <v>7.75</v>
      </c>
      <c r="M146" s="760"/>
      <c r="N146" s="760"/>
      <c r="O146" s="760"/>
    </row>
    <row r="147">
      <c r="A147" s="28">
        <v>43964.0</v>
      </c>
      <c r="B147" s="47">
        <v>7.3</v>
      </c>
      <c r="C147" s="47">
        <v>17.0</v>
      </c>
      <c r="D147" s="47" t="s">
        <v>3</v>
      </c>
      <c r="E147" s="47" t="s">
        <v>4</v>
      </c>
      <c r="F147" s="47">
        <v>7.75</v>
      </c>
      <c r="M147" s="760"/>
      <c r="N147" s="760"/>
      <c r="O147" s="760"/>
    </row>
    <row r="148">
      <c r="A148" s="28">
        <v>43965.0</v>
      </c>
      <c r="B148" s="47">
        <v>7.3</v>
      </c>
      <c r="C148" s="47">
        <v>17.0</v>
      </c>
      <c r="D148" s="47" t="s">
        <v>3</v>
      </c>
      <c r="E148" s="47" t="s">
        <v>4</v>
      </c>
      <c r="F148" s="47">
        <v>7.75</v>
      </c>
      <c r="M148" s="760"/>
      <c r="N148" s="760"/>
      <c r="O148" s="760"/>
    </row>
    <row r="149">
      <c r="A149" s="28">
        <v>43966.0</v>
      </c>
      <c r="B149" s="47">
        <v>7.3</v>
      </c>
      <c r="C149" s="47">
        <v>11.3</v>
      </c>
      <c r="E149" s="51" t="s">
        <v>3536</v>
      </c>
      <c r="F149" s="47">
        <v>4.0</v>
      </c>
      <c r="M149" s="760"/>
      <c r="N149" s="760"/>
      <c r="O149" s="760"/>
    </row>
    <row r="150">
      <c r="A150" s="3" t="s">
        <v>7</v>
      </c>
      <c r="B150" s="14"/>
      <c r="C150" s="14"/>
      <c r="D150" s="15"/>
      <c r="E150" s="6"/>
      <c r="F150" s="7">
        <f>F146+F147+F148+F149+F145</f>
        <v>35</v>
      </c>
      <c r="I150" s="804">
        <v>0.0</v>
      </c>
      <c r="M150" s="760"/>
      <c r="N150" s="760"/>
      <c r="O150" s="760"/>
    </row>
    <row r="151">
      <c r="A151" s="28">
        <v>43969.0</v>
      </c>
      <c r="B151" s="47">
        <v>7.3</v>
      </c>
      <c r="C151" s="47">
        <v>17.0</v>
      </c>
      <c r="D151" s="47" t="s">
        <v>3</v>
      </c>
      <c r="E151" s="47" t="s">
        <v>4</v>
      </c>
      <c r="F151" s="47">
        <v>7.75</v>
      </c>
      <c r="M151" s="760"/>
      <c r="N151" s="760"/>
      <c r="O151" s="760"/>
    </row>
    <row r="152">
      <c r="A152" s="28">
        <v>43970.0</v>
      </c>
      <c r="B152" s="47">
        <v>7.3</v>
      </c>
      <c r="C152" s="47">
        <v>17.0</v>
      </c>
      <c r="D152" s="47" t="s">
        <v>3</v>
      </c>
      <c r="E152" s="47" t="s">
        <v>4</v>
      </c>
      <c r="F152" s="47">
        <v>7.75</v>
      </c>
      <c r="M152" s="760"/>
      <c r="N152" s="760"/>
      <c r="O152" s="760"/>
    </row>
    <row r="153">
      <c r="A153" s="28">
        <v>43971.0</v>
      </c>
      <c r="B153" s="47">
        <v>7.3</v>
      </c>
      <c r="C153" s="47">
        <v>17.0</v>
      </c>
      <c r="D153" s="47" t="s">
        <v>3</v>
      </c>
      <c r="E153" s="47" t="s">
        <v>4</v>
      </c>
      <c r="F153" s="47">
        <v>7.75</v>
      </c>
      <c r="M153" s="760"/>
      <c r="N153" s="760"/>
      <c r="O153" s="760"/>
    </row>
    <row r="154">
      <c r="A154" s="28">
        <v>43972.0</v>
      </c>
      <c r="B154" s="43" t="s">
        <v>24</v>
      </c>
      <c r="E154" s="44" t="s">
        <v>4</v>
      </c>
      <c r="F154" s="45">
        <v>7.75</v>
      </c>
      <c r="M154" s="760"/>
      <c r="N154" s="760"/>
      <c r="O154" s="760"/>
    </row>
    <row r="155">
      <c r="A155" s="28">
        <v>43973.0</v>
      </c>
      <c r="B155" s="47">
        <v>7.3</v>
      </c>
      <c r="C155" s="47">
        <v>16.15</v>
      </c>
      <c r="D155" s="51" t="s">
        <v>3540</v>
      </c>
      <c r="E155" s="51" t="s">
        <v>3515</v>
      </c>
      <c r="F155" s="47">
        <v>7.0</v>
      </c>
      <c r="M155" s="760"/>
      <c r="N155" s="760"/>
      <c r="O155" s="760"/>
    </row>
    <row r="156">
      <c r="A156" s="3" t="s">
        <v>7</v>
      </c>
      <c r="B156" s="14"/>
      <c r="C156" s="14"/>
      <c r="D156" s="15"/>
      <c r="E156" s="6"/>
      <c r="F156" s="7">
        <f>F152+F153+F154+F155+F151</f>
        <v>38</v>
      </c>
      <c r="G156" s="18">
        <v>3.0</v>
      </c>
      <c r="I156" s="804">
        <v>3.0</v>
      </c>
      <c r="M156" s="760"/>
      <c r="N156" s="760"/>
      <c r="O156" s="760"/>
    </row>
    <row r="157">
      <c r="A157" s="28">
        <v>43976.0</v>
      </c>
      <c r="B157" s="47">
        <v>7.3</v>
      </c>
      <c r="C157" s="47">
        <v>17.0</v>
      </c>
      <c r="D157" s="47" t="s">
        <v>3</v>
      </c>
      <c r="E157" s="47" t="s">
        <v>4</v>
      </c>
      <c r="F157" s="47">
        <v>7.75</v>
      </c>
      <c r="M157" s="760"/>
      <c r="N157" s="760"/>
      <c r="O157" s="760"/>
    </row>
    <row r="158">
      <c r="A158" s="28">
        <v>43977.0</v>
      </c>
      <c r="B158" s="47">
        <v>7.3</v>
      </c>
      <c r="C158" s="47">
        <v>17.0</v>
      </c>
      <c r="D158" s="47" t="s">
        <v>3</v>
      </c>
      <c r="E158" s="47" t="s">
        <v>4</v>
      </c>
      <c r="F158" s="47">
        <v>7.75</v>
      </c>
      <c r="M158" s="760"/>
      <c r="N158" s="760"/>
      <c r="O158" s="760"/>
    </row>
    <row r="159">
      <c r="A159" s="28">
        <v>43978.0</v>
      </c>
      <c r="B159" s="47">
        <v>7.3</v>
      </c>
      <c r="C159" s="47">
        <v>17.0</v>
      </c>
      <c r="D159" s="47" t="s">
        <v>3</v>
      </c>
      <c r="E159" s="47" t="s">
        <v>4</v>
      </c>
      <c r="F159" s="47">
        <v>7.75</v>
      </c>
      <c r="M159" s="760"/>
      <c r="N159" s="760"/>
      <c r="O159" s="760"/>
    </row>
    <row r="160">
      <c r="A160" s="28">
        <v>43979.0</v>
      </c>
      <c r="B160" s="47">
        <v>7.3</v>
      </c>
      <c r="C160" s="47">
        <v>17.0</v>
      </c>
      <c r="D160" s="47" t="s">
        <v>3</v>
      </c>
      <c r="E160" s="47" t="s">
        <v>4</v>
      </c>
      <c r="F160" s="47">
        <v>7.75</v>
      </c>
      <c r="M160" s="760"/>
      <c r="N160" s="760"/>
      <c r="O160" s="760"/>
    </row>
    <row r="161">
      <c r="A161" s="28">
        <v>43980.0</v>
      </c>
      <c r="B161" s="47">
        <v>7.3</v>
      </c>
      <c r="C161" s="47">
        <v>11.3</v>
      </c>
      <c r="E161" s="51" t="s">
        <v>3536</v>
      </c>
      <c r="F161" s="47">
        <v>4.0</v>
      </c>
      <c r="M161" s="760"/>
      <c r="N161" s="760"/>
      <c r="O161" s="760"/>
    </row>
    <row r="162">
      <c r="A162" s="3" t="s">
        <v>7</v>
      </c>
      <c r="B162" s="14"/>
      <c r="C162" s="14"/>
      <c r="D162" s="15"/>
      <c r="E162" s="6"/>
      <c r="F162" s="7">
        <f>F158+F159+F160+F161+F157</f>
        <v>35</v>
      </c>
      <c r="I162" s="804">
        <v>0.0</v>
      </c>
      <c r="M162" s="9" t="s">
        <v>9</v>
      </c>
      <c r="N162" s="10" t="s">
        <v>10</v>
      </c>
      <c r="O162" s="10" t="s">
        <v>1</v>
      </c>
    </row>
    <row r="163">
      <c r="A163" s="13" t="s">
        <v>2</v>
      </c>
      <c r="B163" s="14"/>
      <c r="C163" s="14"/>
      <c r="D163" s="15"/>
      <c r="E163" s="16"/>
      <c r="F163" s="17">
        <f>F144+F150+F156+F162</f>
        <v>143</v>
      </c>
      <c r="G163" s="18">
        <v>3.0</v>
      </c>
      <c r="H163" s="19">
        <f>H148+H149</f>
        <v>0</v>
      </c>
      <c r="I163" s="806" t="s">
        <v>3747</v>
      </c>
      <c r="J163" s="21" t="s">
        <v>3748</v>
      </c>
      <c r="K163" s="22" t="s">
        <v>3749</v>
      </c>
      <c r="L163" s="23" t="s">
        <v>14</v>
      </c>
      <c r="M163" s="466">
        <v>1639.93</v>
      </c>
      <c r="N163" s="466">
        <v>1185.01</v>
      </c>
      <c r="O163" s="466">
        <v>1342.89</v>
      </c>
    </row>
    <row r="164">
      <c r="A164" s="728" t="s">
        <v>243</v>
      </c>
      <c r="B164" s="728" t="s">
        <v>3445</v>
      </c>
      <c r="C164" s="728" t="s">
        <v>3446</v>
      </c>
      <c r="D164" s="728" t="s">
        <v>3447</v>
      </c>
      <c r="E164" s="728" t="s">
        <v>3448</v>
      </c>
      <c r="F164" s="729" t="s">
        <v>3449</v>
      </c>
      <c r="G164" s="730" t="s">
        <v>3450</v>
      </c>
      <c r="H164" s="731" t="s">
        <v>3451</v>
      </c>
      <c r="I164" s="732" t="s">
        <v>3452</v>
      </c>
      <c r="J164" s="733" t="s">
        <v>50</v>
      </c>
      <c r="K164" s="734" t="s">
        <v>3671</v>
      </c>
      <c r="M164" s="760"/>
      <c r="N164" s="760"/>
      <c r="O164" s="760"/>
    </row>
    <row r="165">
      <c r="A165" s="28">
        <v>43983.0</v>
      </c>
      <c r="B165" s="47">
        <v>7.3</v>
      </c>
      <c r="C165" s="47">
        <v>16.15</v>
      </c>
      <c r="D165" s="51" t="s">
        <v>3540</v>
      </c>
      <c r="E165" s="51" t="s">
        <v>3515</v>
      </c>
      <c r="F165" s="47">
        <v>7.0</v>
      </c>
      <c r="H165" s="807"/>
      <c r="I165" s="47"/>
      <c r="J165" s="808" t="s">
        <v>3470</v>
      </c>
      <c r="M165" s="760"/>
      <c r="N165" s="760"/>
      <c r="O165" s="760"/>
    </row>
    <row r="166">
      <c r="A166" s="28">
        <v>43984.0</v>
      </c>
      <c r="B166" s="47">
        <v>7.3</v>
      </c>
      <c r="C166" s="47">
        <v>17.0</v>
      </c>
      <c r="D166" s="47" t="s">
        <v>3</v>
      </c>
      <c r="E166" s="47" t="s">
        <v>4</v>
      </c>
      <c r="F166" s="47">
        <v>7.75</v>
      </c>
      <c r="M166" s="760"/>
      <c r="N166" s="760"/>
      <c r="O166" s="760"/>
    </row>
    <row r="167">
      <c r="A167" s="28">
        <v>43985.0</v>
      </c>
      <c r="B167" s="47">
        <v>7.3</v>
      </c>
      <c r="C167" s="47">
        <v>17.0</v>
      </c>
      <c r="D167" s="47" t="s">
        <v>3</v>
      </c>
      <c r="E167" s="47" t="s">
        <v>4</v>
      </c>
      <c r="F167" s="47">
        <v>7.75</v>
      </c>
      <c r="M167" s="760"/>
      <c r="N167" s="760"/>
      <c r="O167" s="760"/>
    </row>
    <row r="168">
      <c r="A168" s="28">
        <v>43986.0</v>
      </c>
      <c r="B168" s="47">
        <v>7.3</v>
      </c>
      <c r="C168" s="47">
        <v>17.0</v>
      </c>
      <c r="D168" s="47" t="s">
        <v>3</v>
      </c>
      <c r="E168" s="47" t="s">
        <v>4</v>
      </c>
      <c r="F168" s="47">
        <v>7.75</v>
      </c>
      <c r="M168" s="760"/>
      <c r="N168" s="760"/>
      <c r="O168" s="760"/>
    </row>
    <row r="169">
      <c r="A169" s="28">
        <v>43987.0</v>
      </c>
      <c r="B169" s="47">
        <v>7.3</v>
      </c>
      <c r="C169" s="47">
        <v>16.15</v>
      </c>
      <c r="D169" s="51" t="s">
        <v>3540</v>
      </c>
      <c r="E169" s="51" t="s">
        <v>3515</v>
      </c>
      <c r="F169" s="47">
        <v>7.0</v>
      </c>
      <c r="G169" s="41">
        <v>3.0</v>
      </c>
      <c r="M169" s="760"/>
      <c r="N169" s="760"/>
      <c r="O169" s="760"/>
    </row>
    <row r="170">
      <c r="A170" s="3" t="s">
        <v>7</v>
      </c>
      <c r="B170" s="14"/>
      <c r="C170" s="14"/>
      <c r="D170" s="15"/>
      <c r="E170" s="6"/>
      <c r="F170" s="7">
        <f>F166+F167+F168+F169+F165</f>
        <v>37.25</v>
      </c>
      <c r="I170" s="804">
        <v>2.25</v>
      </c>
      <c r="J170" s="650" t="s">
        <v>3750</v>
      </c>
      <c r="M170" s="760"/>
      <c r="N170" s="760"/>
      <c r="O170" s="760"/>
    </row>
    <row r="171">
      <c r="A171" s="28">
        <v>43990.0</v>
      </c>
      <c r="B171" s="47">
        <v>7.3</v>
      </c>
      <c r="C171" s="47">
        <v>17.0</v>
      </c>
      <c r="D171" s="47" t="s">
        <v>3</v>
      </c>
      <c r="E171" s="47" t="s">
        <v>4</v>
      </c>
      <c r="F171" s="47">
        <v>7.75</v>
      </c>
      <c r="M171" s="760"/>
      <c r="N171" s="760"/>
      <c r="O171" s="760"/>
    </row>
    <row r="172">
      <c r="A172" s="28">
        <v>43991.0</v>
      </c>
      <c r="B172" s="47">
        <v>7.3</v>
      </c>
      <c r="C172" s="47">
        <v>17.0</v>
      </c>
      <c r="D172" s="47" t="s">
        <v>3</v>
      </c>
      <c r="E172" s="47" t="s">
        <v>4</v>
      </c>
      <c r="F172" s="47">
        <v>7.75</v>
      </c>
      <c r="M172" s="760"/>
      <c r="N172" s="760"/>
      <c r="O172" s="760"/>
    </row>
    <row r="173">
      <c r="A173" s="28">
        <v>43992.0</v>
      </c>
      <c r="B173" s="47">
        <v>7.3</v>
      </c>
      <c r="C173" s="47">
        <v>17.0</v>
      </c>
      <c r="D173" s="47" t="s">
        <v>3</v>
      </c>
      <c r="E173" s="47" t="s">
        <v>4</v>
      </c>
      <c r="F173" s="47">
        <v>7.75</v>
      </c>
      <c r="M173" s="760"/>
      <c r="N173" s="760"/>
      <c r="O173" s="760"/>
    </row>
    <row r="174">
      <c r="A174" s="28">
        <v>43993.0</v>
      </c>
      <c r="B174" s="47">
        <v>7.3</v>
      </c>
      <c r="C174" s="47">
        <v>17.0</v>
      </c>
      <c r="D174" s="47" t="s">
        <v>3</v>
      </c>
      <c r="E174" s="47" t="s">
        <v>4</v>
      </c>
      <c r="F174" s="47">
        <v>7.75</v>
      </c>
      <c r="M174" s="760"/>
      <c r="N174" s="760"/>
      <c r="O174" s="760"/>
    </row>
    <row r="175">
      <c r="A175" s="28">
        <v>43994.0</v>
      </c>
      <c r="B175" s="47">
        <v>7.3</v>
      </c>
      <c r="C175" s="47">
        <v>16.15</v>
      </c>
      <c r="D175" s="51" t="s">
        <v>3540</v>
      </c>
      <c r="E175" s="51" t="s">
        <v>3515</v>
      </c>
      <c r="F175" s="47">
        <v>7.0</v>
      </c>
      <c r="G175" s="41">
        <v>3.0</v>
      </c>
      <c r="M175" s="760"/>
      <c r="N175" s="760"/>
      <c r="O175" s="760"/>
    </row>
    <row r="176">
      <c r="A176" s="3" t="s">
        <v>7</v>
      </c>
      <c r="B176" s="14"/>
      <c r="C176" s="14"/>
      <c r="D176" s="15"/>
      <c r="E176" s="6"/>
      <c r="F176" s="7">
        <f>F172+F173+F174+F175+F171</f>
        <v>38</v>
      </c>
      <c r="I176" s="804">
        <v>3.0</v>
      </c>
      <c r="M176" s="760"/>
      <c r="N176" s="760"/>
      <c r="O176" s="760"/>
    </row>
    <row r="177">
      <c r="A177" s="28">
        <v>43997.0</v>
      </c>
      <c r="B177" s="47">
        <v>7.3</v>
      </c>
      <c r="C177" s="47">
        <v>17.0</v>
      </c>
      <c r="D177" s="47" t="s">
        <v>3</v>
      </c>
      <c r="E177" s="47" t="s">
        <v>4</v>
      </c>
      <c r="F177" s="47">
        <v>7.75</v>
      </c>
      <c r="M177" s="760"/>
      <c r="N177" s="760"/>
      <c r="O177" s="760"/>
    </row>
    <row r="178">
      <c r="A178" s="28">
        <v>43998.0</v>
      </c>
      <c r="B178" s="47">
        <v>7.3</v>
      </c>
      <c r="C178" s="47">
        <v>17.0</v>
      </c>
      <c r="D178" s="47" t="s">
        <v>3</v>
      </c>
      <c r="E178" s="47" t="s">
        <v>4</v>
      </c>
      <c r="F178" s="47">
        <v>7.75</v>
      </c>
      <c r="M178" s="760"/>
      <c r="N178" s="760"/>
      <c r="O178" s="760"/>
    </row>
    <row r="179">
      <c r="A179" s="28">
        <v>43999.0</v>
      </c>
      <c r="B179" s="47">
        <v>7.3</v>
      </c>
      <c r="C179" s="47">
        <v>17.0</v>
      </c>
      <c r="D179" s="47" t="s">
        <v>3</v>
      </c>
      <c r="E179" s="47" t="s">
        <v>4</v>
      </c>
      <c r="F179" s="47">
        <v>7.75</v>
      </c>
      <c r="M179" s="760"/>
      <c r="N179" s="760"/>
      <c r="O179" s="760"/>
    </row>
    <row r="180">
      <c r="A180" s="28">
        <v>44000.0</v>
      </c>
      <c r="B180" s="47">
        <v>7.3</v>
      </c>
      <c r="C180" s="47">
        <v>17.0</v>
      </c>
      <c r="D180" s="47" t="s">
        <v>3</v>
      </c>
      <c r="E180" s="47" t="s">
        <v>4</v>
      </c>
      <c r="F180" s="47">
        <v>7.75</v>
      </c>
      <c r="M180" s="760"/>
      <c r="N180" s="760"/>
      <c r="O180" s="760"/>
    </row>
    <row r="181">
      <c r="A181" s="28">
        <v>44001.0</v>
      </c>
      <c r="B181" s="47">
        <v>7.3</v>
      </c>
      <c r="C181" s="47">
        <v>16.15</v>
      </c>
      <c r="D181" s="51" t="s">
        <v>3540</v>
      </c>
      <c r="E181" s="51" t="s">
        <v>3515</v>
      </c>
      <c r="F181" s="47">
        <v>7.0</v>
      </c>
      <c r="G181" s="41">
        <v>3.0</v>
      </c>
      <c r="M181" s="760"/>
      <c r="N181" s="760"/>
      <c r="O181" s="760"/>
    </row>
    <row r="182">
      <c r="A182" s="3" t="s">
        <v>7</v>
      </c>
      <c r="B182" s="14"/>
      <c r="C182" s="14"/>
      <c r="D182" s="15"/>
      <c r="E182" s="6"/>
      <c r="F182" s="7">
        <f>F178+F179+F180+F181+F177</f>
        <v>38</v>
      </c>
      <c r="I182" s="804">
        <v>3.0</v>
      </c>
      <c r="M182" s="760"/>
      <c r="N182" s="760"/>
      <c r="O182" s="760"/>
    </row>
    <row r="183">
      <c r="A183" s="28">
        <v>44004.0</v>
      </c>
      <c r="B183" s="47">
        <v>7.3</v>
      </c>
      <c r="C183" s="47">
        <v>17.0</v>
      </c>
      <c r="D183" s="47" t="s">
        <v>3</v>
      </c>
      <c r="E183" s="47" t="s">
        <v>4</v>
      </c>
      <c r="F183" s="47">
        <v>7.75</v>
      </c>
      <c r="M183" s="760"/>
      <c r="N183" s="760"/>
      <c r="O183" s="760"/>
    </row>
    <row r="184">
      <c r="A184" s="28">
        <v>44005.0</v>
      </c>
      <c r="B184" s="47">
        <v>7.3</v>
      </c>
      <c r="C184" s="47">
        <v>17.0</v>
      </c>
      <c r="D184" s="47" t="s">
        <v>3</v>
      </c>
      <c r="E184" s="47" t="s">
        <v>4</v>
      </c>
      <c r="F184" s="47">
        <v>7.75</v>
      </c>
      <c r="M184" s="760"/>
      <c r="N184" s="760"/>
      <c r="O184" s="760"/>
    </row>
    <row r="185">
      <c r="A185" s="28">
        <v>44006.0</v>
      </c>
      <c r="B185" s="47">
        <v>7.3</v>
      </c>
      <c r="C185" s="47">
        <v>17.0</v>
      </c>
      <c r="D185" s="47" t="s">
        <v>3</v>
      </c>
      <c r="E185" s="47" t="s">
        <v>4</v>
      </c>
      <c r="F185" s="47">
        <v>7.75</v>
      </c>
      <c r="M185" s="760"/>
      <c r="N185" s="760"/>
      <c r="O185" s="760"/>
    </row>
    <row r="186">
      <c r="A186" s="28">
        <v>44007.0</v>
      </c>
      <c r="B186" s="47">
        <v>7.3</v>
      </c>
      <c r="C186" s="47">
        <v>17.0</v>
      </c>
      <c r="D186" s="47" t="s">
        <v>3</v>
      </c>
      <c r="E186" s="47" t="s">
        <v>4</v>
      </c>
      <c r="F186" s="47">
        <v>7.75</v>
      </c>
      <c r="M186" s="760"/>
      <c r="N186" s="760"/>
      <c r="O186" s="760"/>
    </row>
    <row r="187">
      <c r="A187" s="28">
        <v>44008.0</v>
      </c>
      <c r="B187" s="47">
        <v>7.3</v>
      </c>
      <c r="C187" s="47">
        <v>16.15</v>
      </c>
      <c r="D187" s="51" t="s">
        <v>3540</v>
      </c>
      <c r="E187" s="51" t="s">
        <v>3515</v>
      </c>
      <c r="F187" s="47">
        <v>7.0</v>
      </c>
      <c r="G187" s="41">
        <v>3.0</v>
      </c>
      <c r="M187" s="760"/>
      <c r="N187" s="760"/>
      <c r="O187" s="760"/>
    </row>
    <row r="188">
      <c r="A188" s="3" t="s">
        <v>7</v>
      </c>
      <c r="B188" s="14"/>
      <c r="C188" s="14"/>
      <c r="D188" s="15"/>
      <c r="E188" s="6"/>
      <c r="F188" s="7">
        <f>F184+F185+F186+F187+F183</f>
        <v>38</v>
      </c>
      <c r="I188" s="804">
        <v>3.0</v>
      </c>
      <c r="M188" s="760"/>
      <c r="N188" s="760"/>
      <c r="O188" s="760"/>
    </row>
    <row r="189">
      <c r="A189" s="28">
        <v>44011.0</v>
      </c>
      <c r="B189" s="47">
        <v>7.3</v>
      </c>
      <c r="C189" s="47">
        <v>17.0</v>
      </c>
      <c r="D189" s="47" t="s">
        <v>3</v>
      </c>
      <c r="E189" s="47" t="s">
        <v>4</v>
      </c>
      <c r="F189" s="47">
        <v>7.75</v>
      </c>
      <c r="M189" s="760"/>
      <c r="N189" s="760"/>
      <c r="O189" s="760"/>
    </row>
    <row r="190">
      <c r="A190" s="28">
        <v>44012.0</v>
      </c>
      <c r="B190" s="47">
        <v>7.3</v>
      </c>
      <c r="C190" s="47">
        <v>17.0</v>
      </c>
      <c r="D190" s="47" t="s">
        <v>3</v>
      </c>
      <c r="E190" s="47" t="s">
        <v>4</v>
      </c>
      <c r="F190" s="47">
        <v>7.75</v>
      </c>
      <c r="M190" s="760"/>
      <c r="N190" s="760"/>
      <c r="O190" s="760"/>
    </row>
    <row r="191">
      <c r="A191" s="3" t="s">
        <v>7</v>
      </c>
      <c r="B191" s="14"/>
      <c r="C191" s="14"/>
      <c r="D191" s="15"/>
      <c r="E191" s="6"/>
      <c r="F191" s="7">
        <f>F189+F190</f>
        <v>15.5</v>
      </c>
      <c r="I191" s="804">
        <v>0.0</v>
      </c>
      <c r="M191" s="9" t="s">
        <v>9</v>
      </c>
      <c r="N191" s="10" t="s">
        <v>10</v>
      </c>
      <c r="O191" s="10" t="s">
        <v>1</v>
      </c>
    </row>
    <row r="192">
      <c r="A192" s="13" t="s">
        <v>2</v>
      </c>
      <c r="B192" s="14"/>
      <c r="C192" s="14"/>
      <c r="D192" s="15"/>
      <c r="E192" s="16"/>
      <c r="F192" s="17">
        <f>F170+F176+F182+F188+F191</f>
        <v>166.75</v>
      </c>
      <c r="G192" s="18">
        <f>I170+I176+I182+I188+I191</f>
        <v>11.25</v>
      </c>
      <c r="H192" s="19">
        <f>H177+H178</f>
        <v>0</v>
      </c>
      <c r="I192" s="20">
        <f>I170+I176+I182+I188+I191</f>
        <v>11.25</v>
      </c>
      <c r="J192" s="21" t="s">
        <v>3751</v>
      </c>
      <c r="K192" s="22" t="s">
        <v>3752</v>
      </c>
      <c r="L192" s="23" t="s">
        <v>14</v>
      </c>
      <c r="M192" s="500">
        <v>1569.9</v>
      </c>
      <c r="N192" s="466">
        <v>1077.17</v>
      </c>
      <c r="O192" s="466">
        <v>1285.55</v>
      </c>
    </row>
    <row r="193">
      <c r="A193" s="728" t="s">
        <v>243</v>
      </c>
      <c r="B193" s="728" t="s">
        <v>3445</v>
      </c>
      <c r="C193" s="728" t="s">
        <v>3446</v>
      </c>
      <c r="D193" s="728" t="s">
        <v>3447</v>
      </c>
      <c r="E193" s="728" t="s">
        <v>3448</v>
      </c>
      <c r="F193" s="729" t="s">
        <v>3449</v>
      </c>
      <c r="G193" s="730" t="s">
        <v>3450</v>
      </c>
      <c r="H193" s="731" t="s">
        <v>3451</v>
      </c>
      <c r="I193" s="732" t="s">
        <v>3452</v>
      </c>
      <c r="J193" s="733" t="s">
        <v>50</v>
      </c>
      <c r="K193" s="734" t="s">
        <v>3671</v>
      </c>
      <c r="M193" s="760"/>
      <c r="N193" s="760"/>
      <c r="O193" s="760"/>
    </row>
    <row r="194">
      <c r="A194" s="28">
        <v>44013.0</v>
      </c>
      <c r="B194" s="47">
        <v>7.3</v>
      </c>
      <c r="C194" s="47">
        <v>17.0</v>
      </c>
      <c r="D194" s="47" t="s">
        <v>3</v>
      </c>
      <c r="E194" s="47" t="s">
        <v>4</v>
      </c>
      <c r="F194" s="47">
        <v>7.75</v>
      </c>
      <c r="M194" s="760"/>
      <c r="N194" s="760"/>
      <c r="O194" s="760"/>
    </row>
    <row r="195">
      <c r="A195" s="28">
        <v>44014.0</v>
      </c>
      <c r="B195" s="47">
        <v>7.3</v>
      </c>
      <c r="C195" s="47">
        <v>17.0</v>
      </c>
      <c r="D195" s="47" t="s">
        <v>3</v>
      </c>
      <c r="E195" s="47" t="s">
        <v>4</v>
      </c>
      <c r="F195" s="47">
        <v>7.75</v>
      </c>
      <c r="M195" s="760"/>
      <c r="N195" s="760"/>
      <c r="O195" s="760"/>
    </row>
    <row r="196">
      <c r="A196" s="28">
        <v>44015.0</v>
      </c>
      <c r="B196" s="47">
        <v>7.3</v>
      </c>
      <c r="C196" s="47">
        <v>16.15</v>
      </c>
      <c r="D196" s="51" t="s">
        <v>3540</v>
      </c>
      <c r="E196" s="51" t="s">
        <v>3515</v>
      </c>
      <c r="F196" s="47">
        <v>7.0</v>
      </c>
      <c r="G196" s="41">
        <v>3.0</v>
      </c>
      <c r="M196" s="760"/>
      <c r="N196" s="760"/>
      <c r="O196" s="760"/>
    </row>
    <row r="197">
      <c r="A197" s="3" t="s">
        <v>7</v>
      </c>
      <c r="B197" s="14"/>
      <c r="C197" s="14"/>
      <c r="D197" s="15"/>
      <c r="E197" s="6"/>
      <c r="F197" s="7"/>
      <c r="I197" s="804">
        <v>3.0</v>
      </c>
      <c r="M197" s="760"/>
      <c r="N197" s="760"/>
      <c r="O197" s="760"/>
    </row>
    <row r="198">
      <c r="A198" s="28">
        <v>44018.0</v>
      </c>
      <c r="B198" s="47">
        <v>7.3</v>
      </c>
      <c r="C198" s="47">
        <v>17.0</v>
      </c>
      <c r="D198" s="47" t="s">
        <v>3</v>
      </c>
      <c r="E198" s="47" t="s">
        <v>4</v>
      </c>
      <c r="F198" s="47">
        <v>7.75</v>
      </c>
      <c r="M198" s="760"/>
      <c r="N198" s="760"/>
      <c r="O198" s="760"/>
    </row>
    <row r="199">
      <c r="A199" s="28">
        <v>44019.0</v>
      </c>
      <c r="B199" s="47">
        <v>7.3</v>
      </c>
      <c r="C199" s="47">
        <v>17.0</v>
      </c>
      <c r="D199" s="47" t="s">
        <v>3</v>
      </c>
      <c r="E199" s="47" t="s">
        <v>4</v>
      </c>
      <c r="F199" s="47">
        <v>7.75</v>
      </c>
      <c r="M199" s="760"/>
      <c r="N199" s="760"/>
      <c r="O199" s="760"/>
    </row>
    <row r="200">
      <c r="A200" s="28">
        <v>44020.0</v>
      </c>
      <c r="B200" s="47">
        <v>7.3</v>
      </c>
      <c r="C200" s="47">
        <v>17.0</v>
      </c>
      <c r="D200" s="47" t="s">
        <v>3</v>
      </c>
      <c r="E200" s="47" t="s">
        <v>4</v>
      </c>
      <c r="F200" s="47">
        <v>7.75</v>
      </c>
      <c r="M200" s="760"/>
      <c r="N200" s="760"/>
      <c r="O200" s="760"/>
    </row>
    <row r="201">
      <c r="A201" s="28">
        <v>44021.0</v>
      </c>
      <c r="B201" s="47">
        <v>7.3</v>
      </c>
      <c r="C201" s="47">
        <v>17.0</v>
      </c>
      <c r="D201" s="47" t="s">
        <v>3</v>
      </c>
      <c r="E201" s="47" t="s">
        <v>4</v>
      </c>
      <c r="F201" s="47">
        <v>7.75</v>
      </c>
      <c r="M201" s="760"/>
      <c r="N201" s="760"/>
      <c r="O201" s="760"/>
    </row>
    <row r="202">
      <c r="A202" s="28">
        <v>44022.0</v>
      </c>
      <c r="B202" s="47">
        <v>7.3</v>
      </c>
      <c r="C202" s="47">
        <v>16.15</v>
      </c>
      <c r="D202" s="51" t="s">
        <v>3540</v>
      </c>
      <c r="E202" s="51" t="s">
        <v>3515</v>
      </c>
      <c r="F202" s="47">
        <v>7.0</v>
      </c>
      <c r="G202" s="41">
        <v>3.0</v>
      </c>
      <c r="M202" s="760"/>
      <c r="N202" s="760"/>
      <c r="O202" s="760"/>
    </row>
    <row r="203">
      <c r="A203" s="3" t="s">
        <v>7</v>
      </c>
      <c r="B203" s="14"/>
      <c r="C203" s="14"/>
      <c r="D203" s="15"/>
      <c r="E203" s="6"/>
      <c r="F203" s="7">
        <f>F199+F200+F201+F202+F198</f>
        <v>38</v>
      </c>
      <c r="I203" s="804">
        <v>3.0</v>
      </c>
      <c r="M203" s="760"/>
      <c r="N203" s="760"/>
      <c r="O203" s="760"/>
    </row>
    <row r="204">
      <c r="A204" s="28">
        <v>44025.0</v>
      </c>
      <c r="B204" s="47">
        <v>7.3</v>
      </c>
      <c r="C204" s="47">
        <v>17.0</v>
      </c>
      <c r="D204" s="47" t="s">
        <v>3</v>
      </c>
      <c r="E204" s="47" t="s">
        <v>4</v>
      </c>
      <c r="F204" s="47">
        <v>7.75</v>
      </c>
      <c r="M204" s="760"/>
      <c r="N204" s="760"/>
      <c r="O204" s="760"/>
    </row>
    <row r="205">
      <c r="A205" s="28">
        <v>44026.0</v>
      </c>
      <c r="B205" s="43" t="s">
        <v>24</v>
      </c>
      <c r="E205" s="44" t="s">
        <v>4</v>
      </c>
      <c r="F205" s="45">
        <v>7.75</v>
      </c>
      <c r="M205" s="760"/>
      <c r="N205" s="760"/>
      <c r="O205" s="760"/>
    </row>
    <row r="206">
      <c r="A206" s="28">
        <v>44027.0</v>
      </c>
      <c r="B206" s="47">
        <v>7.3</v>
      </c>
      <c r="C206" s="47">
        <v>17.0</v>
      </c>
      <c r="D206" s="47" t="s">
        <v>3</v>
      </c>
      <c r="E206" s="47" t="s">
        <v>4</v>
      </c>
      <c r="F206" s="47">
        <v>7.75</v>
      </c>
      <c r="M206" s="760"/>
      <c r="N206" s="760"/>
      <c r="O206" s="760"/>
    </row>
    <row r="207">
      <c r="A207" s="28">
        <v>44028.0</v>
      </c>
      <c r="B207" s="47">
        <v>7.3</v>
      </c>
      <c r="C207" s="47">
        <v>17.0</v>
      </c>
      <c r="D207" s="47" t="s">
        <v>3</v>
      </c>
      <c r="E207" s="47" t="s">
        <v>4</v>
      </c>
      <c r="F207" s="47">
        <v>7.75</v>
      </c>
      <c r="M207" s="760"/>
      <c r="N207" s="760"/>
      <c r="O207" s="760"/>
    </row>
    <row r="208">
      <c r="A208" s="28">
        <v>44029.0</v>
      </c>
      <c r="B208" s="47">
        <v>7.3</v>
      </c>
      <c r="C208" s="47">
        <v>16.15</v>
      </c>
      <c r="D208" s="51" t="s">
        <v>3540</v>
      </c>
      <c r="E208" s="51" t="s">
        <v>3515</v>
      </c>
      <c r="F208" s="47">
        <v>7.0</v>
      </c>
      <c r="G208" s="41">
        <v>3.0</v>
      </c>
      <c r="M208" s="760"/>
      <c r="N208" s="760"/>
      <c r="O208" s="760"/>
    </row>
    <row r="209">
      <c r="A209" s="3" t="s">
        <v>7</v>
      </c>
      <c r="B209" s="14"/>
      <c r="C209" s="14"/>
      <c r="D209" s="15"/>
      <c r="E209" s="6"/>
      <c r="F209" s="7">
        <f>F205+F206+F207+F208+F204</f>
        <v>38</v>
      </c>
      <c r="I209" s="804">
        <v>3.0</v>
      </c>
      <c r="M209" s="760"/>
      <c r="N209" s="760"/>
      <c r="O209" s="760"/>
    </row>
    <row r="210">
      <c r="A210" s="28">
        <v>44032.0</v>
      </c>
      <c r="B210" s="47">
        <v>7.3</v>
      </c>
      <c r="C210" s="47">
        <v>17.0</v>
      </c>
      <c r="D210" s="47" t="s">
        <v>3</v>
      </c>
      <c r="E210" s="47" t="s">
        <v>4</v>
      </c>
      <c r="F210" s="47">
        <v>7.75</v>
      </c>
      <c r="M210" s="760"/>
      <c r="N210" s="760"/>
      <c r="O210" s="760"/>
    </row>
    <row r="211">
      <c r="A211" s="28">
        <v>44033.0</v>
      </c>
      <c r="B211" s="47">
        <v>7.3</v>
      </c>
      <c r="C211" s="47">
        <v>17.0</v>
      </c>
      <c r="D211" s="47" t="s">
        <v>3</v>
      </c>
      <c r="E211" s="47" t="s">
        <v>4</v>
      </c>
      <c r="F211" s="47">
        <v>7.75</v>
      </c>
      <c r="M211" s="760"/>
      <c r="N211" s="760"/>
      <c r="O211" s="760"/>
    </row>
    <row r="212">
      <c r="A212" s="28">
        <v>44034.0</v>
      </c>
      <c r="B212" s="47">
        <v>7.3</v>
      </c>
      <c r="C212" s="47">
        <v>17.0</v>
      </c>
      <c r="D212" s="47" t="s">
        <v>3</v>
      </c>
      <c r="E212" s="47" t="s">
        <v>4</v>
      </c>
      <c r="F212" s="47">
        <v>7.75</v>
      </c>
      <c r="M212" s="760"/>
      <c r="N212" s="760"/>
      <c r="O212" s="760"/>
    </row>
    <row r="213">
      <c r="A213" s="28">
        <v>44035.0</v>
      </c>
      <c r="B213" s="47">
        <v>7.3</v>
      </c>
      <c r="C213" s="47">
        <v>17.0</v>
      </c>
      <c r="D213" s="47" t="s">
        <v>3</v>
      </c>
      <c r="E213" s="47" t="s">
        <v>4</v>
      </c>
      <c r="F213" s="47">
        <v>7.75</v>
      </c>
      <c r="M213" s="760"/>
      <c r="N213" s="760"/>
      <c r="O213" s="760"/>
    </row>
    <row r="214">
      <c r="A214" s="28">
        <v>44036.0</v>
      </c>
      <c r="B214" s="47">
        <v>7.3</v>
      </c>
      <c r="C214" s="47">
        <v>16.15</v>
      </c>
      <c r="D214" s="51" t="s">
        <v>3540</v>
      </c>
      <c r="E214" s="51" t="s">
        <v>3515</v>
      </c>
      <c r="F214" s="47">
        <v>7.0</v>
      </c>
      <c r="G214" s="41">
        <v>3.0</v>
      </c>
      <c r="M214" s="760"/>
      <c r="N214" s="760"/>
      <c r="O214" s="760"/>
    </row>
    <row r="215">
      <c r="A215" s="3" t="s">
        <v>7</v>
      </c>
      <c r="B215" s="14"/>
      <c r="C215" s="14"/>
      <c r="D215" s="15"/>
      <c r="E215" s="6"/>
      <c r="F215" s="7">
        <f>F211+F212+F213+F214+F210</f>
        <v>38</v>
      </c>
      <c r="I215" s="804">
        <v>3.0</v>
      </c>
      <c r="M215" s="760"/>
      <c r="N215" s="760"/>
      <c r="O215" s="760"/>
    </row>
    <row r="216">
      <c r="A216" s="28">
        <v>44039.0</v>
      </c>
      <c r="B216" s="749">
        <v>7.3</v>
      </c>
      <c r="C216" s="749">
        <v>17.0</v>
      </c>
      <c r="D216" s="752" t="s">
        <v>3</v>
      </c>
      <c r="E216" s="752" t="s">
        <v>4</v>
      </c>
      <c r="F216" s="749">
        <v>7.75</v>
      </c>
      <c r="G216" s="32"/>
      <c r="M216" s="760"/>
      <c r="N216" s="760"/>
      <c r="O216" s="760"/>
    </row>
    <row r="217">
      <c r="A217" s="28">
        <v>44040.0</v>
      </c>
      <c r="B217" s="29">
        <v>7.3</v>
      </c>
      <c r="C217" s="29">
        <v>17.0</v>
      </c>
      <c r="D217" s="30" t="s">
        <v>3</v>
      </c>
      <c r="E217" s="30" t="s">
        <v>4</v>
      </c>
      <c r="F217" s="29">
        <v>7.75</v>
      </c>
      <c r="G217" s="32"/>
      <c r="M217" s="760"/>
      <c r="N217" s="760"/>
      <c r="O217" s="760"/>
    </row>
    <row r="218">
      <c r="A218" s="28">
        <v>44041.0</v>
      </c>
      <c r="B218" s="29">
        <v>7.3</v>
      </c>
      <c r="C218" s="29">
        <v>17.0</v>
      </c>
      <c r="D218" s="30" t="s">
        <v>3</v>
      </c>
      <c r="E218" s="30" t="s">
        <v>4</v>
      </c>
      <c r="F218" s="29">
        <v>7.75</v>
      </c>
      <c r="G218" s="32"/>
      <c r="M218" s="760"/>
      <c r="N218" s="760"/>
      <c r="O218" s="760"/>
    </row>
    <row r="219">
      <c r="A219" s="28">
        <v>44042.0</v>
      </c>
      <c r="B219" s="29">
        <v>7.3</v>
      </c>
      <c r="C219" s="29">
        <v>17.0</v>
      </c>
      <c r="D219" s="30" t="s">
        <v>3</v>
      </c>
      <c r="E219" s="30" t="s">
        <v>4</v>
      </c>
      <c r="F219" s="29">
        <v>7.75</v>
      </c>
      <c r="G219" s="32"/>
      <c r="M219" s="760"/>
      <c r="N219" s="760"/>
      <c r="O219" s="760"/>
    </row>
    <row r="220">
      <c r="A220" s="28">
        <v>44043.0</v>
      </c>
      <c r="B220" s="756">
        <v>7.3</v>
      </c>
      <c r="C220" s="756">
        <v>16.15</v>
      </c>
      <c r="D220" s="757" t="s">
        <v>3540</v>
      </c>
      <c r="E220" s="757" t="s">
        <v>3515</v>
      </c>
      <c r="F220" s="756">
        <v>7.0</v>
      </c>
      <c r="G220" s="758">
        <v>3.0</v>
      </c>
      <c r="M220" s="760"/>
      <c r="N220" s="760"/>
      <c r="O220" s="760"/>
    </row>
    <row r="221">
      <c r="A221" s="3" t="s">
        <v>7</v>
      </c>
      <c r="B221" s="14"/>
      <c r="C221" s="14"/>
      <c r="D221" s="15"/>
      <c r="E221" s="6"/>
      <c r="F221" s="7">
        <f>F217+F218+F219+F220+F216</f>
        <v>38</v>
      </c>
      <c r="I221" s="804">
        <v>3.0</v>
      </c>
      <c r="M221" s="9" t="s">
        <v>9</v>
      </c>
      <c r="N221" s="10" t="s">
        <v>10</v>
      </c>
      <c r="O221" s="10" t="s">
        <v>1</v>
      </c>
    </row>
    <row r="222">
      <c r="A222" s="13" t="s">
        <v>2</v>
      </c>
      <c r="B222" s="14"/>
      <c r="C222" s="14"/>
      <c r="D222" s="15"/>
      <c r="E222" s="16"/>
      <c r="F222" s="17">
        <f>F203+F209+F215+F221</f>
        <v>152</v>
      </c>
      <c r="G222" s="18">
        <f>G196+G202+G208+G214+G220</f>
        <v>15</v>
      </c>
      <c r="H222" s="19">
        <f>H207+H208</f>
        <v>0</v>
      </c>
      <c r="I222" s="20">
        <f>G222-H222</f>
        <v>15</v>
      </c>
      <c r="J222" s="21" t="s">
        <v>3753</v>
      </c>
      <c r="K222" s="22" t="s">
        <v>3754</v>
      </c>
      <c r="L222" s="23" t="s">
        <v>14</v>
      </c>
      <c r="M222" s="224">
        <v>1691.7</v>
      </c>
      <c r="N222" s="224">
        <v>1164.53</v>
      </c>
      <c r="O222" s="224">
        <v>1260.56</v>
      </c>
    </row>
    <row r="223">
      <c r="A223" s="728" t="s">
        <v>243</v>
      </c>
      <c r="B223" s="728" t="s">
        <v>3445</v>
      </c>
      <c r="C223" s="728" t="s">
        <v>3446</v>
      </c>
      <c r="D223" s="728" t="s">
        <v>3447</v>
      </c>
      <c r="E223" s="728" t="s">
        <v>3448</v>
      </c>
      <c r="F223" s="729" t="s">
        <v>3449</v>
      </c>
      <c r="G223" s="730" t="s">
        <v>3450</v>
      </c>
      <c r="H223" s="731" t="s">
        <v>3451</v>
      </c>
      <c r="I223" s="732" t="s">
        <v>3452</v>
      </c>
      <c r="J223" s="733" t="s">
        <v>50</v>
      </c>
      <c r="K223" s="734" t="s">
        <v>3671</v>
      </c>
      <c r="M223" s="760"/>
      <c r="N223" s="760"/>
      <c r="O223" s="760"/>
    </row>
    <row r="224">
      <c r="A224" s="28">
        <v>44046.0</v>
      </c>
      <c r="B224" s="749">
        <v>7.3</v>
      </c>
      <c r="C224" s="749">
        <v>17.0</v>
      </c>
      <c r="D224" s="752" t="s">
        <v>3</v>
      </c>
      <c r="E224" s="752" t="s">
        <v>4</v>
      </c>
      <c r="F224" s="749">
        <v>7.75</v>
      </c>
      <c r="G224" s="32"/>
      <c r="M224" s="760"/>
      <c r="N224" s="760"/>
      <c r="O224" s="760"/>
    </row>
    <row r="225">
      <c r="A225" s="28">
        <v>44047.0</v>
      </c>
      <c r="B225" s="29">
        <v>7.3</v>
      </c>
      <c r="C225" s="29">
        <v>17.0</v>
      </c>
      <c r="D225" s="30" t="s">
        <v>3</v>
      </c>
      <c r="E225" s="30" t="s">
        <v>4</v>
      </c>
      <c r="F225" s="29">
        <v>7.75</v>
      </c>
      <c r="G225" s="32"/>
      <c r="M225" s="760"/>
      <c r="N225" s="760"/>
      <c r="O225" s="760"/>
    </row>
    <row r="226">
      <c r="A226" s="28">
        <v>44048.0</v>
      </c>
      <c r="B226" s="29">
        <v>7.3</v>
      </c>
      <c r="C226" s="29">
        <v>17.0</v>
      </c>
      <c r="D226" s="30" t="s">
        <v>3</v>
      </c>
      <c r="E226" s="30" t="s">
        <v>4</v>
      </c>
      <c r="F226" s="29">
        <v>7.75</v>
      </c>
      <c r="G226" s="32"/>
      <c r="M226" s="760"/>
      <c r="N226" s="760"/>
      <c r="O226" s="760"/>
    </row>
    <row r="227">
      <c r="A227" s="28">
        <v>44049.0</v>
      </c>
      <c r="B227" s="29">
        <v>7.3</v>
      </c>
      <c r="C227" s="29">
        <v>17.0</v>
      </c>
      <c r="D227" s="30" t="s">
        <v>3</v>
      </c>
      <c r="E227" s="30" t="s">
        <v>4</v>
      </c>
      <c r="F227" s="29">
        <v>7.75</v>
      </c>
      <c r="G227" s="32"/>
      <c r="M227" s="760"/>
      <c r="N227" s="760"/>
      <c r="O227" s="760"/>
    </row>
    <row r="228">
      <c r="A228" s="28">
        <v>44050.0</v>
      </c>
      <c r="B228" s="756">
        <v>7.3</v>
      </c>
      <c r="C228" s="762">
        <v>12.15</v>
      </c>
      <c r="D228" s="757"/>
      <c r="E228" s="763" t="s">
        <v>20</v>
      </c>
      <c r="F228" s="762">
        <v>7.75</v>
      </c>
      <c r="G228" s="764">
        <v>0.75</v>
      </c>
      <c r="M228" s="760"/>
      <c r="N228" s="760"/>
      <c r="O228" s="760"/>
    </row>
    <row r="229">
      <c r="A229" s="3" t="s">
        <v>7</v>
      </c>
      <c r="B229" s="14"/>
      <c r="C229" s="14"/>
      <c r="D229" s="15"/>
      <c r="E229" s="6"/>
      <c r="F229" s="7">
        <f>F225+F226+F227+F228+F224</f>
        <v>38.75</v>
      </c>
      <c r="I229" s="804">
        <v>0.75</v>
      </c>
    </row>
    <row r="230">
      <c r="A230" s="33" t="s">
        <v>3755</v>
      </c>
      <c r="G230" s="809" t="s">
        <v>3756</v>
      </c>
      <c r="K230" s="810"/>
      <c r="L230" s="811"/>
      <c r="M230" s="200"/>
      <c r="N230" s="224"/>
      <c r="O230" s="224"/>
    </row>
    <row r="231">
      <c r="A231" s="28">
        <v>44074.0</v>
      </c>
      <c r="B231" s="749">
        <v>7.3</v>
      </c>
      <c r="C231" s="749">
        <v>17.0</v>
      </c>
      <c r="D231" s="752" t="s">
        <v>3</v>
      </c>
      <c r="E231" s="752" t="s">
        <v>4</v>
      </c>
      <c r="F231" s="749">
        <v>7.75</v>
      </c>
      <c r="G231" s="812"/>
      <c r="H231" s="812"/>
      <c r="I231" s="813"/>
      <c r="J231" s="8"/>
      <c r="K231" s="810"/>
      <c r="L231" s="811"/>
      <c r="M231" s="200"/>
      <c r="N231" s="224"/>
      <c r="O231" s="224"/>
    </row>
    <row r="232">
      <c r="A232" s="3" t="s">
        <v>7</v>
      </c>
      <c r="B232" s="14"/>
      <c r="C232" s="14"/>
      <c r="D232" s="15"/>
      <c r="E232" s="6"/>
      <c r="F232" s="7">
        <f>F231</f>
        <v>7.75</v>
      </c>
      <c r="G232" s="812"/>
      <c r="H232" s="812"/>
      <c r="I232" s="813"/>
      <c r="J232" s="8"/>
      <c r="K232" s="810"/>
      <c r="L232" s="811"/>
      <c r="M232" s="9" t="s">
        <v>9</v>
      </c>
      <c r="N232" s="10" t="s">
        <v>10</v>
      </c>
      <c r="O232" s="10" t="s">
        <v>1</v>
      </c>
    </row>
    <row r="233">
      <c r="A233" s="13" t="s">
        <v>2</v>
      </c>
      <c r="B233" s="14"/>
      <c r="C233" s="14"/>
      <c r="D233" s="15"/>
      <c r="E233" s="16"/>
      <c r="F233" s="17">
        <f>F229+F232</f>
        <v>46.5</v>
      </c>
      <c r="G233" s="18">
        <f>G228</f>
        <v>0.75</v>
      </c>
      <c r="H233" s="19">
        <f>H218+H219</f>
        <v>0</v>
      </c>
      <c r="I233" s="20">
        <f>G233-H233</f>
        <v>0.75</v>
      </c>
      <c r="J233" s="21" t="s">
        <v>3757</v>
      </c>
      <c r="K233" s="22" t="s">
        <v>3758</v>
      </c>
      <c r="L233" s="23" t="s">
        <v>14</v>
      </c>
      <c r="M233" s="200">
        <v>1778.55</v>
      </c>
      <c r="N233" s="224">
        <v>1233.3</v>
      </c>
      <c r="O233" s="224">
        <v>1331.8</v>
      </c>
    </row>
    <row r="234">
      <c r="A234" s="728" t="s">
        <v>243</v>
      </c>
      <c r="B234" s="728" t="s">
        <v>3445</v>
      </c>
      <c r="C234" s="728" t="s">
        <v>3446</v>
      </c>
      <c r="D234" s="728" t="s">
        <v>3447</v>
      </c>
      <c r="E234" s="728" t="s">
        <v>3448</v>
      </c>
      <c r="F234" s="729" t="s">
        <v>3449</v>
      </c>
      <c r="G234" s="730" t="s">
        <v>3450</v>
      </c>
      <c r="H234" s="731" t="s">
        <v>3451</v>
      </c>
      <c r="I234" s="732" t="s">
        <v>3452</v>
      </c>
      <c r="J234" s="733" t="s">
        <v>50</v>
      </c>
      <c r="K234" s="734" t="s">
        <v>3671</v>
      </c>
      <c r="M234" s="760"/>
      <c r="N234" s="760"/>
      <c r="O234" s="760"/>
    </row>
    <row r="235">
      <c r="A235" s="28">
        <v>44075.0</v>
      </c>
      <c r="B235" s="29">
        <v>7.3</v>
      </c>
      <c r="C235" s="29">
        <v>17.0</v>
      </c>
      <c r="D235" s="30" t="s">
        <v>3</v>
      </c>
      <c r="E235" s="30" t="s">
        <v>4</v>
      </c>
      <c r="F235" s="29">
        <v>7.75</v>
      </c>
      <c r="M235" s="760"/>
      <c r="N235" s="760"/>
      <c r="O235" s="760"/>
    </row>
    <row r="236">
      <c r="A236" s="28">
        <v>44076.0</v>
      </c>
      <c r="B236" s="29">
        <v>7.3</v>
      </c>
      <c r="C236" s="29">
        <v>17.0</v>
      </c>
      <c r="D236" s="30" t="s">
        <v>3</v>
      </c>
      <c r="E236" s="30" t="s">
        <v>4</v>
      </c>
      <c r="F236" s="29">
        <v>7.75</v>
      </c>
      <c r="M236" s="760"/>
      <c r="N236" s="760"/>
      <c r="O236" s="760"/>
    </row>
    <row r="237">
      <c r="A237" s="28">
        <v>44077.0</v>
      </c>
      <c r="B237" s="29">
        <v>7.3</v>
      </c>
      <c r="C237" s="29">
        <v>17.0</v>
      </c>
      <c r="D237" s="30" t="s">
        <v>3</v>
      </c>
      <c r="E237" s="30" t="s">
        <v>4</v>
      </c>
      <c r="F237" s="29">
        <v>7.75</v>
      </c>
      <c r="M237" s="760"/>
      <c r="N237" s="760"/>
      <c r="O237" s="760"/>
    </row>
    <row r="238">
      <c r="A238" s="28">
        <v>44078.0</v>
      </c>
      <c r="B238" s="29">
        <v>7.3</v>
      </c>
      <c r="C238" s="47">
        <v>11.3</v>
      </c>
      <c r="D238" s="622"/>
      <c r="E238" s="47" t="s">
        <v>3536</v>
      </c>
      <c r="F238" s="47">
        <v>4.0</v>
      </c>
      <c r="M238" s="760"/>
      <c r="N238" s="760"/>
      <c r="O238" s="760"/>
    </row>
    <row r="239">
      <c r="A239" s="3" t="s">
        <v>7</v>
      </c>
      <c r="B239" s="14"/>
      <c r="C239" s="14"/>
      <c r="D239" s="15"/>
      <c r="E239" s="6"/>
      <c r="F239" s="7">
        <f>F236+F237+F238+F231</f>
        <v>27.25</v>
      </c>
      <c r="I239" s="47"/>
      <c r="M239" s="760"/>
      <c r="N239" s="760"/>
      <c r="O239" s="760"/>
    </row>
    <row r="240">
      <c r="A240" s="28">
        <v>44081.0</v>
      </c>
      <c r="B240" s="749">
        <v>7.3</v>
      </c>
      <c r="C240" s="749">
        <v>17.0</v>
      </c>
      <c r="D240" s="752" t="s">
        <v>3</v>
      </c>
      <c r="E240" s="752" t="s">
        <v>4</v>
      </c>
      <c r="F240" s="749">
        <v>7.75</v>
      </c>
      <c r="M240" s="760"/>
      <c r="N240" s="760"/>
      <c r="O240" s="760"/>
    </row>
    <row r="241">
      <c r="A241" s="28">
        <v>44082.0</v>
      </c>
      <c r="B241" s="29">
        <v>7.3</v>
      </c>
      <c r="C241" s="29">
        <v>17.0</v>
      </c>
      <c r="D241" s="30" t="s">
        <v>3</v>
      </c>
      <c r="E241" s="30" t="s">
        <v>4</v>
      </c>
      <c r="F241" s="29">
        <v>7.75</v>
      </c>
      <c r="M241" s="760"/>
      <c r="N241" s="760"/>
      <c r="O241" s="760"/>
    </row>
    <row r="242">
      <c r="A242" s="28">
        <v>44083.0</v>
      </c>
      <c r="B242" s="29">
        <v>7.3</v>
      </c>
      <c r="C242" s="29">
        <v>17.0</v>
      </c>
      <c r="D242" s="30" t="s">
        <v>3</v>
      </c>
      <c r="E242" s="30" t="s">
        <v>4</v>
      </c>
      <c r="F242" s="29">
        <v>7.75</v>
      </c>
      <c r="M242" s="760"/>
      <c r="N242" s="760"/>
      <c r="O242" s="760"/>
    </row>
    <row r="243">
      <c r="A243" s="28">
        <v>44084.0</v>
      </c>
      <c r="B243" s="29">
        <v>7.3</v>
      </c>
      <c r="C243" s="29">
        <v>17.0</v>
      </c>
      <c r="D243" s="30" t="s">
        <v>3</v>
      </c>
      <c r="E243" s="30" t="s">
        <v>4</v>
      </c>
      <c r="F243" s="29">
        <v>7.75</v>
      </c>
      <c r="M243" s="760"/>
      <c r="N243" s="760"/>
      <c r="O243" s="760"/>
    </row>
    <row r="244">
      <c r="A244" s="28">
        <v>44085.0</v>
      </c>
      <c r="B244" s="29">
        <v>7.3</v>
      </c>
      <c r="C244" s="47">
        <v>11.3</v>
      </c>
      <c r="D244" s="622"/>
      <c r="E244" s="47" t="s">
        <v>3536</v>
      </c>
      <c r="F244" s="47">
        <v>4.0</v>
      </c>
      <c r="M244" s="760"/>
      <c r="N244" s="760"/>
      <c r="O244" s="760"/>
    </row>
    <row r="245">
      <c r="A245" s="3" t="s">
        <v>7</v>
      </c>
      <c r="B245" s="14"/>
      <c r="C245" s="14"/>
      <c r="D245" s="15"/>
      <c r="E245" s="6"/>
      <c r="F245" s="7">
        <f>F241+F242+F243+F244+F240</f>
        <v>35</v>
      </c>
      <c r="M245" s="760"/>
      <c r="N245" s="760"/>
      <c r="O245" s="760"/>
    </row>
    <row r="246">
      <c r="A246" s="28">
        <v>44088.0</v>
      </c>
      <c r="B246" s="749">
        <v>7.3</v>
      </c>
      <c r="C246" s="749">
        <v>17.0</v>
      </c>
      <c r="D246" s="752" t="s">
        <v>3</v>
      </c>
      <c r="E246" s="752" t="s">
        <v>4</v>
      </c>
      <c r="F246" s="749">
        <v>7.75</v>
      </c>
      <c r="M246" s="760"/>
      <c r="N246" s="760"/>
      <c r="O246" s="760"/>
    </row>
    <row r="247">
      <c r="A247" s="28">
        <v>44089.0</v>
      </c>
      <c r="B247" s="29">
        <v>7.3</v>
      </c>
      <c r="C247" s="29">
        <v>17.0</v>
      </c>
      <c r="D247" s="30" t="s">
        <v>3</v>
      </c>
      <c r="E247" s="30" t="s">
        <v>4</v>
      </c>
      <c r="F247" s="29">
        <v>7.75</v>
      </c>
      <c r="M247" s="760"/>
      <c r="N247" s="760"/>
      <c r="O247" s="760"/>
    </row>
    <row r="248">
      <c r="A248" s="28">
        <v>44090.0</v>
      </c>
      <c r="B248" s="29">
        <v>7.3</v>
      </c>
      <c r="C248" s="29">
        <v>17.0</v>
      </c>
      <c r="D248" s="30" t="s">
        <v>3</v>
      </c>
      <c r="E248" s="30" t="s">
        <v>4</v>
      </c>
      <c r="F248" s="29">
        <v>7.75</v>
      </c>
      <c r="M248" s="760"/>
      <c r="N248" s="760"/>
      <c r="O248" s="760"/>
    </row>
    <row r="249">
      <c r="A249" s="28">
        <v>44091.0</v>
      </c>
      <c r="B249" s="29">
        <v>7.3</v>
      </c>
      <c r="C249" s="29">
        <v>17.0</v>
      </c>
      <c r="D249" s="30" t="s">
        <v>3</v>
      </c>
      <c r="E249" s="30" t="s">
        <v>4</v>
      </c>
      <c r="F249" s="29">
        <v>7.75</v>
      </c>
      <c r="M249" s="760"/>
      <c r="N249" s="760"/>
      <c r="O249" s="760"/>
    </row>
    <row r="250">
      <c r="A250" s="28">
        <v>44092.0</v>
      </c>
      <c r="B250" s="29">
        <v>7.3</v>
      </c>
      <c r="C250" s="47">
        <v>11.3</v>
      </c>
      <c r="D250" s="622"/>
      <c r="E250" s="47" t="s">
        <v>3536</v>
      </c>
      <c r="F250" s="47">
        <v>4.0</v>
      </c>
      <c r="M250" s="760"/>
      <c r="N250" s="760"/>
      <c r="O250" s="760"/>
    </row>
    <row r="251">
      <c r="A251" s="3" t="s">
        <v>7</v>
      </c>
      <c r="B251" s="14"/>
      <c r="C251" s="14"/>
      <c r="D251" s="15"/>
      <c r="E251" s="6"/>
      <c r="F251" s="7">
        <f>F247+F248+F249+F250+F246</f>
        <v>35</v>
      </c>
      <c r="M251" s="760"/>
      <c r="N251" s="760"/>
      <c r="O251" s="760"/>
    </row>
    <row r="252">
      <c r="A252" s="28">
        <v>44095.0</v>
      </c>
      <c r="B252" s="749">
        <v>7.3</v>
      </c>
      <c r="C252" s="749">
        <v>17.0</v>
      </c>
      <c r="D252" s="752" t="s">
        <v>3</v>
      </c>
      <c r="E252" s="752" t="s">
        <v>4</v>
      </c>
      <c r="F252" s="749">
        <v>7.75</v>
      </c>
      <c r="M252" s="760"/>
      <c r="N252" s="760"/>
      <c r="O252" s="760"/>
    </row>
    <row r="253">
      <c r="A253" s="28">
        <v>44096.0</v>
      </c>
      <c r="B253" s="29">
        <v>7.3</v>
      </c>
      <c r="C253" s="29">
        <v>17.0</v>
      </c>
      <c r="D253" s="30" t="s">
        <v>3</v>
      </c>
      <c r="E253" s="30" t="s">
        <v>4</v>
      </c>
      <c r="F253" s="29">
        <v>7.75</v>
      </c>
      <c r="M253" s="760"/>
      <c r="N253" s="760"/>
      <c r="O253" s="760"/>
    </row>
    <row r="254">
      <c r="A254" s="28">
        <v>44097.0</v>
      </c>
      <c r="B254" s="29">
        <v>7.3</v>
      </c>
      <c r="C254" s="29">
        <v>17.0</v>
      </c>
      <c r="D254" s="30" t="s">
        <v>3</v>
      </c>
      <c r="E254" s="30" t="s">
        <v>4</v>
      </c>
      <c r="F254" s="29">
        <v>7.75</v>
      </c>
      <c r="M254" s="760"/>
      <c r="N254" s="760"/>
      <c r="O254" s="760"/>
    </row>
    <row r="255">
      <c r="A255" s="814">
        <v>44098.0</v>
      </c>
      <c r="B255" s="815">
        <v>8.0</v>
      </c>
      <c r="C255" s="816">
        <v>17.0</v>
      </c>
      <c r="D255" s="817" t="s">
        <v>3</v>
      </c>
      <c r="E255" s="818" t="s">
        <v>3457</v>
      </c>
      <c r="F255" s="815">
        <v>7.25</v>
      </c>
      <c r="G255" s="819"/>
      <c r="H255" s="820">
        <v>0.5</v>
      </c>
      <c r="I255" s="819"/>
      <c r="J255" s="821" t="s">
        <v>3759</v>
      </c>
      <c r="M255" s="760"/>
      <c r="N255" s="760"/>
      <c r="O255" s="760"/>
    </row>
    <row r="256">
      <c r="A256" s="814">
        <v>44099.0</v>
      </c>
      <c r="B256" s="761" t="s">
        <v>15</v>
      </c>
      <c r="G256" s="819"/>
      <c r="H256" s="820">
        <v>4.0</v>
      </c>
      <c r="I256" s="819"/>
      <c r="J256" s="821" t="s">
        <v>3760</v>
      </c>
      <c r="M256" s="760"/>
      <c r="N256" s="760"/>
      <c r="O256" s="760"/>
    </row>
    <row r="257">
      <c r="A257" s="3" t="s">
        <v>7</v>
      </c>
      <c r="B257" s="14"/>
      <c r="C257" s="14"/>
      <c r="D257" s="15"/>
      <c r="E257" s="6"/>
      <c r="F257" s="7">
        <f>F253+F254+F255+F256+F252</f>
        <v>30.5</v>
      </c>
      <c r="M257" s="760"/>
      <c r="N257" s="760"/>
      <c r="O257" s="760"/>
    </row>
    <row r="258">
      <c r="A258" s="28">
        <v>44102.0</v>
      </c>
      <c r="B258" s="749">
        <v>7.3</v>
      </c>
      <c r="C258" s="749">
        <v>17.0</v>
      </c>
      <c r="D258" s="752" t="s">
        <v>3</v>
      </c>
      <c r="E258" s="752" t="s">
        <v>4</v>
      </c>
      <c r="F258" s="749">
        <v>7.75</v>
      </c>
      <c r="M258" s="760"/>
      <c r="N258" s="760"/>
      <c r="O258" s="760"/>
    </row>
    <row r="259">
      <c r="A259" s="28">
        <v>44103.0</v>
      </c>
      <c r="B259" s="29">
        <v>7.3</v>
      </c>
      <c r="C259" s="29">
        <v>17.0</v>
      </c>
      <c r="D259" s="30" t="s">
        <v>3</v>
      </c>
      <c r="E259" s="30" t="s">
        <v>4</v>
      </c>
      <c r="F259" s="29">
        <v>7.75</v>
      </c>
      <c r="M259" s="760"/>
      <c r="N259" s="760"/>
      <c r="O259" s="760"/>
    </row>
    <row r="260">
      <c r="A260" s="28">
        <v>44104.0</v>
      </c>
      <c r="B260" s="29">
        <v>7.3</v>
      </c>
      <c r="C260" s="29">
        <v>17.0</v>
      </c>
      <c r="D260" s="30" t="s">
        <v>3</v>
      </c>
      <c r="E260" s="30" t="s">
        <v>4</v>
      </c>
      <c r="F260" s="29">
        <v>7.75</v>
      </c>
      <c r="M260" s="760"/>
      <c r="N260" s="760"/>
      <c r="O260" s="760"/>
    </row>
    <row r="261">
      <c r="A261" s="3" t="s">
        <v>7</v>
      </c>
      <c r="B261" s="14"/>
      <c r="C261" s="14"/>
      <c r="D261" s="15"/>
      <c r="E261" s="6"/>
      <c r="F261" s="7">
        <f>F258+F259+F260</f>
        <v>23.25</v>
      </c>
      <c r="M261" s="9" t="s">
        <v>9</v>
      </c>
      <c r="N261" s="10" t="s">
        <v>10</v>
      </c>
      <c r="O261" s="10" t="s">
        <v>1</v>
      </c>
    </row>
    <row r="262">
      <c r="A262" s="13" t="s">
        <v>2</v>
      </c>
      <c r="B262" s="14"/>
      <c r="C262" s="14"/>
      <c r="D262" s="15"/>
      <c r="E262" s="16"/>
      <c r="F262" s="17">
        <f>F239+F245+F251+F257+F261</f>
        <v>151</v>
      </c>
      <c r="G262" s="18">
        <f>G236+G242+G248+G254+G260</f>
        <v>0</v>
      </c>
      <c r="H262" s="19">
        <f>H255+H256</f>
        <v>4.5</v>
      </c>
      <c r="I262" s="19">
        <f>G262-H262</f>
        <v>-4.5</v>
      </c>
      <c r="J262" s="21" t="s">
        <v>3761</v>
      </c>
      <c r="K262" s="23" t="s">
        <v>3762</v>
      </c>
      <c r="L262" s="23" t="s">
        <v>3473</v>
      </c>
      <c r="M262" s="224">
        <v>1648.97</v>
      </c>
      <c r="N262" s="224">
        <v>1188.95</v>
      </c>
      <c r="O262" s="224">
        <v>1342.58</v>
      </c>
    </row>
    <row r="263">
      <c r="A263" s="728" t="s">
        <v>243</v>
      </c>
      <c r="B263" s="728" t="s">
        <v>3445</v>
      </c>
      <c r="C263" s="728" t="s">
        <v>3446</v>
      </c>
      <c r="D263" s="728" t="s">
        <v>3447</v>
      </c>
      <c r="E263" s="728" t="s">
        <v>3448</v>
      </c>
      <c r="F263" s="729" t="s">
        <v>3449</v>
      </c>
      <c r="G263" s="730" t="s">
        <v>3450</v>
      </c>
      <c r="H263" s="731" t="s">
        <v>3451</v>
      </c>
      <c r="I263" s="732" t="s">
        <v>3452</v>
      </c>
      <c r="J263" s="733" t="s">
        <v>50</v>
      </c>
      <c r="K263" s="734" t="s">
        <v>3671</v>
      </c>
      <c r="M263" s="760"/>
      <c r="N263" s="760"/>
      <c r="O263" s="760"/>
    </row>
    <row r="264">
      <c r="A264" s="28">
        <v>44105.0</v>
      </c>
      <c r="B264" s="749">
        <v>7.3</v>
      </c>
      <c r="C264" s="749">
        <v>17.0</v>
      </c>
      <c r="D264" s="752" t="s">
        <v>3</v>
      </c>
      <c r="E264" s="752" t="s">
        <v>4</v>
      </c>
      <c r="F264" s="749">
        <v>7.75</v>
      </c>
      <c r="M264" s="760"/>
      <c r="N264" s="760"/>
      <c r="O264" s="760"/>
    </row>
    <row r="265">
      <c r="A265" s="28">
        <v>44106.0</v>
      </c>
      <c r="B265" s="29">
        <v>7.3</v>
      </c>
      <c r="C265" s="47">
        <v>11.3</v>
      </c>
      <c r="D265" s="622"/>
      <c r="E265" s="47" t="s">
        <v>3536</v>
      </c>
      <c r="F265" s="47">
        <v>4.0</v>
      </c>
      <c r="M265" s="760"/>
      <c r="N265" s="760"/>
      <c r="O265" s="760"/>
    </row>
    <row r="266">
      <c r="A266" s="3" t="s">
        <v>7</v>
      </c>
      <c r="B266" s="14"/>
      <c r="C266" s="14"/>
      <c r="D266" s="15"/>
      <c r="E266" s="6"/>
      <c r="F266" s="735">
        <f>F264+F265</f>
        <v>11.75</v>
      </c>
      <c r="M266" s="760"/>
      <c r="N266" s="760"/>
      <c r="O266" s="760"/>
    </row>
    <row r="267">
      <c r="A267" s="28">
        <v>44109.0</v>
      </c>
      <c r="B267" s="749">
        <v>7.3</v>
      </c>
      <c r="C267" s="749">
        <v>17.0</v>
      </c>
      <c r="D267" s="752" t="s">
        <v>3</v>
      </c>
      <c r="E267" s="752" t="s">
        <v>4</v>
      </c>
      <c r="F267" s="749">
        <v>7.75</v>
      </c>
      <c r="M267" s="760"/>
      <c r="N267" s="760"/>
      <c r="O267" s="760"/>
    </row>
    <row r="268">
      <c r="A268" s="28">
        <v>44110.0</v>
      </c>
      <c r="B268" s="29">
        <v>7.3</v>
      </c>
      <c r="C268" s="29">
        <v>17.0</v>
      </c>
      <c r="D268" s="30" t="s">
        <v>3</v>
      </c>
      <c r="E268" s="30" t="s">
        <v>4</v>
      </c>
      <c r="F268" s="29">
        <v>7.75</v>
      </c>
      <c r="M268" s="760"/>
      <c r="N268" s="760"/>
      <c r="O268" s="760"/>
    </row>
    <row r="269">
      <c r="A269" s="28">
        <v>44111.0</v>
      </c>
      <c r="B269" s="29">
        <v>7.3</v>
      </c>
      <c r="C269" s="29">
        <v>17.0</v>
      </c>
      <c r="D269" s="30" t="s">
        <v>3</v>
      </c>
      <c r="E269" s="30" t="s">
        <v>4</v>
      </c>
      <c r="F269" s="29">
        <v>7.75</v>
      </c>
      <c r="M269" s="760"/>
      <c r="N269" s="760"/>
      <c r="O269" s="760"/>
    </row>
    <row r="270">
      <c r="A270" s="28">
        <v>44112.0</v>
      </c>
      <c r="B270" s="29">
        <v>7.3</v>
      </c>
      <c r="C270" s="29">
        <v>17.0</v>
      </c>
      <c r="D270" s="30" t="s">
        <v>3</v>
      </c>
      <c r="E270" s="30" t="s">
        <v>4</v>
      </c>
      <c r="F270" s="29">
        <v>7.75</v>
      </c>
      <c r="M270" s="760"/>
      <c r="N270" s="760"/>
      <c r="O270" s="760"/>
    </row>
    <row r="271">
      <c r="A271" s="28">
        <v>44113.0</v>
      </c>
      <c r="B271" s="29">
        <v>7.3</v>
      </c>
      <c r="C271" s="47">
        <v>11.3</v>
      </c>
      <c r="D271" s="622"/>
      <c r="E271" s="47" t="s">
        <v>3536</v>
      </c>
      <c r="F271" s="47">
        <v>4.0</v>
      </c>
      <c r="M271" s="760"/>
      <c r="N271" s="760"/>
      <c r="O271" s="760"/>
    </row>
    <row r="272">
      <c r="A272" s="3" t="s">
        <v>7</v>
      </c>
      <c r="B272" s="14"/>
      <c r="C272" s="14"/>
      <c r="D272" s="15"/>
      <c r="E272" s="6"/>
      <c r="F272" s="735">
        <f>F267+F268+F269+F270+F271</f>
        <v>35</v>
      </c>
      <c r="M272" s="760"/>
      <c r="N272" s="760"/>
      <c r="O272" s="760"/>
    </row>
    <row r="273">
      <c r="A273" s="28">
        <v>44116.0</v>
      </c>
      <c r="B273" s="749">
        <v>7.3</v>
      </c>
      <c r="C273" s="749">
        <v>17.0</v>
      </c>
      <c r="D273" s="752" t="s">
        <v>3</v>
      </c>
      <c r="E273" s="752" t="s">
        <v>4</v>
      </c>
      <c r="F273" s="749">
        <v>7.75</v>
      </c>
      <c r="M273" s="760"/>
      <c r="N273" s="760"/>
      <c r="O273" s="760"/>
    </row>
    <row r="274">
      <c r="A274" s="28">
        <v>44117.0</v>
      </c>
      <c r="B274" s="39">
        <v>9.15</v>
      </c>
      <c r="C274" s="29">
        <v>17.0</v>
      </c>
      <c r="D274" s="30" t="s">
        <v>3</v>
      </c>
      <c r="E274" s="42" t="s">
        <v>3541</v>
      </c>
      <c r="F274" s="39">
        <v>6.0</v>
      </c>
      <c r="H274" s="820">
        <v>1.75</v>
      </c>
      <c r="J274" s="51" t="s">
        <v>3763</v>
      </c>
      <c r="M274" s="760"/>
      <c r="N274" s="760"/>
      <c r="O274" s="760"/>
    </row>
    <row r="275">
      <c r="A275" s="28">
        <v>44118.0</v>
      </c>
      <c r="B275" s="29">
        <v>7.3</v>
      </c>
      <c r="C275" s="29">
        <v>17.0</v>
      </c>
      <c r="D275" s="30" t="s">
        <v>3</v>
      </c>
      <c r="E275" s="30" t="s">
        <v>4</v>
      </c>
      <c r="F275" s="29">
        <v>7.75</v>
      </c>
      <c r="M275" s="760"/>
      <c r="N275" s="760"/>
      <c r="O275" s="760"/>
    </row>
    <row r="276">
      <c r="A276" s="28">
        <v>44119.0</v>
      </c>
      <c r="B276" s="29">
        <v>7.3</v>
      </c>
      <c r="C276" s="29">
        <v>17.0</v>
      </c>
      <c r="D276" s="30" t="s">
        <v>3</v>
      </c>
      <c r="E276" s="30" t="s">
        <v>4</v>
      </c>
      <c r="F276" s="29">
        <v>7.75</v>
      </c>
      <c r="M276" s="760"/>
      <c r="N276" s="760"/>
      <c r="O276" s="760"/>
    </row>
    <row r="277">
      <c r="A277" s="28">
        <v>44120.0</v>
      </c>
      <c r="B277" s="29">
        <v>7.3</v>
      </c>
      <c r="C277" s="47">
        <v>11.3</v>
      </c>
      <c r="D277" s="622"/>
      <c r="E277" s="47" t="s">
        <v>3536</v>
      </c>
      <c r="F277" s="47">
        <v>4.0</v>
      </c>
      <c r="M277" s="760"/>
      <c r="N277" s="760"/>
      <c r="O277" s="760"/>
    </row>
    <row r="278">
      <c r="A278" s="3" t="s">
        <v>7</v>
      </c>
      <c r="B278" s="14"/>
      <c r="C278" s="14"/>
      <c r="D278" s="15"/>
      <c r="E278" s="6"/>
      <c r="F278" s="735">
        <f>F273+F274+F275+F276+F277</f>
        <v>33.25</v>
      </c>
      <c r="M278" s="760"/>
      <c r="N278" s="760"/>
      <c r="O278" s="760"/>
    </row>
    <row r="279">
      <c r="A279" s="28">
        <v>44123.0</v>
      </c>
      <c r="B279" s="749">
        <v>7.3</v>
      </c>
      <c r="C279" s="749">
        <v>17.0</v>
      </c>
      <c r="D279" s="752" t="s">
        <v>3</v>
      </c>
      <c r="E279" s="752" t="s">
        <v>4</v>
      </c>
      <c r="F279" s="749">
        <v>7.75</v>
      </c>
      <c r="M279" s="760"/>
      <c r="N279" s="760"/>
      <c r="O279" s="760"/>
    </row>
    <row r="280">
      <c r="A280" s="28">
        <v>44124.0</v>
      </c>
      <c r="B280" s="29">
        <v>7.3</v>
      </c>
      <c r="C280" s="29">
        <v>17.0</v>
      </c>
      <c r="D280" s="30" t="s">
        <v>3</v>
      </c>
      <c r="E280" s="30" t="s">
        <v>4</v>
      </c>
      <c r="F280" s="29">
        <v>7.75</v>
      </c>
      <c r="M280" s="760"/>
      <c r="N280" s="760"/>
      <c r="O280" s="760"/>
    </row>
    <row r="281">
      <c r="A281" s="28">
        <v>44125.0</v>
      </c>
      <c r="B281" s="29">
        <v>7.3</v>
      </c>
      <c r="C281" s="29">
        <v>17.0</v>
      </c>
      <c r="D281" s="30" t="s">
        <v>3</v>
      </c>
      <c r="E281" s="30" t="s">
        <v>4</v>
      </c>
      <c r="F281" s="29">
        <v>7.75</v>
      </c>
      <c r="M281" s="760"/>
      <c r="N281" s="760"/>
      <c r="O281" s="760"/>
    </row>
    <row r="282">
      <c r="A282" s="28">
        <v>44126.0</v>
      </c>
      <c r="B282" s="29">
        <v>7.3</v>
      </c>
      <c r="C282" s="29">
        <v>17.0</v>
      </c>
      <c r="D282" s="30" t="s">
        <v>3</v>
      </c>
      <c r="E282" s="30" t="s">
        <v>4</v>
      </c>
      <c r="F282" s="29">
        <v>7.75</v>
      </c>
      <c r="M282" s="760"/>
      <c r="N282" s="760"/>
      <c r="O282" s="760"/>
    </row>
    <row r="283">
      <c r="A283" s="28">
        <v>44127.0</v>
      </c>
      <c r="B283" s="29">
        <v>7.3</v>
      </c>
      <c r="C283" s="47">
        <v>11.3</v>
      </c>
      <c r="D283" s="622"/>
      <c r="E283" s="47" t="s">
        <v>3536</v>
      </c>
      <c r="F283" s="47">
        <v>4.0</v>
      </c>
      <c r="M283" s="760"/>
      <c r="N283" s="760"/>
      <c r="O283" s="760"/>
    </row>
    <row r="284">
      <c r="A284" s="3" t="s">
        <v>7</v>
      </c>
      <c r="B284" s="14"/>
      <c r="C284" s="14"/>
      <c r="D284" s="15"/>
      <c r="E284" s="6"/>
      <c r="F284" s="735">
        <f>F279+F280+F281+F282+F283</f>
        <v>35</v>
      </c>
      <c r="M284" s="760"/>
      <c r="N284" s="760"/>
      <c r="O284" s="760"/>
    </row>
    <row r="285">
      <c r="A285" s="28">
        <v>44130.0</v>
      </c>
      <c r="B285" s="749">
        <v>7.3</v>
      </c>
      <c r="C285" s="749">
        <v>17.0</v>
      </c>
      <c r="D285" s="752" t="s">
        <v>3</v>
      </c>
      <c r="E285" s="752" t="s">
        <v>4</v>
      </c>
      <c r="F285" s="749">
        <v>7.75</v>
      </c>
      <c r="M285" s="760"/>
      <c r="N285" s="760"/>
      <c r="O285" s="760"/>
    </row>
    <row r="286">
      <c r="A286" s="28">
        <v>44131.0</v>
      </c>
      <c r="B286" s="29">
        <v>7.3</v>
      </c>
      <c r="C286" s="29">
        <v>17.0</v>
      </c>
      <c r="D286" s="30" t="s">
        <v>3</v>
      </c>
      <c r="E286" s="30" t="s">
        <v>4</v>
      </c>
      <c r="F286" s="29">
        <v>7.75</v>
      </c>
      <c r="M286" s="760"/>
      <c r="N286" s="760"/>
      <c r="O286" s="760"/>
    </row>
    <row r="287">
      <c r="A287" s="28">
        <v>44132.0</v>
      </c>
      <c r="B287" s="29">
        <v>7.3</v>
      </c>
      <c r="C287" s="29">
        <v>17.0</v>
      </c>
      <c r="D287" s="30" t="s">
        <v>3</v>
      </c>
      <c r="E287" s="30" t="s">
        <v>4</v>
      </c>
      <c r="F287" s="29">
        <v>7.75</v>
      </c>
      <c r="M287" s="760"/>
      <c r="N287" s="760"/>
      <c r="O287" s="760"/>
    </row>
    <row r="288">
      <c r="A288" s="28">
        <v>44133.0</v>
      </c>
      <c r="B288" s="29">
        <v>7.3</v>
      </c>
      <c r="C288" s="29">
        <v>17.0</v>
      </c>
      <c r="D288" s="30" t="s">
        <v>3</v>
      </c>
      <c r="E288" s="30" t="s">
        <v>4</v>
      </c>
      <c r="F288" s="29">
        <v>7.75</v>
      </c>
      <c r="M288" s="760"/>
      <c r="N288" s="760"/>
      <c r="O288" s="760"/>
    </row>
    <row r="289">
      <c r="A289" s="28">
        <v>44134.0</v>
      </c>
      <c r="B289" s="29">
        <v>7.3</v>
      </c>
      <c r="C289" s="47">
        <v>11.3</v>
      </c>
      <c r="D289" s="622"/>
      <c r="E289" s="47" t="s">
        <v>3536</v>
      </c>
      <c r="F289" s="47">
        <v>4.0</v>
      </c>
      <c r="M289" s="760"/>
      <c r="N289" s="760"/>
      <c r="O289" s="760"/>
    </row>
    <row r="290">
      <c r="A290" s="3" t="s">
        <v>7</v>
      </c>
      <c r="B290" s="14"/>
      <c r="C290" s="14"/>
      <c r="D290" s="15"/>
      <c r="E290" s="6"/>
      <c r="F290" s="735">
        <f>F285+F286+F287+F288+F289</f>
        <v>35</v>
      </c>
      <c r="M290" s="9" t="s">
        <v>9</v>
      </c>
      <c r="N290" s="10" t="s">
        <v>10</v>
      </c>
      <c r="O290" s="10" t="s">
        <v>1</v>
      </c>
    </row>
    <row r="291">
      <c r="A291" s="13" t="s">
        <v>2</v>
      </c>
      <c r="B291" s="14"/>
      <c r="C291" s="14"/>
      <c r="D291" s="15"/>
      <c r="E291" s="16"/>
      <c r="F291" s="17">
        <f>F266+F272+F278+F284+F290</f>
        <v>150</v>
      </c>
      <c r="G291" s="18">
        <f>G265+G271+G277+G283+G289</f>
        <v>0</v>
      </c>
      <c r="H291" s="19">
        <v>1.75</v>
      </c>
      <c r="I291" s="19">
        <f>G291-H291+I262</f>
        <v>-6.25</v>
      </c>
      <c r="J291" s="21" t="s">
        <v>3764</v>
      </c>
      <c r="K291" s="22" t="s">
        <v>3765</v>
      </c>
      <c r="L291" s="23" t="s">
        <v>14</v>
      </c>
      <c r="M291" s="224">
        <v>1539.45</v>
      </c>
      <c r="N291" s="224">
        <v>1044.3</v>
      </c>
      <c r="O291" s="224">
        <v>1260.57</v>
      </c>
    </row>
    <row r="292">
      <c r="A292" s="728" t="s">
        <v>243</v>
      </c>
      <c r="B292" s="728" t="s">
        <v>3445</v>
      </c>
      <c r="C292" s="728" t="s">
        <v>3446</v>
      </c>
      <c r="D292" s="728" t="s">
        <v>3447</v>
      </c>
      <c r="E292" s="728" t="s">
        <v>3448</v>
      </c>
      <c r="F292" s="729" t="s">
        <v>3449</v>
      </c>
      <c r="G292" s="730" t="s">
        <v>3450</v>
      </c>
      <c r="H292" s="731" t="s">
        <v>3451</v>
      </c>
      <c r="I292" s="732" t="s">
        <v>3452</v>
      </c>
      <c r="J292" s="733" t="s">
        <v>50</v>
      </c>
      <c r="K292" s="734" t="s">
        <v>3671</v>
      </c>
      <c r="M292" s="760"/>
      <c r="N292" s="760"/>
      <c r="O292" s="760"/>
    </row>
    <row r="293">
      <c r="A293" s="28">
        <v>44137.0</v>
      </c>
      <c r="B293" s="749">
        <v>7.3</v>
      </c>
      <c r="C293" s="749">
        <v>17.0</v>
      </c>
      <c r="D293" s="752" t="s">
        <v>3</v>
      </c>
      <c r="E293" s="752" t="s">
        <v>4</v>
      </c>
      <c r="F293" s="749">
        <v>7.75</v>
      </c>
      <c r="M293" s="760"/>
      <c r="N293" s="760"/>
      <c r="O293" s="760"/>
    </row>
    <row r="294">
      <c r="A294" s="28">
        <v>44138.0</v>
      </c>
      <c r="B294" s="29">
        <v>7.3</v>
      </c>
      <c r="C294" s="29">
        <v>17.0</v>
      </c>
      <c r="D294" s="30" t="s">
        <v>3</v>
      </c>
      <c r="E294" s="30" t="s">
        <v>4</v>
      </c>
      <c r="F294" s="29">
        <v>7.75</v>
      </c>
      <c r="M294" s="760"/>
      <c r="N294" s="760"/>
      <c r="O294" s="760"/>
    </row>
    <row r="295">
      <c r="A295" s="28">
        <v>44139.0</v>
      </c>
      <c r="B295" s="29">
        <v>7.3</v>
      </c>
      <c r="C295" s="29">
        <v>17.0</v>
      </c>
      <c r="D295" s="30" t="s">
        <v>3</v>
      </c>
      <c r="E295" s="30" t="s">
        <v>4</v>
      </c>
      <c r="F295" s="29">
        <v>7.75</v>
      </c>
      <c r="M295" s="760"/>
      <c r="N295" s="760"/>
      <c r="O295" s="760"/>
    </row>
    <row r="296">
      <c r="A296" s="28">
        <v>44140.0</v>
      </c>
      <c r="B296" s="29">
        <v>7.3</v>
      </c>
      <c r="C296" s="29">
        <v>17.0</v>
      </c>
      <c r="D296" s="30" t="s">
        <v>3</v>
      </c>
      <c r="E296" s="30" t="s">
        <v>4</v>
      </c>
      <c r="F296" s="29">
        <v>7.75</v>
      </c>
      <c r="M296" s="760"/>
      <c r="N296" s="760"/>
      <c r="O296" s="760"/>
    </row>
    <row r="297">
      <c r="A297" s="28">
        <v>44141.0</v>
      </c>
      <c r="B297" s="29">
        <v>7.3</v>
      </c>
      <c r="C297" s="47">
        <v>11.3</v>
      </c>
      <c r="D297" s="622"/>
      <c r="E297" s="47" t="s">
        <v>3536</v>
      </c>
      <c r="F297" s="47">
        <v>4.0</v>
      </c>
      <c r="M297" s="760"/>
      <c r="N297" s="760"/>
      <c r="O297" s="760"/>
    </row>
    <row r="298">
      <c r="A298" s="3" t="s">
        <v>7</v>
      </c>
      <c r="B298" s="14"/>
      <c r="C298" s="14"/>
      <c r="D298" s="15"/>
      <c r="E298" s="6"/>
      <c r="F298" s="735">
        <f>F293+F294+F295+F296+F297</f>
        <v>35</v>
      </c>
      <c r="M298" s="760"/>
      <c r="N298" s="760"/>
      <c r="O298" s="760"/>
    </row>
    <row r="299">
      <c r="A299" s="28">
        <v>44144.0</v>
      </c>
      <c r="B299" s="749">
        <v>7.3</v>
      </c>
      <c r="C299" s="749">
        <v>17.0</v>
      </c>
      <c r="D299" s="752" t="s">
        <v>3</v>
      </c>
      <c r="E299" s="752" t="s">
        <v>4</v>
      </c>
      <c r="F299" s="749">
        <v>7.75</v>
      </c>
      <c r="M299" s="760"/>
      <c r="N299" s="760"/>
      <c r="O299" s="760"/>
    </row>
    <row r="300">
      <c r="A300" s="28">
        <v>44145.0</v>
      </c>
      <c r="B300" s="29">
        <v>7.3</v>
      </c>
      <c r="C300" s="29">
        <v>17.0</v>
      </c>
      <c r="D300" s="30" t="s">
        <v>3</v>
      </c>
      <c r="E300" s="30" t="s">
        <v>4</v>
      </c>
      <c r="F300" s="29">
        <v>7.75</v>
      </c>
      <c r="M300" s="760"/>
      <c r="N300" s="760"/>
      <c r="O300" s="760"/>
    </row>
    <row r="301">
      <c r="A301" s="28">
        <v>44146.0</v>
      </c>
      <c r="B301" s="43" t="s">
        <v>24</v>
      </c>
      <c r="E301" s="44" t="s">
        <v>4</v>
      </c>
      <c r="F301" s="45">
        <v>7.75</v>
      </c>
      <c r="M301" s="760"/>
      <c r="N301" s="760"/>
      <c r="O301" s="760"/>
    </row>
    <row r="302">
      <c r="A302" s="28">
        <v>44147.0</v>
      </c>
      <c r="B302" s="29">
        <v>7.3</v>
      </c>
      <c r="C302" s="29">
        <v>17.0</v>
      </c>
      <c r="D302" s="30" t="s">
        <v>3</v>
      </c>
      <c r="E302" s="30" t="s">
        <v>4</v>
      </c>
      <c r="F302" s="29">
        <v>7.75</v>
      </c>
      <c r="M302" s="760"/>
      <c r="N302" s="760"/>
      <c r="O302" s="760"/>
    </row>
    <row r="303">
      <c r="A303" s="28">
        <v>44148.0</v>
      </c>
      <c r="B303" s="29">
        <v>7.3</v>
      </c>
      <c r="C303" s="47">
        <v>11.3</v>
      </c>
      <c r="D303" s="622"/>
      <c r="E303" s="47" t="s">
        <v>3536</v>
      </c>
      <c r="F303" s="47">
        <v>4.0</v>
      </c>
      <c r="M303" s="760"/>
      <c r="N303" s="760"/>
      <c r="O303" s="760"/>
    </row>
    <row r="304">
      <c r="A304" s="3" t="s">
        <v>7</v>
      </c>
      <c r="B304" s="14"/>
      <c r="C304" s="14"/>
      <c r="D304" s="15"/>
      <c r="E304" s="6"/>
      <c r="F304" s="735">
        <f>F299+F300+F301+F301+F303</f>
        <v>35</v>
      </c>
      <c r="M304" s="760"/>
      <c r="N304" s="760"/>
      <c r="O304" s="760"/>
    </row>
    <row r="305">
      <c r="A305" s="28">
        <v>44151.0</v>
      </c>
      <c r="B305" s="749">
        <v>7.3</v>
      </c>
      <c r="C305" s="749">
        <v>17.0</v>
      </c>
      <c r="D305" s="752" t="s">
        <v>3</v>
      </c>
      <c r="E305" s="752" t="s">
        <v>4</v>
      </c>
      <c r="F305" s="749">
        <v>7.75</v>
      </c>
      <c r="M305" s="760"/>
      <c r="N305" s="760"/>
      <c r="O305" s="760"/>
    </row>
    <row r="306">
      <c r="A306" s="28">
        <v>44152.0</v>
      </c>
      <c r="B306" s="29">
        <v>7.3</v>
      </c>
      <c r="C306" s="29">
        <v>17.0</v>
      </c>
      <c r="D306" s="30" t="s">
        <v>3</v>
      </c>
      <c r="E306" s="30" t="s">
        <v>4</v>
      </c>
      <c r="F306" s="29">
        <v>7.75</v>
      </c>
      <c r="M306" s="760"/>
      <c r="N306" s="760"/>
      <c r="O306" s="760"/>
    </row>
    <row r="307">
      <c r="A307" s="28">
        <v>44153.0</v>
      </c>
      <c r="B307" s="29">
        <v>7.3</v>
      </c>
      <c r="C307" s="29">
        <v>17.0</v>
      </c>
      <c r="D307" s="30" t="s">
        <v>3</v>
      </c>
      <c r="E307" s="30" t="s">
        <v>4</v>
      </c>
      <c r="F307" s="29">
        <v>7.75</v>
      </c>
      <c r="M307" s="760"/>
      <c r="N307" s="760"/>
      <c r="O307" s="760"/>
    </row>
    <row r="308">
      <c r="A308" s="28">
        <v>44154.0</v>
      </c>
      <c r="B308" s="29">
        <v>7.3</v>
      </c>
      <c r="C308" s="29">
        <v>17.0</v>
      </c>
      <c r="D308" s="30" t="s">
        <v>3</v>
      </c>
      <c r="E308" s="30" t="s">
        <v>4</v>
      </c>
      <c r="F308" s="29">
        <v>7.75</v>
      </c>
      <c r="M308" s="760"/>
      <c r="N308" s="760"/>
      <c r="O308" s="760"/>
    </row>
    <row r="309">
      <c r="A309" s="28">
        <v>44155.0</v>
      </c>
      <c r="B309" s="29">
        <v>7.3</v>
      </c>
      <c r="C309" s="47">
        <v>11.3</v>
      </c>
      <c r="D309" s="622"/>
      <c r="E309" s="47" t="s">
        <v>3536</v>
      </c>
      <c r="F309" s="47">
        <v>4.0</v>
      </c>
      <c r="M309" s="760"/>
      <c r="N309" s="760"/>
      <c r="O309" s="760"/>
    </row>
    <row r="310">
      <c r="A310" s="3" t="s">
        <v>7</v>
      </c>
      <c r="B310" s="14"/>
      <c r="C310" s="14"/>
      <c r="D310" s="15"/>
      <c r="E310" s="6"/>
      <c r="F310" s="735">
        <f>F305+F306+F307+F308+F309</f>
        <v>35</v>
      </c>
      <c r="M310" s="760"/>
      <c r="N310" s="760"/>
      <c r="O310" s="760"/>
    </row>
    <row r="311">
      <c r="A311" s="28">
        <v>44158.0</v>
      </c>
      <c r="B311" s="749">
        <v>7.3</v>
      </c>
      <c r="C311" s="749">
        <v>17.0</v>
      </c>
      <c r="D311" s="752" t="s">
        <v>3</v>
      </c>
      <c r="E311" s="752" t="s">
        <v>4</v>
      </c>
      <c r="F311" s="749">
        <v>7.75</v>
      </c>
      <c r="G311" s="32"/>
      <c r="M311" s="760"/>
      <c r="N311" s="760"/>
      <c r="O311" s="760"/>
    </row>
    <row r="312">
      <c r="A312" s="28">
        <v>44159.0</v>
      </c>
      <c r="B312" s="29">
        <v>7.3</v>
      </c>
      <c r="C312" s="29">
        <v>17.0</v>
      </c>
      <c r="D312" s="30" t="s">
        <v>3</v>
      </c>
      <c r="E312" s="30" t="s">
        <v>4</v>
      </c>
      <c r="F312" s="29">
        <v>7.75</v>
      </c>
      <c r="G312" s="32"/>
      <c r="M312" s="760"/>
      <c r="N312" s="760"/>
      <c r="O312" s="760"/>
    </row>
    <row r="313">
      <c r="A313" s="28">
        <v>44160.0</v>
      </c>
      <c r="B313" s="29">
        <v>7.3</v>
      </c>
      <c r="C313" s="29">
        <v>17.0</v>
      </c>
      <c r="D313" s="30" t="s">
        <v>3</v>
      </c>
      <c r="E313" s="30" t="s">
        <v>4</v>
      </c>
      <c r="F313" s="29">
        <v>7.75</v>
      </c>
      <c r="G313" s="32"/>
      <c r="M313" s="760"/>
      <c r="N313" s="760"/>
      <c r="O313" s="760"/>
    </row>
    <row r="314">
      <c r="A314" s="28">
        <v>44161.0</v>
      </c>
      <c r="B314" s="29">
        <v>7.3</v>
      </c>
      <c r="C314" s="29">
        <v>17.0</v>
      </c>
      <c r="D314" s="30" t="s">
        <v>3</v>
      </c>
      <c r="E314" s="30" t="s">
        <v>4</v>
      </c>
      <c r="F314" s="29">
        <v>7.75</v>
      </c>
      <c r="G314" s="32"/>
      <c r="M314" s="760"/>
      <c r="N314" s="760"/>
      <c r="O314" s="760"/>
    </row>
    <row r="315">
      <c r="A315" s="28">
        <v>44162.0</v>
      </c>
      <c r="B315" s="756">
        <v>7.3</v>
      </c>
      <c r="C315" s="756">
        <v>16.15</v>
      </c>
      <c r="D315" s="757" t="s">
        <v>3540</v>
      </c>
      <c r="E315" s="757" t="s">
        <v>3515</v>
      </c>
      <c r="F315" s="756">
        <v>7.0</v>
      </c>
      <c r="G315" s="758">
        <v>3.0</v>
      </c>
      <c r="M315" s="760"/>
      <c r="N315" s="760"/>
      <c r="O315" s="760"/>
    </row>
    <row r="316">
      <c r="A316" s="3" t="s">
        <v>7</v>
      </c>
      <c r="B316" s="14"/>
      <c r="C316" s="14"/>
      <c r="D316" s="15"/>
      <c r="E316" s="6"/>
      <c r="F316" s="735">
        <f>F311+F312+F313+F314+F315</f>
        <v>38</v>
      </c>
      <c r="M316" s="760"/>
      <c r="N316" s="760"/>
      <c r="O316" s="760"/>
    </row>
    <row r="317">
      <c r="A317" s="28">
        <v>44165.0</v>
      </c>
      <c r="B317" s="29">
        <v>7.3</v>
      </c>
      <c r="C317" s="29">
        <v>17.0</v>
      </c>
      <c r="D317" s="30" t="s">
        <v>3</v>
      </c>
      <c r="E317" s="30" t="s">
        <v>4</v>
      </c>
      <c r="F317" s="29">
        <v>7.75</v>
      </c>
      <c r="M317" s="760"/>
      <c r="N317" s="760"/>
      <c r="O317" s="760"/>
    </row>
    <row r="318">
      <c r="A318" s="3" t="s">
        <v>7</v>
      </c>
      <c r="B318" s="14"/>
      <c r="C318" s="14"/>
      <c r="D318" s="15"/>
      <c r="E318" s="6"/>
      <c r="F318" s="735">
        <f>F317</f>
        <v>7.75</v>
      </c>
      <c r="M318" s="9" t="s">
        <v>9</v>
      </c>
      <c r="N318" s="10" t="s">
        <v>10</v>
      </c>
      <c r="O318" s="10" t="s">
        <v>1</v>
      </c>
    </row>
    <row r="319">
      <c r="A319" s="13" t="s">
        <v>2</v>
      </c>
      <c r="B319" s="14"/>
      <c r="C319" s="14"/>
      <c r="D319" s="15"/>
      <c r="E319" s="16"/>
      <c r="F319" s="17">
        <f>F298+F310+F316+F318+F304</f>
        <v>150.75</v>
      </c>
      <c r="G319" s="18">
        <f>G315</f>
        <v>3</v>
      </c>
      <c r="H319" s="19">
        <v>-6.25</v>
      </c>
      <c r="I319" s="19">
        <f>G319+H319</f>
        <v>-3.25</v>
      </c>
      <c r="J319" s="21" t="s">
        <v>3766</v>
      </c>
      <c r="K319" s="22" t="s">
        <v>3767</v>
      </c>
      <c r="L319" s="23" t="s">
        <v>14</v>
      </c>
      <c r="M319" s="224">
        <v>1589.45</v>
      </c>
      <c r="N319" s="224">
        <v>1088.25</v>
      </c>
      <c r="O319" s="224">
        <v>1301.57</v>
      </c>
    </row>
    <row r="320">
      <c r="A320" s="728" t="s">
        <v>243</v>
      </c>
      <c r="B320" s="728" t="s">
        <v>3445</v>
      </c>
      <c r="C320" s="728" t="s">
        <v>3446</v>
      </c>
      <c r="D320" s="728" t="s">
        <v>3447</v>
      </c>
      <c r="E320" s="728" t="s">
        <v>3448</v>
      </c>
      <c r="F320" s="729" t="s">
        <v>3449</v>
      </c>
      <c r="G320" s="730" t="s">
        <v>3450</v>
      </c>
      <c r="H320" s="731" t="s">
        <v>3451</v>
      </c>
      <c r="I320" s="732" t="s">
        <v>3452</v>
      </c>
      <c r="J320" s="733" t="s">
        <v>50</v>
      </c>
      <c r="K320" s="734" t="s">
        <v>3671</v>
      </c>
      <c r="M320" s="760"/>
      <c r="N320" s="760"/>
      <c r="O320" s="760"/>
    </row>
    <row r="321">
      <c r="A321" s="28">
        <v>44166.0</v>
      </c>
      <c r="B321" s="29">
        <v>7.3</v>
      </c>
      <c r="C321" s="29">
        <v>17.0</v>
      </c>
      <c r="D321" s="30" t="s">
        <v>3</v>
      </c>
      <c r="E321" s="30" t="s">
        <v>4</v>
      </c>
      <c r="F321" s="29">
        <v>7.75</v>
      </c>
      <c r="G321" s="32"/>
      <c r="M321" s="760"/>
      <c r="N321" s="760"/>
      <c r="O321" s="760"/>
    </row>
    <row r="322">
      <c r="A322" s="28">
        <v>44167.0</v>
      </c>
      <c r="B322" s="29">
        <v>7.3</v>
      </c>
      <c r="C322" s="29">
        <v>17.0</v>
      </c>
      <c r="D322" s="30" t="s">
        <v>3</v>
      </c>
      <c r="E322" s="30" t="s">
        <v>4</v>
      </c>
      <c r="F322" s="29">
        <v>7.75</v>
      </c>
      <c r="G322" s="32"/>
      <c r="M322" s="760"/>
      <c r="N322" s="760"/>
      <c r="O322" s="760"/>
    </row>
    <row r="323">
      <c r="A323" s="28">
        <v>44168.0</v>
      </c>
      <c r="B323" s="29">
        <v>7.3</v>
      </c>
      <c r="C323" s="29">
        <v>17.0</v>
      </c>
      <c r="D323" s="30" t="s">
        <v>3</v>
      </c>
      <c r="E323" s="30" t="s">
        <v>4</v>
      </c>
      <c r="F323" s="29">
        <v>7.75</v>
      </c>
      <c r="G323" s="32"/>
      <c r="M323" s="760"/>
      <c r="N323" s="760"/>
      <c r="O323" s="760"/>
    </row>
    <row r="324">
      <c r="A324" s="28">
        <v>44169.0</v>
      </c>
      <c r="B324" s="756">
        <v>7.3</v>
      </c>
      <c r="C324" s="756">
        <v>16.15</v>
      </c>
      <c r="D324" s="757" t="s">
        <v>3540</v>
      </c>
      <c r="E324" s="757" t="s">
        <v>3515</v>
      </c>
      <c r="F324" s="756">
        <v>7.0</v>
      </c>
      <c r="G324" s="758">
        <v>3.0</v>
      </c>
      <c r="M324" s="760"/>
      <c r="N324" s="760"/>
      <c r="O324" s="760"/>
    </row>
    <row r="325">
      <c r="A325" s="3" t="s">
        <v>7</v>
      </c>
      <c r="B325" s="14"/>
      <c r="C325" s="14"/>
      <c r="D325" s="15"/>
      <c r="E325" s="6"/>
      <c r="F325" s="735">
        <f>F321+F322+F323+F324</f>
        <v>30.25</v>
      </c>
      <c r="M325" s="760"/>
      <c r="N325" s="760"/>
      <c r="O325" s="760"/>
    </row>
    <row r="326">
      <c r="A326" s="28">
        <v>44172.0</v>
      </c>
      <c r="B326" s="749">
        <v>7.3</v>
      </c>
      <c r="C326" s="749">
        <v>17.0</v>
      </c>
      <c r="D326" s="752" t="s">
        <v>3</v>
      </c>
      <c r="E326" s="752" t="s">
        <v>4</v>
      </c>
      <c r="F326" s="749">
        <v>7.75</v>
      </c>
      <c r="G326" s="32"/>
      <c r="M326" s="760"/>
      <c r="N326" s="760"/>
      <c r="O326" s="760"/>
    </row>
    <row r="327">
      <c r="A327" s="28">
        <v>44173.0</v>
      </c>
      <c r="B327" s="29">
        <v>7.3</v>
      </c>
      <c r="C327" s="29">
        <v>17.0</v>
      </c>
      <c r="D327" s="30" t="s">
        <v>3</v>
      </c>
      <c r="E327" s="30" t="s">
        <v>4</v>
      </c>
      <c r="F327" s="29">
        <v>7.75</v>
      </c>
      <c r="G327" s="32"/>
      <c r="M327" s="760"/>
      <c r="N327" s="760"/>
      <c r="O327" s="760"/>
    </row>
    <row r="328">
      <c r="A328" s="28">
        <v>44174.0</v>
      </c>
      <c r="B328" s="29">
        <v>7.3</v>
      </c>
      <c r="C328" s="29">
        <v>17.0</v>
      </c>
      <c r="D328" s="30" t="s">
        <v>3</v>
      </c>
      <c r="E328" s="30" t="s">
        <v>4</v>
      </c>
      <c r="F328" s="29">
        <v>7.75</v>
      </c>
      <c r="G328" s="32"/>
      <c r="M328" s="760"/>
      <c r="N328" s="760"/>
      <c r="O328" s="760"/>
    </row>
    <row r="329">
      <c r="A329" s="28">
        <v>44175.0</v>
      </c>
      <c r="B329" s="34" t="s">
        <v>3556</v>
      </c>
      <c r="G329" s="32"/>
      <c r="H329" s="650" t="s">
        <v>3672</v>
      </c>
      <c r="J329" s="785" t="s">
        <v>3673</v>
      </c>
      <c r="M329" s="760"/>
      <c r="N329" s="760"/>
      <c r="O329" s="760"/>
    </row>
    <row r="330" ht="23.25" customHeight="1">
      <c r="A330" s="28">
        <v>44176.0</v>
      </c>
      <c r="B330" s="34" t="s">
        <v>3556</v>
      </c>
      <c r="G330" s="29"/>
      <c r="M330" s="760"/>
      <c r="N330" s="760"/>
      <c r="O330" s="760"/>
    </row>
    <row r="331">
      <c r="A331" s="3" t="s">
        <v>7</v>
      </c>
      <c r="B331" s="14"/>
      <c r="C331" s="14"/>
      <c r="D331" s="15"/>
      <c r="E331" s="6"/>
      <c r="F331" s="735">
        <f>F326+F327+F328+F329+F330</f>
        <v>23.25</v>
      </c>
      <c r="M331" s="760"/>
      <c r="N331" s="760"/>
      <c r="O331" s="760"/>
    </row>
    <row r="332">
      <c r="A332" s="28">
        <v>44179.0</v>
      </c>
      <c r="B332" s="749">
        <v>7.3</v>
      </c>
      <c r="C332" s="749">
        <v>17.0</v>
      </c>
      <c r="D332" s="752" t="s">
        <v>3</v>
      </c>
      <c r="E332" s="752" t="s">
        <v>4</v>
      </c>
      <c r="F332" s="749">
        <v>7.75</v>
      </c>
      <c r="G332" s="32"/>
      <c r="M332" s="760"/>
      <c r="N332" s="760"/>
      <c r="O332" s="760"/>
    </row>
    <row r="333">
      <c r="A333" s="28">
        <v>44180.0</v>
      </c>
      <c r="B333" s="29">
        <v>7.3</v>
      </c>
      <c r="C333" s="29">
        <v>17.0</v>
      </c>
      <c r="D333" s="30" t="s">
        <v>3</v>
      </c>
      <c r="E333" s="30" t="s">
        <v>4</v>
      </c>
      <c r="F333" s="29">
        <v>7.75</v>
      </c>
      <c r="G333" s="32"/>
      <c r="M333" s="760"/>
      <c r="N333" s="760"/>
      <c r="O333" s="760"/>
    </row>
    <row r="334">
      <c r="A334" s="28">
        <v>44181.0</v>
      </c>
      <c r="B334" s="29">
        <v>7.3</v>
      </c>
      <c r="C334" s="29">
        <v>17.0</v>
      </c>
      <c r="D334" s="30" t="s">
        <v>3</v>
      </c>
      <c r="E334" s="30" t="s">
        <v>4</v>
      </c>
      <c r="F334" s="29">
        <v>7.75</v>
      </c>
      <c r="G334" s="32"/>
      <c r="M334" s="760"/>
      <c r="N334" s="760"/>
      <c r="O334" s="760"/>
    </row>
    <row r="335">
      <c r="A335" s="28">
        <v>44182.0</v>
      </c>
      <c r="B335" s="29">
        <v>7.3</v>
      </c>
      <c r="C335" s="29">
        <v>17.0</v>
      </c>
      <c r="D335" s="30" t="s">
        <v>3</v>
      </c>
      <c r="E335" s="30" t="s">
        <v>4</v>
      </c>
      <c r="F335" s="29">
        <v>7.75</v>
      </c>
      <c r="G335" s="32"/>
      <c r="M335" s="760"/>
      <c r="N335" s="760"/>
      <c r="O335" s="760"/>
    </row>
    <row r="336">
      <c r="A336" s="28">
        <v>44183.0</v>
      </c>
      <c r="B336" s="756">
        <v>7.3</v>
      </c>
      <c r="C336" s="756">
        <v>16.15</v>
      </c>
      <c r="D336" s="757" t="s">
        <v>3540</v>
      </c>
      <c r="E336" s="757" t="s">
        <v>3515</v>
      </c>
      <c r="F336" s="756">
        <v>7.0</v>
      </c>
      <c r="G336" s="758">
        <v>3.0</v>
      </c>
      <c r="M336" s="760"/>
      <c r="N336" s="760"/>
      <c r="O336" s="760"/>
    </row>
    <row r="337">
      <c r="A337" s="3" t="s">
        <v>7</v>
      </c>
      <c r="B337" s="14"/>
      <c r="C337" s="14"/>
      <c r="D337" s="15"/>
      <c r="E337" s="6"/>
      <c r="F337" s="735">
        <f>F332+F333+F334+F335+F336</f>
        <v>38</v>
      </c>
      <c r="M337" s="9" t="s">
        <v>9</v>
      </c>
      <c r="N337" s="10" t="s">
        <v>10</v>
      </c>
      <c r="O337" s="10" t="s">
        <v>1</v>
      </c>
    </row>
    <row r="338">
      <c r="A338" s="13" t="s">
        <v>2</v>
      </c>
      <c r="B338" s="14"/>
      <c r="C338" s="14"/>
      <c r="D338" s="15"/>
      <c r="E338" s="16"/>
      <c r="F338" s="17">
        <f>F325+F331+F337</f>
        <v>91.5</v>
      </c>
      <c r="G338" s="18">
        <f>G312+G318+G324+G330+G336</f>
        <v>6</v>
      </c>
      <c r="H338" s="19">
        <f>H323+H324</f>
        <v>0</v>
      </c>
      <c r="I338" s="20">
        <f>G338-H338</f>
        <v>6</v>
      </c>
      <c r="J338" s="21" t="s">
        <v>3674</v>
      </c>
      <c r="K338" s="22" t="s">
        <v>3675</v>
      </c>
      <c r="L338" s="23" t="s">
        <v>14</v>
      </c>
      <c r="M338" s="466">
        <v>1436.15</v>
      </c>
      <c r="N338" s="466">
        <v>966.91</v>
      </c>
      <c r="O338" s="466">
        <v>1175.86</v>
      </c>
    </row>
    <row r="339">
      <c r="M339" s="760"/>
      <c r="N339" s="760"/>
      <c r="O339" s="760"/>
    </row>
    <row r="340">
      <c r="A340" s="822" t="s">
        <v>3676</v>
      </c>
      <c r="G340" s="737" t="s">
        <v>3677</v>
      </c>
      <c r="M340" s="760"/>
      <c r="N340" s="760"/>
      <c r="O340" s="760"/>
    </row>
    <row r="341">
      <c r="M341" s="760"/>
      <c r="N341" s="760"/>
      <c r="O341" s="760"/>
    </row>
    <row r="342">
      <c r="M342" s="760"/>
      <c r="N342" s="760"/>
      <c r="O342" s="760"/>
    </row>
    <row r="343">
      <c r="M343" s="760"/>
      <c r="N343" s="760"/>
      <c r="O343" s="760"/>
    </row>
    <row r="344">
      <c r="M344" s="760"/>
      <c r="N344" s="760"/>
      <c r="O344" s="760"/>
    </row>
    <row r="345">
      <c r="M345" s="760"/>
      <c r="N345" s="760"/>
      <c r="O345" s="760"/>
    </row>
    <row r="346">
      <c r="M346" s="760"/>
      <c r="N346" s="760"/>
      <c r="O346" s="760"/>
    </row>
    <row r="347">
      <c r="M347" s="760"/>
      <c r="N347" s="760"/>
      <c r="O347" s="760"/>
    </row>
    <row r="348">
      <c r="M348" s="760"/>
      <c r="N348" s="760"/>
      <c r="O348" s="760"/>
    </row>
    <row r="349">
      <c r="M349" s="760"/>
      <c r="N349" s="760"/>
      <c r="O349" s="760"/>
    </row>
    <row r="350">
      <c r="M350" s="760"/>
      <c r="N350" s="760"/>
      <c r="O350" s="760"/>
    </row>
  </sheetData>
  <mergeCells count="136">
    <mergeCell ref="A1:K1"/>
    <mergeCell ref="B6:E6"/>
    <mergeCell ref="B7:E7"/>
    <mergeCell ref="A8:D8"/>
    <mergeCell ref="A14:D14"/>
    <mergeCell ref="A20:D20"/>
    <mergeCell ref="A21:D21"/>
    <mergeCell ref="A23:F23"/>
    <mergeCell ref="G23:I23"/>
    <mergeCell ref="A25:O25"/>
    <mergeCell ref="B27:E27"/>
    <mergeCell ref="J27:J31"/>
    <mergeCell ref="B28:E28"/>
    <mergeCell ref="B29:E29"/>
    <mergeCell ref="B30:E30"/>
    <mergeCell ref="B31:E31"/>
    <mergeCell ref="A32:D32"/>
    <mergeCell ref="A38:D38"/>
    <mergeCell ref="A44:D44"/>
    <mergeCell ref="A50:D50"/>
    <mergeCell ref="A51:D51"/>
    <mergeCell ref="A58:D58"/>
    <mergeCell ref="B63:E63"/>
    <mergeCell ref="A64:D64"/>
    <mergeCell ref="A70:D70"/>
    <mergeCell ref="A76:D76"/>
    <mergeCell ref="A77:D77"/>
    <mergeCell ref="B79:E79"/>
    <mergeCell ref="B82:E82"/>
    <mergeCell ref="B83:E83"/>
    <mergeCell ref="A84:D84"/>
    <mergeCell ref="B85:E85"/>
    <mergeCell ref="B86:E86"/>
    <mergeCell ref="B87:E87"/>
    <mergeCell ref="B88:E88"/>
    <mergeCell ref="B89:E89"/>
    <mergeCell ref="A90:D90"/>
    <mergeCell ref="B91:E91"/>
    <mergeCell ref="B92:E92"/>
    <mergeCell ref="B93:E93"/>
    <mergeCell ref="B94:E94"/>
    <mergeCell ref="B95:E95"/>
    <mergeCell ref="M102:O104"/>
    <mergeCell ref="M107:O107"/>
    <mergeCell ref="A156:D156"/>
    <mergeCell ref="A162:D162"/>
    <mergeCell ref="A163:D163"/>
    <mergeCell ref="A170:D170"/>
    <mergeCell ref="A176:D176"/>
    <mergeCell ref="A182:D182"/>
    <mergeCell ref="A188:D188"/>
    <mergeCell ref="A191:D191"/>
    <mergeCell ref="A192:D192"/>
    <mergeCell ref="A197:D197"/>
    <mergeCell ref="A203:D203"/>
    <mergeCell ref="B205:D205"/>
    <mergeCell ref="A209:D209"/>
    <mergeCell ref="A215:D215"/>
    <mergeCell ref="A229:D229"/>
    <mergeCell ref="A232:D232"/>
    <mergeCell ref="A233:D233"/>
    <mergeCell ref="A239:D239"/>
    <mergeCell ref="A245:D245"/>
    <mergeCell ref="A251:D251"/>
    <mergeCell ref="B256:F256"/>
    <mergeCell ref="A257:D257"/>
    <mergeCell ref="A261:D261"/>
    <mergeCell ref="A262:D262"/>
    <mergeCell ref="A266:D266"/>
    <mergeCell ref="A272:D272"/>
    <mergeCell ref="A278:D278"/>
    <mergeCell ref="A284:D284"/>
    <mergeCell ref="A290:D290"/>
    <mergeCell ref="A291:D291"/>
    <mergeCell ref="A298:D298"/>
    <mergeCell ref="B301:D301"/>
    <mergeCell ref="A304:D304"/>
    <mergeCell ref="A310:D310"/>
    <mergeCell ref="A316:D316"/>
    <mergeCell ref="A337:D337"/>
    <mergeCell ref="A338:D338"/>
    <mergeCell ref="A340:F340"/>
    <mergeCell ref="G340:I340"/>
    <mergeCell ref="A318:D318"/>
    <mergeCell ref="A319:D319"/>
    <mergeCell ref="A325:D325"/>
    <mergeCell ref="B329:F329"/>
    <mergeCell ref="H329:H330"/>
    <mergeCell ref="B330:F330"/>
    <mergeCell ref="A331:D331"/>
    <mergeCell ref="A96:D96"/>
    <mergeCell ref="B97:E97"/>
    <mergeCell ref="B98:E98"/>
    <mergeCell ref="B99:E99"/>
    <mergeCell ref="B100:E100"/>
    <mergeCell ref="B101:E101"/>
    <mergeCell ref="B104:E104"/>
    <mergeCell ref="A102:D102"/>
    <mergeCell ref="B103:E103"/>
    <mergeCell ref="A105:D105"/>
    <mergeCell ref="A106:D106"/>
    <mergeCell ref="B108:E108"/>
    <mergeCell ref="B109:E109"/>
    <mergeCell ref="B110:E110"/>
    <mergeCell ref="A111:D111"/>
    <mergeCell ref="B112:E112"/>
    <mergeCell ref="B113:E113"/>
    <mergeCell ref="B114:E114"/>
    <mergeCell ref="B115:E115"/>
    <mergeCell ref="B116:E116"/>
    <mergeCell ref="A117:D117"/>
    <mergeCell ref="B118:E118"/>
    <mergeCell ref="B119:E119"/>
    <mergeCell ref="B120:E120"/>
    <mergeCell ref="B121:E121"/>
    <mergeCell ref="B122:E122"/>
    <mergeCell ref="A123:D123"/>
    <mergeCell ref="B124:E124"/>
    <mergeCell ref="B125:E125"/>
    <mergeCell ref="B126:E126"/>
    <mergeCell ref="B127:E127"/>
    <mergeCell ref="B128:E128"/>
    <mergeCell ref="A129:D129"/>
    <mergeCell ref="A134:D134"/>
    <mergeCell ref="M136:O136"/>
    <mergeCell ref="A135:D135"/>
    <mergeCell ref="B137:D137"/>
    <mergeCell ref="A138:D138"/>
    <mergeCell ref="B143:D143"/>
    <mergeCell ref="A144:D144"/>
    <mergeCell ref="A150:D150"/>
    <mergeCell ref="B154:D154"/>
    <mergeCell ref="A221:D221"/>
    <mergeCell ref="A222:D222"/>
    <mergeCell ref="A230:F230"/>
    <mergeCell ref="G230:J2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0"/>
    <col customWidth="1" min="2" max="2" width="9.71"/>
    <col customWidth="1" min="3" max="3" width="12.29"/>
    <col customWidth="1" min="4" max="5" width="11.57"/>
    <col customWidth="1" min="6" max="6" width="11.86"/>
    <col customWidth="1" min="7" max="7" width="11.0"/>
    <col customWidth="1" min="13" max="13" width="25.57"/>
  </cols>
  <sheetData>
    <row r="2">
      <c r="A2" s="776" t="s">
        <v>3592</v>
      </c>
      <c r="B2" s="728" t="s">
        <v>243</v>
      </c>
      <c r="C2" s="728" t="s">
        <v>3445</v>
      </c>
      <c r="D2" s="728" t="s">
        <v>3446</v>
      </c>
      <c r="E2" s="728" t="s">
        <v>3447</v>
      </c>
      <c r="F2" s="728" t="s">
        <v>3448</v>
      </c>
      <c r="G2" s="729" t="s">
        <v>3449</v>
      </c>
      <c r="H2" s="777" t="s">
        <v>3593</v>
      </c>
      <c r="I2" s="778" t="s">
        <v>3594</v>
      </c>
      <c r="J2" s="778" t="s">
        <v>3595</v>
      </c>
      <c r="K2" s="778" t="s">
        <v>3596</v>
      </c>
      <c r="L2" s="778" t="s">
        <v>3597</v>
      </c>
      <c r="M2" s="474" t="s">
        <v>50</v>
      </c>
    </row>
    <row r="3">
      <c r="A3" s="823" t="s">
        <v>3612</v>
      </c>
      <c r="B3" s="28">
        <v>44378.0</v>
      </c>
      <c r="C3" s="39" t="s">
        <v>36</v>
      </c>
      <c r="D3" s="39" t="s">
        <v>3768</v>
      </c>
      <c r="E3" s="42" t="s">
        <v>5</v>
      </c>
      <c r="F3" s="42" t="s">
        <v>3769</v>
      </c>
      <c r="G3" s="39">
        <v>5.0</v>
      </c>
      <c r="H3" s="39">
        <v>5.0</v>
      </c>
      <c r="I3" s="47">
        <v>0.0</v>
      </c>
      <c r="K3" s="51"/>
      <c r="L3" s="51"/>
    </row>
    <row r="4">
      <c r="B4" s="28">
        <v>44379.0</v>
      </c>
      <c r="C4" s="756"/>
      <c r="D4" s="756"/>
      <c r="E4" s="757"/>
      <c r="F4" s="757"/>
      <c r="G4" s="756"/>
      <c r="H4" s="29"/>
      <c r="I4" s="622"/>
    </row>
    <row r="5">
      <c r="A5" s="4" t="s">
        <v>7</v>
      </c>
      <c r="B5" s="14"/>
      <c r="C5" s="14"/>
      <c r="D5" s="15"/>
      <c r="E5" s="5"/>
      <c r="F5" s="824" t="s">
        <v>3769</v>
      </c>
      <c r="G5" s="735">
        <f>G3</f>
        <v>5</v>
      </c>
      <c r="I5" s="622"/>
    </row>
    <row r="6">
      <c r="A6" s="825" t="s">
        <v>3612</v>
      </c>
      <c r="B6" s="28">
        <v>44382.0</v>
      </c>
      <c r="C6" s="754" t="s">
        <v>3667</v>
      </c>
      <c r="D6" s="754" t="s">
        <v>3770</v>
      </c>
      <c r="E6" s="753" t="s">
        <v>5</v>
      </c>
      <c r="F6" s="753" t="s">
        <v>3536</v>
      </c>
      <c r="G6" s="754">
        <v>4.0</v>
      </c>
      <c r="H6" s="47">
        <v>4.5</v>
      </c>
      <c r="I6" s="47">
        <v>0.5</v>
      </c>
      <c r="J6" s="51" t="s">
        <v>3658</v>
      </c>
      <c r="K6" s="51"/>
      <c r="L6" s="51"/>
    </row>
    <row r="7">
      <c r="B7" s="28">
        <v>44383.0</v>
      </c>
      <c r="C7" s="29"/>
      <c r="D7" s="29"/>
      <c r="E7" s="30"/>
      <c r="F7" s="30"/>
      <c r="G7" s="29"/>
      <c r="I7" s="622"/>
    </row>
    <row r="8">
      <c r="B8" s="28">
        <v>44384.0</v>
      </c>
      <c r="C8" s="29"/>
      <c r="D8" s="29"/>
      <c r="E8" s="30"/>
      <c r="F8" s="30"/>
      <c r="G8" s="29"/>
      <c r="I8" s="622"/>
    </row>
    <row r="9">
      <c r="B9" s="28">
        <v>44385.0</v>
      </c>
      <c r="C9" s="29"/>
      <c r="D9" s="29"/>
      <c r="E9" s="30"/>
      <c r="F9" s="30"/>
      <c r="G9" s="29"/>
      <c r="I9" s="622"/>
    </row>
    <row r="10">
      <c r="A10" s="826" t="s">
        <v>3620</v>
      </c>
      <c r="B10" s="28">
        <v>44386.0</v>
      </c>
      <c r="C10" s="762" t="s">
        <v>3507</v>
      </c>
      <c r="D10" s="762" t="s">
        <v>3771</v>
      </c>
      <c r="E10" s="763" t="s">
        <v>5</v>
      </c>
      <c r="F10" s="763" t="s">
        <v>22</v>
      </c>
      <c r="G10" s="762">
        <v>8.75</v>
      </c>
      <c r="H10" s="39">
        <v>7.0</v>
      </c>
      <c r="I10" s="827">
        <v>-1.75</v>
      </c>
      <c r="J10" s="828" t="s">
        <v>3772</v>
      </c>
      <c r="K10" s="51"/>
      <c r="L10" s="51"/>
    </row>
    <row r="11">
      <c r="A11" s="4" t="s">
        <v>7</v>
      </c>
      <c r="B11" s="14"/>
      <c r="C11" s="14"/>
      <c r="D11" s="15"/>
      <c r="E11" s="5"/>
      <c r="F11" s="824" t="s">
        <v>3625</v>
      </c>
      <c r="G11" s="735">
        <f>G6+G7+G8+G9+G10</f>
        <v>12.75</v>
      </c>
      <c r="I11" s="622"/>
    </row>
    <row r="12">
      <c r="A12" s="826" t="s">
        <v>3620</v>
      </c>
      <c r="B12" s="28">
        <v>44389.0</v>
      </c>
      <c r="C12" s="754" t="s">
        <v>3515</v>
      </c>
      <c r="D12" s="754" t="s">
        <v>3771</v>
      </c>
      <c r="E12" s="753" t="s">
        <v>5</v>
      </c>
      <c r="F12" s="753" t="s">
        <v>36</v>
      </c>
      <c r="G12" s="754">
        <v>8.5</v>
      </c>
      <c r="H12" s="47">
        <v>8.0</v>
      </c>
      <c r="I12" s="827">
        <v>-0.5</v>
      </c>
      <c r="J12" s="828" t="s">
        <v>3773</v>
      </c>
      <c r="K12" s="51"/>
      <c r="L12" s="51"/>
    </row>
    <row r="13">
      <c r="A13" s="826" t="s">
        <v>3620</v>
      </c>
      <c r="B13" s="28">
        <v>44390.0</v>
      </c>
      <c r="C13" s="39" t="s">
        <v>3774</v>
      </c>
      <c r="D13" s="39" t="s">
        <v>3775</v>
      </c>
      <c r="E13" s="42" t="s">
        <v>5</v>
      </c>
      <c r="F13" s="42" t="s">
        <v>3776</v>
      </c>
      <c r="G13" s="39">
        <v>9.83</v>
      </c>
      <c r="H13" s="47">
        <v>7.0</v>
      </c>
      <c r="I13" s="827">
        <v>-2.83</v>
      </c>
      <c r="J13" s="828" t="s">
        <v>3777</v>
      </c>
    </row>
    <row r="14">
      <c r="A14" s="826" t="s">
        <v>3620</v>
      </c>
      <c r="B14" s="28">
        <v>44391.0</v>
      </c>
      <c r="C14" s="648" t="s">
        <v>24</v>
      </c>
      <c r="F14" s="51" t="s">
        <v>3515</v>
      </c>
      <c r="G14" s="47">
        <v>7.0</v>
      </c>
      <c r="H14" s="47">
        <v>7.0</v>
      </c>
      <c r="I14" s="47">
        <v>0.0</v>
      </c>
    </row>
    <row r="15">
      <c r="A15" s="826" t="s">
        <v>3620</v>
      </c>
      <c r="B15" s="28">
        <v>44392.0</v>
      </c>
      <c r="C15" s="39" t="s">
        <v>3538</v>
      </c>
      <c r="D15" s="39" t="s">
        <v>3667</v>
      </c>
      <c r="E15" s="42" t="s">
        <v>5</v>
      </c>
      <c r="F15" s="42" t="s">
        <v>3538</v>
      </c>
      <c r="G15" s="39">
        <v>7.5</v>
      </c>
      <c r="H15" s="47">
        <v>7.5</v>
      </c>
      <c r="I15" s="47">
        <v>0.0</v>
      </c>
    </row>
    <row r="16">
      <c r="B16" s="28">
        <v>44393.0</v>
      </c>
      <c r="C16" s="756"/>
      <c r="D16" s="756"/>
      <c r="E16" s="757"/>
      <c r="F16" s="757"/>
      <c r="G16" s="756"/>
      <c r="H16" s="29"/>
      <c r="I16" s="622"/>
    </row>
    <row r="17">
      <c r="A17" s="4" t="s">
        <v>7</v>
      </c>
      <c r="B17" s="14"/>
      <c r="C17" s="14"/>
      <c r="D17" s="15"/>
      <c r="E17" s="5"/>
      <c r="F17" s="824" t="s">
        <v>3778</v>
      </c>
      <c r="G17" s="735">
        <f>G12+G13+G14+G15+G16</f>
        <v>32.83</v>
      </c>
      <c r="H17" s="622"/>
      <c r="I17" s="622"/>
    </row>
    <row r="18">
      <c r="A18" s="826" t="s">
        <v>3620</v>
      </c>
      <c r="B18" s="28">
        <v>44396.0</v>
      </c>
      <c r="C18" s="754" t="s">
        <v>3538</v>
      </c>
      <c r="D18" s="754" t="s">
        <v>3775</v>
      </c>
      <c r="E18" s="753" t="s">
        <v>5</v>
      </c>
      <c r="F18" s="753" t="s">
        <v>3779</v>
      </c>
      <c r="G18" s="754">
        <v>7.83</v>
      </c>
      <c r="H18" s="47">
        <v>8.0</v>
      </c>
      <c r="I18" s="47">
        <v>0.17</v>
      </c>
      <c r="J18" s="51" t="s">
        <v>3780</v>
      </c>
    </row>
    <row r="19">
      <c r="A19" s="825" t="s">
        <v>3612</v>
      </c>
      <c r="B19" s="28">
        <v>44397.0</v>
      </c>
      <c r="C19" s="39" t="s">
        <v>36</v>
      </c>
      <c r="D19" s="39" t="s">
        <v>3599</v>
      </c>
      <c r="E19" s="42" t="s">
        <v>5</v>
      </c>
      <c r="F19" s="42" t="s">
        <v>3536</v>
      </c>
      <c r="G19" s="39">
        <v>4.0</v>
      </c>
      <c r="H19" s="39">
        <v>4.0</v>
      </c>
      <c r="I19" s="47">
        <v>0.0</v>
      </c>
    </row>
    <row r="20">
      <c r="B20" s="28">
        <v>44398.0</v>
      </c>
      <c r="C20" s="29"/>
      <c r="D20" s="29"/>
      <c r="E20" s="42"/>
      <c r="F20" s="42"/>
      <c r="G20" s="39"/>
      <c r="H20" s="39"/>
      <c r="I20" s="622"/>
    </row>
    <row r="21">
      <c r="A21" s="829" t="s">
        <v>3781</v>
      </c>
      <c r="B21" s="28">
        <v>44399.0</v>
      </c>
      <c r="C21" s="39" t="s">
        <v>3562</v>
      </c>
      <c r="D21" s="39" t="s">
        <v>3782</v>
      </c>
      <c r="E21" s="42" t="s">
        <v>31</v>
      </c>
      <c r="F21" s="42" t="s">
        <v>3457</v>
      </c>
      <c r="G21" s="39">
        <v>7.25</v>
      </c>
      <c r="H21" s="39">
        <v>7.0</v>
      </c>
      <c r="I21" s="827">
        <v>-0.25</v>
      </c>
      <c r="J21" s="828" t="s">
        <v>3783</v>
      </c>
      <c r="M21" s="51" t="s">
        <v>3784</v>
      </c>
    </row>
    <row r="22">
      <c r="A22" s="826" t="s">
        <v>3620</v>
      </c>
      <c r="B22" s="28">
        <v>44400.0</v>
      </c>
      <c r="C22" s="762" t="s">
        <v>3515</v>
      </c>
      <c r="D22" s="762" t="s">
        <v>3785</v>
      </c>
      <c r="E22" s="763" t="s">
        <v>5</v>
      </c>
      <c r="F22" s="763" t="s">
        <v>3786</v>
      </c>
      <c r="G22" s="762">
        <v>7.33</v>
      </c>
      <c r="H22" s="39">
        <v>7.0</v>
      </c>
      <c r="I22" s="827">
        <v>-0.33</v>
      </c>
      <c r="J22" s="828" t="s">
        <v>3787</v>
      </c>
      <c r="M22" s="51" t="s">
        <v>3788</v>
      </c>
    </row>
    <row r="23">
      <c r="A23" s="4" t="s">
        <v>7</v>
      </c>
      <c r="B23" s="14"/>
      <c r="C23" s="14"/>
      <c r="D23" s="15"/>
      <c r="E23" s="5"/>
      <c r="F23" s="824" t="s">
        <v>3789</v>
      </c>
      <c r="G23" s="735">
        <f>G18+G19+G20+G21+G22</f>
        <v>26.41</v>
      </c>
      <c r="H23" s="622"/>
      <c r="I23" s="622"/>
    </row>
    <row r="24">
      <c r="B24" s="28">
        <v>44403.0</v>
      </c>
      <c r="C24" s="749"/>
      <c r="D24" s="749"/>
      <c r="E24" s="752"/>
      <c r="F24" s="752"/>
      <c r="G24" s="749"/>
      <c r="H24" s="622"/>
      <c r="I24" s="622"/>
    </row>
    <row r="25">
      <c r="A25" s="826" t="s">
        <v>3620</v>
      </c>
      <c r="B25" s="28">
        <v>44404.0</v>
      </c>
      <c r="C25" s="39" t="s">
        <v>3538</v>
      </c>
      <c r="D25" s="39" t="s">
        <v>3790</v>
      </c>
      <c r="E25" s="42" t="s">
        <v>5</v>
      </c>
      <c r="F25" s="42" t="s">
        <v>3791</v>
      </c>
      <c r="G25" s="39">
        <v>10.67</v>
      </c>
      <c r="H25" s="830">
        <v>17.5</v>
      </c>
      <c r="I25" s="831">
        <v>-1.17</v>
      </c>
      <c r="J25" s="832" t="s">
        <v>3792</v>
      </c>
      <c r="M25" s="650" t="s">
        <v>3793</v>
      </c>
    </row>
    <row r="26">
      <c r="A26" s="826" t="s">
        <v>3620</v>
      </c>
      <c r="B26" s="28">
        <v>44405.0</v>
      </c>
      <c r="C26" s="39" t="s">
        <v>3541</v>
      </c>
      <c r="D26" s="39" t="s">
        <v>3661</v>
      </c>
      <c r="E26" s="42" t="s">
        <v>5</v>
      </c>
      <c r="F26" s="42" t="s">
        <v>3562</v>
      </c>
      <c r="G26" s="39">
        <v>8.0</v>
      </c>
    </row>
    <row r="27">
      <c r="A27" s="28"/>
      <c r="B27" s="28">
        <v>44406.0</v>
      </c>
      <c r="C27" s="29"/>
      <c r="D27" s="29"/>
      <c r="E27" s="30"/>
      <c r="F27" s="30"/>
      <c r="G27" s="29"/>
      <c r="H27" s="622"/>
      <c r="I27" s="622"/>
    </row>
    <row r="28">
      <c r="A28" s="28"/>
      <c r="B28" s="28">
        <v>44407.0</v>
      </c>
      <c r="C28" s="756"/>
      <c r="D28" s="762"/>
      <c r="E28" s="757"/>
      <c r="F28" s="763"/>
      <c r="G28" s="762"/>
      <c r="H28" s="39"/>
      <c r="I28" s="622"/>
    </row>
    <row r="29">
      <c r="A29" s="2"/>
      <c r="B29" s="3" t="s">
        <v>7</v>
      </c>
      <c r="C29" s="14"/>
      <c r="D29" s="14"/>
      <c r="E29" s="15"/>
      <c r="F29" s="824" t="s">
        <v>3794</v>
      </c>
      <c r="G29" s="735">
        <f>G25+G26</f>
        <v>18.67</v>
      </c>
      <c r="H29" s="622"/>
      <c r="I29" s="622"/>
    </row>
    <row r="30">
      <c r="A30" s="12"/>
      <c r="B30" s="13" t="s">
        <v>2</v>
      </c>
      <c r="C30" s="14"/>
      <c r="D30" s="14"/>
      <c r="E30" s="15"/>
      <c r="F30" s="16" t="s">
        <v>3795</v>
      </c>
      <c r="G30" s="17">
        <f>G5+G11+G17+G23+G29</f>
        <v>95.66</v>
      </c>
      <c r="H30" s="18"/>
      <c r="I30" s="19">
        <f>I10+I12+I13+I21+I22+I25</f>
        <v>-6.83</v>
      </c>
      <c r="J30" s="833" t="s">
        <v>3796</v>
      </c>
      <c r="K30" s="834">
        <v>-6.83</v>
      </c>
      <c r="L30" s="834" t="str">
        <f>J30</f>
        <v>-6h50</v>
      </c>
      <c r="M30" s="8"/>
    </row>
    <row r="31">
      <c r="A31" s="776" t="s">
        <v>3592</v>
      </c>
      <c r="B31" s="728" t="s">
        <v>243</v>
      </c>
      <c r="C31" s="728" t="s">
        <v>3445</v>
      </c>
      <c r="D31" s="728" t="s">
        <v>3446</v>
      </c>
      <c r="E31" s="728" t="s">
        <v>3447</v>
      </c>
      <c r="F31" s="728" t="s">
        <v>3448</v>
      </c>
      <c r="G31" s="729" t="s">
        <v>3449</v>
      </c>
      <c r="H31" s="777" t="s">
        <v>3593</v>
      </c>
      <c r="I31" s="778" t="s">
        <v>3594</v>
      </c>
      <c r="J31" s="778" t="s">
        <v>3595</v>
      </c>
      <c r="K31" s="778" t="s">
        <v>3596</v>
      </c>
      <c r="L31" s="778" t="s">
        <v>3597</v>
      </c>
      <c r="M31" s="474" t="s">
        <v>50</v>
      </c>
      <c r="N31" s="736"/>
      <c r="O31" s="728"/>
      <c r="P31" s="728"/>
      <c r="Q31" s="728"/>
      <c r="R31" s="728"/>
      <c r="S31" s="728"/>
      <c r="T31" s="729"/>
      <c r="U31" s="777"/>
      <c r="V31" s="778"/>
      <c r="W31" s="778"/>
      <c r="X31" s="778"/>
      <c r="Y31" s="778"/>
      <c r="Z31" s="474"/>
    </row>
    <row r="32">
      <c r="B32" s="28">
        <v>44431.0</v>
      </c>
      <c r="C32" s="749"/>
      <c r="D32" s="749"/>
      <c r="E32" s="752"/>
      <c r="F32" s="752"/>
      <c r="G32" s="749"/>
    </row>
    <row r="33">
      <c r="B33" s="28">
        <v>44432.0</v>
      </c>
      <c r="C33" s="622"/>
      <c r="D33" s="622"/>
      <c r="E33" s="622"/>
      <c r="F33" s="622"/>
      <c r="G33" s="622"/>
    </row>
    <row r="34">
      <c r="A34" s="825" t="s">
        <v>3612</v>
      </c>
      <c r="B34" s="28">
        <v>44433.0</v>
      </c>
      <c r="C34" s="835" t="s">
        <v>3562</v>
      </c>
      <c r="D34" s="835" t="s">
        <v>3657</v>
      </c>
      <c r="E34" s="47" t="s">
        <v>5</v>
      </c>
      <c r="F34" s="47" t="s">
        <v>3507</v>
      </c>
      <c r="G34" s="47">
        <v>6.75</v>
      </c>
      <c r="H34" s="51">
        <v>6.75</v>
      </c>
      <c r="I34" s="47">
        <v>0.0</v>
      </c>
    </row>
    <row r="35">
      <c r="A35" s="836" t="s">
        <v>3797</v>
      </c>
      <c r="B35" s="28">
        <v>44434.0</v>
      </c>
      <c r="C35" s="835" t="s">
        <v>3770</v>
      </c>
      <c r="D35" s="835" t="s">
        <v>3798</v>
      </c>
      <c r="E35" s="47" t="s">
        <v>5</v>
      </c>
      <c r="F35" s="47" t="s">
        <v>3799</v>
      </c>
      <c r="G35" s="47">
        <v>4.5</v>
      </c>
      <c r="H35" s="51">
        <v>4.05</v>
      </c>
      <c r="I35" s="827">
        <v>-0.45</v>
      </c>
      <c r="J35" s="828" t="s">
        <v>3800</v>
      </c>
    </row>
    <row r="36">
      <c r="B36" s="28">
        <v>44435.0</v>
      </c>
      <c r="C36" s="837"/>
      <c r="D36" s="837"/>
      <c r="E36" s="622"/>
      <c r="F36" s="622"/>
      <c r="G36" s="622"/>
    </row>
    <row r="37">
      <c r="A37" s="2"/>
      <c r="B37" s="3" t="s">
        <v>7</v>
      </c>
      <c r="C37" s="14"/>
      <c r="D37" s="14"/>
      <c r="E37" s="15"/>
      <c r="F37" s="824" t="s">
        <v>3801</v>
      </c>
      <c r="G37" s="735">
        <f>G32+G33+G34+G35+G36</f>
        <v>11.25</v>
      </c>
    </row>
    <row r="38">
      <c r="A38" s="826" t="s">
        <v>3802</v>
      </c>
      <c r="B38" s="28">
        <v>44438.0</v>
      </c>
      <c r="C38" s="781" t="s">
        <v>3538</v>
      </c>
      <c r="D38" s="781" t="s">
        <v>3771</v>
      </c>
      <c r="E38" s="51" t="s">
        <v>5</v>
      </c>
      <c r="F38" s="51" t="s">
        <v>3562</v>
      </c>
      <c r="G38" s="47">
        <v>8.0</v>
      </c>
      <c r="I38" s="827">
        <v>-1.0</v>
      </c>
      <c r="J38" s="828" t="s">
        <v>3803</v>
      </c>
      <c r="M38" s="51" t="s">
        <v>3788</v>
      </c>
    </row>
    <row r="39">
      <c r="B39" s="28">
        <v>44439.0</v>
      </c>
      <c r="C39" s="783"/>
      <c r="D39" s="783"/>
      <c r="G39" s="622"/>
    </row>
    <row r="40">
      <c r="A40" s="2"/>
      <c r="B40" s="3" t="s">
        <v>7</v>
      </c>
      <c r="C40" s="14"/>
      <c r="D40" s="14"/>
      <c r="E40" s="15"/>
      <c r="F40" s="824" t="s">
        <v>3562</v>
      </c>
      <c r="G40" s="735">
        <f>G38</f>
        <v>8</v>
      </c>
    </row>
    <row r="41">
      <c r="A41" s="12"/>
      <c r="B41" s="13" t="s">
        <v>2</v>
      </c>
      <c r="C41" s="14"/>
      <c r="D41" s="14"/>
      <c r="E41" s="15"/>
      <c r="F41" s="16" t="s">
        <v>3668</v>
      </c>
      <c r="G41" s="17">
        <f>G37+G40</f>
        <v>19.25</v>
      </c>
      <c r="H41" s="18"/>
      <c r="I41" s="19">
        <f>I35+I38</f>
        <v>-1.45</v>
      </c>
      <c r="J41" s="833" t="s">
        <v>3804</v>
      </c>
      <c r="K41" s="838">
        <f>K30+I41</f>
        <v>-8.28</v>
      </c>
      <c r="L41" s="834" t="s">
        <v>3805</v>
      </c>
    </row>
    <row r="42">
      <c r="A42" s="776" t="s">
        <v>3592</v>
      </c>
      <c r="B42" s="728" t="s">
        <v>243</v>
      </c>
      <c r="C42" s="728" t="s">
        <v>3445</v>
      </c>
      <c r="D42" s="728" t="s">
        <v>3446</v>
      </c>
      <c r="E42" s="728" t="s">
        <v>3447</v>
      </c>
      <c r="F42" s="728" t="s">
        <v>3448</v>
      </c>
      <c r="G42" s="729" t="s">
        <v>3449</v>
      </c>
      <c r="H42" s="777" t="s">
        <v>3593</v>
      </c>
      <c r="I42" s="778" t="s">
        <v>3594</v>
      </c>
      <c r="J42" s="778" t="s">
        <v>3595</v>
      </c>
      <c r="K42" s="778" t="s">
        <v>3596</v>
      </c>
      <c r="L42" s="778" t="s">
        <v>3597</v>
      </c>
      <c r="M42" s="474" t="s">
        <v>50</v>
      </c>
    </row>
    <row r="43">
      <c r="A43" s="826" t="s">
        <v>3620</v>
      </c>
      <c r="B43" s="28">
        <v>44440.0</v>
      </c>
      <c r="C43" s="781" t="s">
        <v>3538</v>
      </c>
      <c r="D43" s="781" t="s">
        <v>3806</v>
      </c>
      <c r="E43" s="51" t="s">
        <v>5</v>
      </c>
      <c r="F43" s="51" t="s">
        <v>3807</v>
      </c>
      <c r="G43" s="51">
        <v>6.42</v>
      </c>
      <c r="H43" s="47">
        <v>5.5</v>
      </c>
      <c r="I43" s="47">
        <v>0.0</v>
      </c>
      <c r="M43" s="51" t="s">
        <v>3808</v>
      </c>
    </row>
    <row r="44">
      <c r="B44" s="28">
        <v>44441.0</v>
      </c>
      <c r="C44" s="783"/>
      <c r="D44" s="783"/>
      <c r="I44" s="622"/>
    </row>
    <row r="45">
      <c r="A45" s="825" t="s">
        <v>3612</v>
      </c>
      <c r="B45" s="28">
        <v>44442.0</v>
      </c>
      <c r="C45" s="781" t="s">
        <v>36</v>
      </c>
      <c r="D45" s="781" t="s">
        <v>3809</v>
      </c>
      <c r="E45" s="51" t="s">
        <v>5</v>
      </c>
      <c r="F45" s="51" t="s">
        <v>3810</v>
      </c>
      <c r="G45" s="51">
        <v>4.67</v>
      </c>
      <c r="H45" s="51">
        <v>4.67</v>
      </c>
      <c r="I45" s="47">
        <v>0.0</v>
      </c>
    </row>
    <row r="46">
      <c r="A46" s="839"/>
      <c r="B46" s="3" t="s">
        <v>7</v>
      </c>
      <c r="C46" s="14"/>
      <c r="D46" s="14"/>
      <c r="E46" s="15"/>
      <c r="F46" s="824" t="s">
        <v>3811</v>
      </c>
      <c r="G46" s="735">
        <f>G43+G45</f>
        <v>11.09</v>
      </c>
      <c r="I46" s="622"/>
    </row>
    <row r="47">
      <c r="B47" s="28">
        <v>44445.0</v>
      </c>
      <c r="C47" s="783"/>
      <c r="D47" s="783"/>
      <c r="E47" s="783"/>
      <c r="F47" s="783"/>
      <c r="G47" s="783"/>
      <c r="I47" s="622"/>
    </row>
    <row r="48">
      <c r="B48" s="28">
        <v>44446.0</v>
      </c>
      <c r="C48" s="783"/>
      <c r="D48" s="783"/>
      <c r="E48" s="783"/>
      <c r="F48" s="783"/>
      <c r="G48" s="783"/>
      <c r="I48" s="622"/>
    </row>
    <row r="49">
      <c r="A49" s="829" t="s">
        <v>3812</v>
      </c>
      <c r="B49" s="28">
        <v>44447.0</v>
      </c>
      <c r="C49" s="781" t="s">
        <v>3538</v>
      </c>
      <c r="D49" s="781" t="s">
        <v>3641</v>
      </c>
      <c r="E49" s="649" t="s">
        <v>31</v>
      </c>
      <c r="F49" s="649" t="s">
        <v>3562</v>
      </c>
      <c r="G49" s="835">
        <v>8.0</v>
      </c>
      <c r="H49" s="830">
        <v>23.5</v>
      </c>
      <c r="I49" s="622"/>
      <c r="M49" s="840" t="s">
        <v>3813</v>
      </c>
    </row>
    <row r="50">
      <c r="A50" s="829" t="s">
        <v>3812</v>
      </c>
      <c r="B50" s="28">
        <v>44448.0</v>
      </c>
      <c r="C50" s="781" t="s">
        <v>3538</v>
      </c>
      <c r="D50" s="781" t="s">
        <v>3641</v>
      </c>
      <c r="E50" s="649" t="s">
        <v>31</v>
      </c>
      <c r="F50" s="649" t="s">
        <v>3562</v>
      </c>
      <c r="G50" s="835">
        <v>8.0</v>
      </c>
      <c r="I50" s="47">
        <v>0.0</v>
      </c>
    </row>
    <row r="51">
      <c r="A51" s="829" t="s">
        <v>3812</v>
      </c>
      <c r="B51" s="28">
        <v>44449.0</v>
      </c>
      <c r="C51" s="781" t="s">
        <v>3515</v>
      </c>
      <c r="D51" s="781" t="s">
        <v>3771</v>
      </c>
      <c r="E51" s="649" t="s">
        <v>31</v>
      </c>
      <c r="F51" s="649" t="s">
        <v>3538</v>
      </c>
      <c r="G51" s="835">
        <v>7.5</v>
      </c>
      <c r="I51" s="622"/>
    </row>
    <row r="52">
      <c r="A52" s="839"/>
      <c r="B52" s="3" t="s">
        <v>7</v>
      </c>
      <c r="C52" s="14"/>
      <c r="D52" s="14"/>
      <c r="E52" s="15"/>
      <c r="F52" s="824" t="s">
        <v>3798</v>
      </c>
      <c r="G52" s="735">
        <f>G47+G48+G49+G50+G51</f>
        <v>23.5</v>
      </c>
      <c r="I52" s="622"/>
    </row>
    <row r="53">
      <c r="A53" s="836" t="s">
        <v>3797</v>
      </c>
      <c r="B53" s="28">
        <v>44452.0</v>
      </c>
      <c r="C53" s="781" t="s">
        <v>3814</v>
      </c>
      <c r="D53" s="781" t="s">
        <v>3815</v>
      </c>
      <c r="E53" s="649" t="s">
        <v>5</v>
      </c>
      <c r="F53" s="649" t="s">
        <v>3536</v>
      </c>
      <c r="G53" s="47">
        <v>4.0</v>
      </c>
      <c r="H53" s="51">
        <v>3.56</v>
      </c>
      <c r="I53" s="827">
        <v>-0.44</v>
      </c>
      <c r="J53" s="827" t="s">
        <v>3816</v>
      </c>
    </row>
    <row r="54">
      <c r="B54" s="28">
        <v>44453.0</v>
      </c>
      <c r="C54" s="783"/>
      <c r="D54" s="783"/>
      <c r="E54" s="841"/>
      <c r="F54" s="841"/>
      <c r="G54" s="622"/>
    </row>
    <row r="55">
      <c r="B55" s="28">
        <v>44454.0</v>
      </c>
      <c r="C55" s="783"/>
      <c r="D55" s="783"/>
      <c r="E55" s="841"/>
      <c r="F55" s="841"/>
      <c r="G55" s="622"/>
    </row>
    <row r="56">
      <c r="A56" s="825" t="s">
        <v>3612</v>
      </c>
      <c r="B56" s="28">
        <v>44455.0</v>
      </c>
      <c r="C56" s="781" t="s">
        <v>36</v>
      </c>
      <c r="D56" s="781" t="s">
        <v>3817</v>
      </c>
      <c r="E56" s="649" t="s">
        <v>5</v>
      </c>
      <c r="F56" s="649" t="s">
        <v>3818</v>
      </c>
      <c r="G56" s="47">
        <v>4.83</v>
      </c>
      <c r="H56" s="47">
        <v>5.0</v>
      </c>
      <c r="I56" s="51">
        <v>0.17</v>
      </c>
    </row>
    <row r="57">
      <c r="B57" s="28">
        <v>44456.0</v>
      </c>
      <c r="C57" s="783"/>
      <c r="D57" s="783"/>
      <c r="E57" s="841"/>
      <c r="F57" s="841"/>
      <c r="G57" s="622"/>
    </row>
    <row r="58">
      <c r="A58" s="839"/>
      <c r="B58" s="3" t="s">
        <v>7</v>
      </c>
      <c r="C58" s="14"/>
      <c r="D58" s="14"/>
      <c r="E58" s="15"/>
      <c r="F58" s="824" t="s">
        <v>3819</v>
      </c>
      <c r="G58" s="735">
        <f>G53+G54+G55+G56+G57</f>
        <v>8.83</v>
      </c>
    </row>
    <row r="59">
      <c r="A59" s="826" t="s">
        <v>3820</v>
      </c>
      <c r="B59" s="28">
        <v>44459.0</v>
      </c>
      <c r="C59" s="51" t="s">
        <v>3538</v>
      </c>
      <c r="D59" s="51" t="s">
        <v>3621</v>
      </c>
      <c r="E59" s="51" t="s">
        <v>5</v>
      </c>
      <c r="F59" s="51" t="s">
        <v>3515</v>
      </c>
      <c r="G59" s="47">
        <v>7.0</v>
      </c>
      <c r="H59" s="47">
        <v>6.0</v>
      </c>
      <c r="I59" s="47">
        <v>0.0</v>
      </c>
      <c r="M59" s="51" t="s">
        <v>3808</v>
      </c>
    </row>
    <row r="60">
      <c r="A60" s="826" t="s">
        <v>3821</v>
      </c>
      <c r="B60" s="28">
        <v>44460.0</v>
      </c>
      <c r="C60" s="51" t="s">
        <v>3538</v>
      </c>
      <c r="D60" s="51" t="s">
        <v>3667</v>
      </c>
      <c r="E60" s="51" t="s">
        <v>5</v>
      </c>
      <c r="F60" s="51" t="s">
        <v>3538</v>
      </c>
      <c r="G60" s="47">
        <v>7.5</v>
      </c>
      <c r="H60" s="47">
        <v>0.0</v>
      </c>
      <c r="I60" s="827">
        <v>-7.5</v>
      </c>
      <c r="J60" s="827" t="s">
        <v>3822</v>
      </c>
      <c r="K60" s="51" t="s">
        <v>3823</v>
      </c>
    </row>
    <row r="61">
      <c r="B61" s="28">
        <v>44461.0</v>
      </c>
      <c r="G61" s="622"/>
      <c r="H61" s="622"/>
      <c r="I61" s="622"/>
    </row>
    <row r="62">
      <c r="A62" s="826" t="s">
        <v>3824</v>
      </c>
      <c r="B62" s="28">
        <v>44462.0</v>
      </c>
      <c r="C62" s="51" t="s">
        <v>3538</v>
      </c>
      <c r="D62" s="51" t="s">
        <v>3768</v>
      </c>
      <c r="E62" s="51" t="s">
        <v>5</v>
      </c>
      <c r="F62" s="51" t="s">
        <v>3541</v>
      </c>
      <c r="G62" s="47">
        <v>6.0</v>
      </c>
      <c r="H62" s="47">
        <v>0.0</v>
      </c>
      <c r="I62" s="827">
        <v>-6.0</v>
      </c>
      <c r="J62" s="827" t="s">
        <v>3825</v>
      </c>
    </row>
    <row r="63">
      <c r="A63" s="826" t="s">
        <v>3826</v>
      </c>
      <c r="B63" s="28">
        <v>44463.0</v>
      </c>
      <c r="C63" s="51" t="s">
        <v>3774</v>
      </c>
      <c r="D63" s="51" t="s">
        <v>3827</v>
      </c>
      <c r="E63" s="51" t="s">
        <v>5</v>
      </c>
      <c r="F63" s="51" t="s">
        <v>3507</v>
      </c>
      <c r="G63" s="47">
        <v>6.75</v>
      </c>
      <c r="H63" s="47">
        <v>0.0</v>
      </c>
      <c r="I63" s="827">
        <v>-6.75</v>
      </c>
      <c r="J63" s="827" t="s">
        <v>3828</v>
      </c>
    </row>
    <row r="64">
      <c r="A64" s="839"/>
      <c r="B64" s="3" t="s">
        <v>7</v>
      </c>
      <c r="C64" s="14"/>
      <c r="D64" s="14"/>
      <c r="E64" s="15"/>
      <c r="F64" s="6"/>
      <c r="G64" s="735">
        <f>G59+G60+G61+G62+G63</f>
        <v>27.25</v>
      </c>
      <c r="H64" s="622"/>
      <c r="I64" s="622"/>
    </row>
    <row r="65">
      <c r="A65" s="826" t="s">
        <v>3829</v>
      </c>
      <c r="B65" s="28">
        <v>44466.0</v>
      </c>
      <c r="C65" s="51" t="s">
        <v>3538</v>
      </c>
      <c r="D65" s="51" t="s">
        <v>3830</v>
      </c>
      <c r="E65" s="51" t="s">
        <v>5</v>
      </c>
      <c r="F65" s="51" t="s">
        <v>3536</v>
      </c>
      <c r="G65" s="47">
        <v>4.0</v>
      </c>
      <c r="H65" s="47">
        <v>4.5</v>
      </c>
      <c r="I65" s="47">
        <v>0.5</v>
      </c>
    </row>
    <row r="66">
      <c r="A66" s="836" t="s">
        <v>3831</v>
      </c>
      <c r="B66" s="28">
        <v>44467.0</v>
      </c>
      <c r="C66" s="51" t="s">
        <v>36</v>
      </c>
      <c r="D66" s="51" t="s">
        <v>3661</v>
      </c>
      <c r="E66" s="51" t="s">
        <v>3658</v>
      </c>
      <c r="F66" s="51" t="s">
        <v>3769</v>
      </c>
      <c r="G66" s="47">
        <v>5.0</v>
      </c>
      <c r="H66" s="47">
        <v>5.0</v>
      </c>
      <c r="I66" s="47">
        <v>0.0</v>
      </c>
    </row>
    <row r="67">
      <c r="A67" s="273" t="s">
        <v>3832</v>
      </c>
      <c r="B67" s="28">
        <v>44468.0</v>
      </c>
      <c r="C67" s="51" t="s">
        <v>3515</v>
      </c>
      <c r="D67" s="51" t="s">
        <v>3621</v>
      </c>
      <c r="E67" s="51" t="s">
        <v>5</v>
      </c>
      <c r="F67" s="51" t="s">
        <v>3538</v>
      </c>
      <c r="G67" s="47">
        <v>7.5</v>
      </c>
      <c r="H67" s="47">
        <v>8.25</v>
      </c>
      <c r="I67" s="47">
        <v>1.75</v>
      </c>
      <c r="M67" s="51" t="s">
        <v>3808</v>
      </c>
    </row>
    <row r="68">
      <c r="B68" s="28">
        <v>44469.0</v>
      </c>
      <c r="H68" s="622"/>
      <c r="I68" s="622"/>
    </row>
    <row r="69">
      <c r="A69" s="839"/>
      <c r="B69" s="3" t="s">
        <v>7</v>
      </c>
      <c r="C69" s="14"/>
      <c r="D69" s="14"/>
      <c r="E69" s="15"/>
      <c r="F69" s="6"/>
      <c r="G69" s="735">
        <f>SUM(G65:G68)</f>
        <v>16.5</v>
      </c>
      <c r="H69" s="622"/>
      <c r="I69" s="622"/>
    </row>
    <row r="70">
      <c r="A70" s="16"/>
      <c r="B70" s="13" t="s">
        <v>2</v>
      </c>
      <c r="C70" s="14"/>
      <c r="D70" s="14"/>
      <c r="E70" s="15"/>
      <c r="F70" s="16"/>
      <c r="G70" s="17">
        <f>G46+G52+G58+G64+G69</f>
        <v>87.17</v>
      </c>
      <c r="H70" s="18">
        <f>H43+H45+H49+H53+H56+H59+H60+H62+H63+H65+H66+H67</f>
        <v>65.98</v>
      </c>
      <c r="I70" s="19">
        <f>I53+I60+I62+I63</f>
        <v>-20.69</v>
      </c>
      <c r="J70" s="833" t="s">
        <v>3833</v>
      </c>
      <c r="K70" s="834"/>
      <c r="L70" s="834"/>
    </row>
    <row r="71">
      <c r="A71" s="776" t="s">
        <v>3592</v>
      </c>
      <c r="B71" s="728" t="s">
        <v>243</v>
      </c>
      <c r="C71" s="728" t="s">
        <v>3445</v>
      </c>
      <c r="D71" s="728" t="s">
        <v>3446</v>
      </c>
      <c r="E71" s="728" t="s">
        <v>3447</v>
      </c>
      <c r="F71" s="728" t="s">
        <v>3448</v>
      </c>
      <c r="G71" s="729" t="s">
        <v>3449</v>
      </c>
      <c r="H71" s="777" t="s">
        <v>3593</v>
      </c>
      <c r="I71" s="778" t="s">
        <v>3594</v>
      </c>
      <c r="J71" s="778" t="s">
        <v>3595</v>
      </c>
      <c r="K71" s="778" t="s">
        <v>3596</v>
      </c>
      <c r="L71" s="778" t="s">
        <v>3597</v>
      </c>
      <c r="M71" s="474" t="s">
        <v>50</v>
      </c>
    </row>
    <row r="72">
      <c r="B72" s="28">
        <v>44470.0</v>
      </c>
    </row>
    <row r="73">
      <c r="A73" s="839"/>
      <c r="B73" s="3" t="s">
        <v>7</v>
      </c>
      <c r="C73" s="14"/>
      <c r="D73" s="14"/>
      <c r="E73" s="15"/>
      <c r="F73" s="6"/>
      <c r="G73" s="735"/>
    </row>
    <row r="74">
      <c r="A74" s="826" t="s">
        <v>3834</v>
      </c>
      <c r="B74" s="28">
        <v>44473.0</v>
      </c>
      <c r="C74" s="51" t="s">
        <v>3769</v>
      </c>
      <c r="D74" s="51" t="s">
        <v>3817</v>
      </c>
      <c r="E74" s="51" t="s">
        <v>5</v>
      </c>
      <c r="F74" s="51" t="s">
        <v>3835</v>
      </c>
      <c r="G74" s="51">
        <v>8.33</v>
      </c>
    </row>
    <row r="75">
      <c r="A75" s="826" t="s">
        <v>3836</v>
      </c>
      <c r="B75" s="28">
        <v>44474.0</v>
      </c>
      <c r="C75" s="51" t="s">
        <v>3769</v>
      </c>
      <c r="D75" s="51" t="s">
        <v>3659</v>
      </c>
      <c r="E75" s="51" t="s">
        <v>5</v>
      </c>
      <c r="F75" s="51" t="s">
        <v>3837</v>
      </c>
      <c r="G75" s="51">
        <v>9.25</v>
      </c>
    </row>
    <row r="76">
      <c r="A76" s="826" t="s">
        <v>3838</v>
      </c>
      <c r="B76" s="28">
        <v>44475.0</v>
      </c>
      <c r="C76" s="51" t="s">
        <v>3538</v>
      </c>
      <c r="D76" s="51" t="s">
        <v>3768</v>
      </c>
      <c r="E76" s="51" t="s">
        <v>5</v>
      </c>
      <c r="F76" s="51" t="s">
        <v>3541</v>
      </c>
      <c r="G76" s="47">
        <v>6.0</v>
      </c>
    </row>
    <row r="77">
      <c r="A77" s="826" t="s">
        <v>3839</v>
      </c>
      <c r="B77" s="28">
        <v>44476.0</v>
      </c>
      <c r="C77" s="51" t="s">
        <v>3538</v>
      </c>
      <c r="D77" s="51" t="s">
        <v>3817</v>
      </c>
      <c r="E77" s="51" t="s">
        <v>5</v>
      </c>
      <c r="F77" s="51" t="s">
        <v>3840</v>
      </c>
      <c r="G77" s="51">
        <v>5.83</v>
      </c>
      <c r="M77" s="51" t="s">
        <v>3841</v>
      </c>
    </row>
    <row r="78">
      <c r="A78" s="826" t="s">
        <v>3842</v>
      </c>
      <c r="B78" s="28">
        <v>44477.0</v>
      </c>
      <c r="C78" s="51" t="s">
        <v>3538</v>
      </c>
      <c r="D78" s="51" t="s">
        <v>3843</v>
      </c>
      <c r="E78" s="249" t="s">
        <v>5</v>
      </c>
      <c r="F78" s="51" t="s">
        <v>3610</v>
      </c>
      <c r="G78" s="47">
        <v>3.5</v>
      </c>
    </row>
    <row r="79">
      <c r="A79" s="839"/>
      <c r="B79" s="3" t="s">
        <v>7</v>
      </c>
      <c r="C79" s="14"/>
      <c r="D79" s="14"/>
      <c r="E79" s="15"/>
      <c r="F79" s="824" t="s">
        <v>3844</v>
      </c>
      <c r="G79" s="735">
        <f>SUM(G74:G78)</f>
        <v>32.91</v>
      </c>
    </row>
    <row r="80">
      <c r="A80" s="826" t="s">
        <v>3845</v>
      </c>
      <c r="B80" s="28">
        <v>44480.0</v>
      </c>
      <c r="C80" s="51" t="s">
        <v>3538</v>
      </c>
      <c r="D80" s="51" t="s">
        <v>3621</v>
      </c>
      <c r="E80" s="51" t="s">
        <v>5</v>
      </c>
      <c r="F80" s="51" t="s">
        <v>3515</v>
      </c>
      <c r="G80" s="47">
        <v>7.0</v>
      </c>
      <c r="H80" s="47">
        <v>8.0</v>
      </c>
      <c r="M80" s="650" t="s">
        <v>3846</v>
      </c>
    </row>
    <row r="81">
      <c r="A81" s="273" t="s">
        <v>3847</v>
      </c>
      <c r="B81" s="28">
        <v>44481.0</v>
      </c>
      <c r="C81" s="51" t="s">
        <v>3538</v>
      </c>
      <c r="D81" s="51" t="s">
        <v>3768</v>
      </c>
      <c r="E81" s="51" t="s">
        <v>5</v>
      </c>
      <c r="F81" s="51" t="s">
        <v>3541</v>
      </c>
      <c r="G81" s="47">
        <v>6.0</v>
      </c>
      <c r="H81" s="47">
        <v>7.0</v>
      </c>
      <c r="M81" s="650" t="s">
        <v>3846</v>
      </c>
    </row>
    <row r="82">
      <c r="A82" s="273" t="s">
        <v>3848</v>
      </c>
      <c r="B82" s="28">
        <v>44482.0</v>
      </c>
      <c r="C82" s="51" t="s">
        <v>3541</v>
      </c>
      <c r="D82" s="51" t="s">
        <v>3849</v>
      </c>
      <c r="E82" s="51" t="s">
        <v>5</v>
      </c>
      <c r="F82" s="51" t="s">
        <v>3850</v>
      </c>
      <c r="G82" s="51">
        <v>10.17</v>
      </c>
      <c r="H82" s="51">
        <v>11.17</v>
      </c>
      <c r="M82" s="650" t="s">
        <v>3846</v>
      </c>
    </row>
    <row r="83">
      <c r="A83" s="826" t="s">
        <v>3851</v>
      </c>
      <c r="B83" s="28">
        <v>44483.0</v>
      </c>
      <c r="C83" s="51" t="s">
        <v>3538</v>
      </c>
      <c r="D83" s="51" t="s">
        <v>3852</v>
      </c>
      <c r="E83" s="51" t="s">
        <v>5</v>
      </c>
      <c r="F83" s="51" t="s">
        <v>36</v>
      </c>
      <c r="G83" s="47">
        <v>8.5</v>
      </c>
    </row>
    <row r="84">
      <c r="A84" s="826" t="s">
        <v>3853</v>
      </c>
      <c r="B84" s="28">
        <v>44484.0</v>
      </c>
      <c r="C84" s="51" t="s">
        <v>3520</v>
      </c>
      <c r="D84" s="51" t="s">
        <v>3854</v>
      </c>
      <c r="E84" s="51" t="s">
        <v>5</v>
      </c>
      <c r="F84" s="51" t="s">
        <v>3520</v>
      </c>
      <c r="G84" s="47">
        <v>6.5</v>
      </c>
    </row>
    <row r="85">
      <c r="A85" s="839"/>
      <c r="B85" s="3" t="s">
        <v>7</v>
      </c>
      <c r="C85" s="14"/>
      <c r="D85" s="14"/>
      <c r="E85" s="15"/>
      <c r="F85" s="824" t="s">
        <v>3855</v>
      </c>
      <c r="G85" s="735">
        <f>G80+G81+++G82+G83+G84</f>
        <v>38.17</v>
      </c>
    </row>
    <row r="86">
      <c r="A86" s="826" t="s">
        <v>3856</v>
      </c>
      <c r="B86" s="28">
        <v>44487.0</v>
      </c>
      <c r="C86" s="51" t="s">
        <v>3854</v>
      </c>
      <c r="D86" s="51" t="s">
        <v>3857</v>
      </c>
      <c r="E86" s="51" t="s">
        <v>5</v>
      </c>
      <c r="F86" s="51" t="s">
        <v>3538</v>
      </c>
      <c r="G86" s="47">
        <v>7.5</v>
      </c>
      <c r="M86" s="842" t="s">
        <v>3858</v>
      </c>
    </row>
    <row r="87">
      <c r="B87" s="28">
        <v>44488.0</v>
      </c>
    </row>
    <row r="88">
      <c r="A88" s="826" t="s">
        <v>3829</v>
      </c>
      <c r="B88" s="28">
        <v>44489.0</v>
      </c>
      <c r="C88" s="51" t="s">
        <v>3859</v>
      </c>
      <c r="D88" s="51" t="s">
        <v>3860</v>
      </c>
      <c r="E88" s="51" t="s">
        <v>5</v>
      </c>
      <c r="F88" s="51" t="s">
        <v>3465</v>
      </c>
      <c r="G88" s="51">
        <v>8.25</v>
      </c>
    </row>
    <row r="89">
      <c r="B89" s="28">
        <v>44490.0</v>
      </c>
    </row>
    <row r="90">
      <c r="B90" s="28">
        <v>44491.0</v>
      </c>
    </row>
    <row r="91">
      <c r="A91" s="839"/>
      <c r="B91" s="3" t="s">
        <v>7</v>
      </c>
      <c r="C91" s="14"/>
      <c r="D91" s="14"/>
      <c r="E91" s="15"/>
      <c r="F91" s="6"/>
      <c r="G91" s="735">
        <f>SUM(G86:G90)</f>
        <v>15.75</v>
      </c>
    </row>
    <row r="92">
      <c r="B92" s="28">
        <v>44494.0</v>
      </c>
    </row>
    <row r="93">
      <c r="B93" s="28">
        <v>44495.0</v>
      </c>
    </row>
    <row r="94">
      <c r="A94" s="826" t="s">
        <v>3824</v>
      </c>
      <c r="B94" s="28">
        <v>44496.0</v>
      </c>
      <c r="C94" s="51" t="s">
        <v>3538</v>
      </c>
      <c r="D94" s="51" t="s">
        <v>3861</v>
      </c>
      <c r="E94" s="51" t="s">
        <v>5</v>
      </c>
      <c r="F94" s="51" t="s">
        <v>3862</v>
      </c>
      <c r="G94" s="51">
        <v>9.67</v>
      </c>
    </row>
    <row r="95">
      <c r="A95" s="826" t="s">
        <v>3824</v>
      </c>
      <c r="B95" s="28">
        <v>44497.0</v>
      </c>
      <c r="C95" s="51" t="s">
        <v>3538</v>
      </c>
      <c r="D95" s="51" t="s">
        <v>3648</v>
      </c>
      <c r="E95" s="51" t="s">
        <v>5</v>
      </c>
      <c r="F95" s="51" t="s">
        <v>3837</v>
      </c>
      <c r="G95" s="51">
        <v>9.25</v>
      </c>
    </row>
    <row r="96">
      <c r="B96" s="28">
        <v>44498.0</v>
      </c>
    </row>
    <row r="97">
      <c r="A97" s="839"/>
      <c r="B97" s="3" t="s">
        <v>7</v>
      </c>
      <c r="C97" s="14"/>
      <c r="D97" s="14"/>
      <c r="E97" s="15"/>
      <c r="F97" s="6"/>
      <c r="G97" s="735">
        <f>G94+G95</f>
        <v>18.92</v>
      </c>
    </row>
    <row r="98">
      <c r="A98" s="16"/>
      <c r="B98" s="13" t="s">
        <v>2</v>
      </c>
      <c r="C98" s="14"/>
      <c r="D98" s="14"/>
      <c r="E98" s="15"/>
      <c r="F98" s="16"/>
      <c r="G98" s="17">
        <f>G73+G79+G85+G91+G97</f>
        <v>105.75</v>
      </c>
      <c r="H98" s="18">
        <v>0.0</v>
      </c>
      <c r="I98" s="19">
        <f>I81+I88+I90+I91</f>
        <v>0</v>
      </c>
      <c r="J98" s="843">
        <v>0.0</v>
      </c>
      <c r="K98" s="834"/>
      <c r="L98" s="834"/>
    </row>
    <row r="99">
      <c r="A99" s="776" t="s">
        <v>3592</v>
      </c>
      <c r="B99" s="728" t="s">
        <v>243</v>
      </c>
      <c r="C99" s="728" t="s">
        <v>3445</v>
      </c>
      <c r="D99" s="728" t="s">
        <v>3446</v>
      </c>
      <c r="E99" s="728" t="s">
        <v>3447</v>
      </c>
      <c r="F99" s="728" t="s">
        <v>3448</v>
      </c>
      <c r="G99" s="729" t="s">
        <v>3449</v>
      </c>
      <c r="H99" s="777" t="s">
        <v>3593</v>
      </c>
      <c r="I99" s="778" t="s">
        <v>3594</v>
      </c>
      <c r="J99" s="778" t="s">
        <v>3595</v>
      </c>
      <c r="K99" s="778" t="s">
        <v>3596</v>
      </c>
      <c r="L99" s="778" t="s">
        <v>3597</v>
      </c>
      <c r="M99" s="474" t="s">
        <v>50</v>
      </c>
    </row>
    <row r="100">
      <c r="B100" s="28">
        <v>44501.0</v>
      </c>
    </row>
    <row r="101">
      <c r="B101" s="28">
        <v>44502.0</v>
      </c>
    </row>
    <row r="102">
      <c r="B102" s="28">
        <v>44503.0</v>
      </c>
    </row>
    <row r="103">
      <c r="B103" s="28">
        <v>44504.0</v>
      </c>
    </row>
    <row r="104">
      <c r="B104" s="28">
        <v>44505.0</v>
      </c>
    </row>
    <row r="105">
      <c r="A105" s="839"/>
      <c r="B105" s="3" t="s">
        <v>7</v>
      </c>
      <c r="C105" s="14"/>
      <c r="D105" s="14"/>
      <c r="E105" s="15"/>
      <c r="F105" s="6"/>
      <c r="G105" s="735">
        <f>G102+G103</f>
        <v>0</v>
      </c>
    </row>
    <row r="106">
      <c r="B106" s="28">
        <v>44508.0</v>
      </c>
    </row>
    <row r="107">
      <c r="A107" s="844" t="s">
        <v>3863</v>
      </c>
      <c r="B107" s="28">
        <v>44509.0</v>
      </c>
      <c r="C107" s="51" t="s">
        <v>36</v>
      </c>
      <c r="D107" s="51" t="s">
        <v>3864</v>
      </c>
      <c r="E107" s="51" t="s">
        <v>5</v>
      </c>
      <c r="F107" s="51" t="s">
        <v>3799</v>
      </c>
      <c r="G107" s="47">
        <v>4.5</v>
      </c>
    </row>
    <row r="108">
      <c r="B108" s="28">
        <v>44510.0</v>
      </c>
    </row>
    <row r="109">
      <c r="B109" s="28">
        <v>44511.0</v>
      </c>
    </row>
    <row r="110">
      <c r="B110" s="28">
        <v>44512.0</v>
      </c>
    </row>
    <row r="111">
      <c r="A111" s="845"/>
      <c r="B111" s="4" t="s">
        <v>7</v>
      </c>
      <c r="C111" s="14"/>
      <c r="D111" s="14"/>
      <c r="E111" s="15"/>
      <c r="F111" s="6"/>
      <c r="G111" s="7">
        <f>G107</f>
        <v>4.5</v>
      </c>
    </row>
    <row r="112">
      <c r="B112" s="28">
        <v>44515.0</v>
      </c>
    </row>
    <row r="113">
      <c r="B113" s="28">
        <v>44516.0</v>
      </c>
    </row>
    <row r="114">
      <c r="A114" s="844" t="s">
        <v>3863</v>
      </c>
      <c r="B114" s="28">
        <v>44517.0</v>
      </c>
      <c r="C114" s="51" t="s">
        <v>3562</v>
      </c>
      <c r="D114" s="51" t="s">
        <v>3864</v>
      </c>
      <c r="F114" s="51" t="s">
        <v>3536</v>
      </c>
      <c r="G114" s="47">
        <v>4.0</v>
      </c>
    </row>
    <row r="115">
      <c r="A115" s="826" t="s">
        <v>3865</v>
      </c>
      <c r="B115" s="28">
        <v>44518.0</v>
      </c>
      <c r="C115" s="51" t="s">
        <v>3538</v>
      </c>
    </row>
    <row r="116">
      <c r="A116" s="826" t="s">
        <v>3865</v>
      </c>
      <c r="B116" s="28">
        <v>44519.0</v>
      </c>
      <c r="C116" s="51" t="s">
        <v>3538</v>
      </c>
    </row>
    <row r="117">
      <c r="A117" s="845"/>
      <c r="B117" s="4" t="s">
        <v>7</v>
      </c>
      <c r="C117" s="14"/>
      <c r="D117" s="14"/>
      <c r="E117" s="15"/>
      <c r="F117" s="6"/>
      <c r="G117" s="7">
        <f>G114+G115</f>
        <v>4</v>
      </c>
    </row>
    <row r="118">
      <c r="A118" s="826" t="s">
        <v>3865</v>
      </c>
      <c r="B118" s="28">
        <v>44522.0</v>
      </c>
      <c r="G118" s="47">
        <v>9.8</v>
      </c>
    </row>
    <row r="119">
      <c r="A119" s="826" t="s">
        <v>3865</v>
      </c>
      <c r="B119" s="28">
        <v>44523.0</v>
      </c>
      <c r="G119" s="47">
        <v>9.8</v>
      </c>
    </row>
    <row r="120">
      <c r="A120" s="826" t="s">
        <v>3865</v>
      </c>
      <c r="B120" s="28">
        <v>44524.0</v>
      </c>
      <c r="G120" s="47">
        <v>9.8</v>
      </c>
    </row>
    <row r="121">
      <c r="A121" s="826" t="s">
        <v>3865</v>
      </c>
      <c r="B121" s="28">
        <v>44525.0</v>
      </c>
      <c r="G121" s="47">
        <v>9.8</v>
      </c>
    </row>
    <row r="122">
      <c r="A122" s="826" t="s">
        <v>3865</v>
      </c>
      <c r="B122" s="28">
        <v>44526.0</v>
      </c>
      <c r="G122" s="47">
        <v>9.8</v>
      </c>
    </row>
    <row r="123">
      <c r="A123" s="845"/>
      <c r="B123" s="4" t="s">
        <v>7</v>
      </c>
      <c r="C123" s="14"/>
      <c r="D123" s="14"/>
      <c r="E123" s="15"/>
      <c r="F123" s="6"/>
      <c r="G123" s="735">
        <f>G118+G119+G120+G121+G122</f>
        <v>49</v>
      </c>
    </row>
    <row r="124">
      <c r="A124" s="826" t="s">
        <v>3865</v>
      </c>
      <c r="B124" s="28">
        <v>44529.0</v>
      </c>
      <c r="C124" s="648" t="s">
        <v>3556</v>
      </c>
    </row>
    <row r="125">
      <c r="A125" s="826" t="s">
        <v>3865</v>
      </c>
      <c r="B125" s="28">
        <v>44530.0</v>
      </c>
      <c r="C125" s="648" t="s">
        <v>3556</v>
      </c>
    </row>
    <row r="126">
      <c r="A126" s="839"/>
      <c r="B126" s="3" t="s">
        <v>7</v>
      </c>
      <c r="C126" s="14"/>
      <c r="D126" s="14"/>
      <c r="E126" s="15"/>
      <c r="F126" s="6"/>
      <c r="G126" s="735">
        <f>G123+G124</f>
        <v>49</v>
      </c>
    </row>
    <row r="127">
      <c r="A127" s="16"/>
      <c r="B127" s="13" t="s">
        <v>2</v>
      </c>
      <c r="C127" s="14"/>
      <c r="D127" s="14"/>
      <c r="E127" s="15"/>
      <c r="F127" s="16"/>
      <c r="G127" s="17">
        <f>G111+G117+G123</f>
        <v>57.5</v>
      </c>
    </row>
    <row r="128">
      <c r="A128" s="776" t="s">
        <v>3592</v>
      </c>
      <c r="B128" s="728" t="s">
        <v>243</v>
      </c>
      <c r="C128" s="728" t="s">
        <v>3445</v>
      </c>
      <c r="D128" s="728" t="s">
        <v>3446</v>
      </c>
      <c r="E128" s="728" t="s">
        <v>3447</v>
      </c>
      <c r="F128" s="728" t="s">
        <v>3448</v>
      </c>
      <c r="G128" s="729" t="s">
        <v>3449</v>
      </c>
      <c r="H128" s="777" t="s">
        <v>3593</v>
      </c>
      <c r="I128" s="778" t="s">
        <v>3594</v>
      </c>
      <c r="J128" s="778" t="s">
        <v>3595</v>
      </c>
      <c r="K128" s="778" t="s">
        <v>3596</v>
      </c>
      <c r="L128" s="778" t="s">
        <v>3597</v>
      </c>
      <c r="M128" s="474" t="s">
        <v>50</v>
      </c>
    </row>
    <row r="129">
      <c r="A129" s="826" t="s">
        <v>3865</v>
      </c>
      <c r="B129" s="28">
        <v>44531.0</v>
      </c>
      <c r="C129" s="648" t="s">
        <v>3556</v>
      </c>
    </row>
    <row r="130">
      <c r="A130" s="826" t="s">
        <v>3865</v>
      </c>
      <c r="B130" s="28">
        <v>44532.0</v>
      </c>
      <c r="C130" s="648" t="s">
        <v>3556</v>
      </c>
    </row>
    <row r="131">
      <c r="A131" s="826" t="s">
        <v>3865</v>
      </c>
      <c r="B131" s="28">
        <v>44533.0</v>
      </c>
      <c r="C131" s="648" t="s">
        <v>3556</v>
      </c>
    </row>
    <row r="132">
      <c r="A132" s="839"/>
      <c r="B132" s="3" t="s">
        <v>7</v>
      </c>
      <c r="C132" s="14"/>
      <c r="D132" s="14"/>
      <c r="E132" s="15"/>
      <c r="F132" s="6"/>
      <c r="G132" s="735">
        <f>G129+G130</f>
        <v>0</v>
      </c>
    </row>
    <row r="133">
      <c r="A133" s="826" t="s">
        <v>3865</v>
      </c>
      <c r="B133" s="28">
        <v>44536.0</v>
      </c>
      <c r="C133" s="648" t="s">
        <v>3556</v>
      </c>
    </row>
    <row r="134">
      <c r="A134" s="826" t="s">
        <v>3865</v>
      </c>
      <c r="B134" s="28">
        <v>44537.0</v>
      </c>
      <c r="C134" s="648" t="s">
        <v>3556</v>
      </c>
    </row>
    <row r="135">
      <c r="A135" s="826" t="s">
        <v>3865</v>
      </c>
      <c r="B135" s="28">
        <v>44538.0</v>
      </c>
      <c r="C135" s="648" t="s">
        <v>3556</v>
      </c>
    </row>
    <row r="136">
      <c r="A136" s="826" t="s">
        <v>3865</v>
      </c>
      <c r="B136" s="28">
        <v>44539.0</v>
      </c>
      <c r="C136" s="648" t="s">
        <v>3556</v>
      </c>
    </row>
    <row r="137">
      <c r="A137" s="826" t="s">
        <v>3865</v>
      </c>
      <c r="B137" s="28">
        <v>44540.0</v>
      </c>
      <c r="C137" s="648" t="s">
        <v>3556</v>
      </c>
    </row>
    <row r="138">
      <c r="A138" s="839"/>
      <c r="B138" s="3" t="s">
        <v>7</v>
      </c>
      <c r="C138" s="14"/>
      <c r="D138" s="14"/>
      <c r="E138" s="15"/>
      <c r="F138" s="6"/>
      <c r="G138" s="735">
        <f>G135+G136</f>
        <v>0</v>
      </c>
    </row>
    <row r="139">
      <c r="A139" s="844" t="s">
        <v>3866</v>
      </c>
      <c r="B139" s="28">
        <v>44543.0</v>
      </c>
    </row>
    <row r="140">
      <c r="A140" s="844" t="s">
        <v>3866</v>
      </c>
      <c r="B140" s="28">
        <v>44544.0</v>
      </c>
    </row>
    <row r="141">
      <c r="B141" s="28">
        <v>44545.0</v>
      </c>
    </row>
    <row r="142">
      <c r="A142" s="844" t="s">
        <v>3866</v>
      </c>
      <c r="B142" s="28">
        <v>44546.0</v>
      </c>
    </row>
    <row r="143">
      <c r="B143" s="28">
        <v>44547.0</v>
      </c>
    </row>
    <row r="144">
      <c r="A144" s="839"/>
      <c r="B144" s="3" t="s">
        <v>7</v>
      </c>
      <c r="C144" s="14"/>
      <c r="D144" s="14"/>
      <c r="E144" s="15"/>
      <c r="F144" s="6"/>
      <c r="G144" s="735">
        <f>G141+G142</f>
        <v>0</v>
      </c>
    </row>
    <row r="145">
      <c r="B145" s="28">
        <v>44550.0</v>
      </c>
    </row>
    <row r="146">
      <c r="B146" s="28">
        <v>44551.0</v>
      </c>
    </row>
    <row r="147">
      <c r="B147" s="28">
        <v>44552.0</v>
      </c>
    </row>
    <row r="148">
      <c r="B148" s="28">
        <v>44553.0</v>
      </c>
    </row>
    <row r="149">
      <c r="B149" s="28">
        <v>44554.0</v>
      </c>
    </row>
    <row r="150">
      <c r="A150" s="839"/>
      <c r="B150" s="3" t="s">
        <v>7</v>
      </c>
      <c r="C150" s="14"/>
      <c r="D150" s="14"/>
      <c r="E150" s="15"/>
      <c r="F150" s="6"/>
      <c r="G150" s="735">
        <f>G147+G148</f>
        <v>0</v>
      </c>
    </row>
    <row r="151">
      <c r="B151" s="28">
        <v>44557.0</v>
      </c>
    </row>
    <row r="152">
      <c r="B152" s="28">
        <v>44558.0</v>
      </c>
    </row>
    <row r="153">
      <c r="B153" s="28">
        <v>44559.0</v>
      </c>
    </row>
    <row r="154">
      <c r="B154" s="28">
        <v>44560.0</v>
      </c>
    </row>
    <row r="155">
      <c r="B155" s="28">
        <v>44561.0</v>
      </c>
    </row>
    <row r="156">
      <c r="A156" s="839"/>
      <c r="B156" s="3" t="s">
        <v>7</v>
      </c>
      <c r="C156" s="14"/>
      <c r="D156" s="14"/>
      <c r="E156" s="15"/>
      <c r="F156" s="6"/>
      <c r="G156" s="735">
        <f>G153+G154</f>
        <v>0</v>
      </c>
    </row>
    <row r="157">
      <c r="A157" s="16"/>
      <c r="B157" s="13" t="s">
        <v>2</v>
      </c>
      <c r="C157" s="14"/>
      <c r="D157" s="14"/>
      <c r="E157" s="15"/>
      <c r="F157" s="16"/>
      <c r="G157" s="17">
        <f>G132+G138+G144+G150+G156</f>
        <v>0</v>
      </c>
      <c r="H157" s="18">
        <v>0.0</v>
      </c>
      <c r="I157" s="19">
        <f>I140+I147+I149+I150</f>
        <v>0</v>
      </c>
      <c r="J157" s="843">
        <v>0.0</v>
      </c>
      <c r="K157" s="834"/>
      <c r="L157" s="834"/>
    </row>
    <row r="158">
      <c r="A158" s="776" t="s">
        <v>3592</v>
      </c>
      <c r="B158" s="728" t="s">
        <v>243</v>
      </c>
      <c r="C158" s="728" t="s">
        <v>3445</v>
      </c>
      <c r="D158" s="728" t="s">
        <v>3446</v>
      </c>
      <c r="E158" s="728" t="s">
        <v>3447</v>
      </c>
      <c r="F158" s="728" t="s">
        <v>3448</v>
      </c>
      <c r="G158" s="729" t="s">
        <v>3449</v>
      </c>
      <c r="H158" s="777" t="s">
        <v>3593</v>
      </c>
      <c r="I158" s="778" t="s">
        <v>3594</v>
      </c>
      <c r="J158" s="778" t="s">
        <v>3595</v>
      </c>
      <c r="K158" s="778" t="s">
        <v>3596</v>
      </c>
      <c r="L158" s="778" t="s">
        <v>3597</v>
      </c>
      <c r="M158" s="474" t="s">
        <v>50</v>
      </c>
    </row>
  </sheetData>
  <mergeCells count="50">
    <mergeCell ref="J25:J26"/>
    <mergeCell ref="M25:M26"/>
    <mergeCell ref="M49:M51"/>
    <mergeCell ref="A5:D5"/>
    <mergeCell ref="A11:D11"/>
    <mergeCell ref="C14:E14"/>
    <mergeCell ref="A17:D17"/>
    <mergeCell ref="A23:D23"/>
    <mergeCell ref="H25:H26"/>
    <mergeCell ref="I25:I26"/>
    <mergeCell ref="B29:E29"/>
    <mergeCell ref="B30:E30"/>
    <mergeCell ref="B37:E37"/>
    <mergeCell ref="B40:E40"/>
    <mergeCell ref="B41:E41"/>
    <mergeCell ref="B46:E46"/>
    <mergeCell ref="H49:H51"/>
    <mergeCell ref="B52:E52"/>
    <mergeCell ref="B58:E58"/>
    <mergeCell ref="B64:E64"/>
    <mergeCell ref="B69:E69"/>
    <mergeCell ref="B70:E70"/>
    <mergeCell ref="B73:E73"/>
    <mergeCell ref="B79:E79"/>
    <mergeCell ref="B85:E85"/>
    <mergeCell ref="B91:E91"/>
    <mergeCell ref="B97:E97"/>
    <mergeCell ref="B98:E98"/>
    <mergeCell ref="B105:E105"/>
    <mergeCell ref="B111:E111"/>
    <mergeCell ref="B117:E117"/>
    <mergeCell ref="B123:E123"/>
    <mergeCell ref="C124:G124"/>
    <mergeCell ref="C125:G125"/>
    <mergeCell ref="B126:E126"/>
    <mergeCell ref="B127:E127"/>
    <mergeCell ref="C129:G129"/>
    <mergeCell ref="C130:G130"/>
    <mergeCell ref="B138:E138"/>
    <mergeCell ref="B144:E144"/>
    <mergeCell ref="B150:E150"/>
    <mergeCell ref="B156:E156"/>
    <mergeCell ref="B157:E157"/>
    <mergeCell ref="C131:G131"/>
    <mergeCell ref="B132:E132"/>
    <mergeCell ref="C133:G133"/>
    <mergeCell ref="C134:G134"/>
    <mergeCell ref="C135:G135"/>
    <mergeCell ref="C136:G136"/>
    <mergeCell ref="C137:G137"/>
  </mergeCells>
  <drawing r:id="rId1"/>
</worksheet>
</file>